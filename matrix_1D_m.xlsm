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andrepalo/software/commuter/"/>
    </mc:Choice>
  </mc:AlternateContent>
  <xr:revisionPtr revIDLastSave="0" documentId="13_ncr:1_{EF102B63-3735-6E43-9D1B-CBA94CCD0398}" xr6:coauthVersionLast="40" xr6:coauthVersionMax="40" xr10:uidLastSave="{00000000-0000-0000-0000-000000000000}"/>
  <bookViews>
    <workbookView xWindow="20" yWindow="460" windowWidth="28800" windowHeight="17540" activeTab="6" xr2:uid="{00000000-000D-0000-FFFF-FFFF00000000}"/>
  </bookViews>
  <sheets>
    <sheet name="Index" sheetId="1" r:id="rId1"/>
    <sheet name="list" sheetId="2" r:id="rId2"/>
    <sheet name="coords" sheetId="28" r:id="rId3"/>
    <sheet name="weights" sheetId="26" r:id="rId4"/>
    <sheet name="AM" sheetId="25" r:id="rId5"/>
    <sheet name="calc weights" sheetId="27" r:id="rId6"/>
    <sheet name="extract_stops_csv" sheetId="29" r:id="rId7"/>
  </sheets>
  <functionGroups builtInGroupCount="19"/>
  <definedNames>
    <definedName name="_xlnm._FilterDatabase" localSheetId="2" hidden="1">coords!$A$1:$F$924</definedName>
    <definedName name="_xlnm._FilterDatabase" localSheetId="1" hidden="1">list!$A$1:$AD$1112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28" i="2" l="1"/>
  <c r="AD28" i="2"/>
  <c r="AC29" i="2"/>
  <c r="AD29" i="2"/>
  <c r="AC30" i="2"/>
  <c r="AD30" i="2"/>
  <c r="AC31" i="2"/>
  <c r="AD31" i="2"/>
  <c r="AC32" i="2"/>
  <c r="AD32" i="2"/>
  <c r="AC33" i="2"/>
  <c r="AD33" i="2"/>
  <c r="AC34" i="2"/>
  <c r="AD34" i="2"/>
  <c r="AC35" i="2"/>
  <c r="AD35" i="2"/>
  <c r="AC36" i="2"/>
  <c r="AD36" i="2"/>
  <c r="AC37" i="2"/>
  <c r="AD37" i="2"/>
  <c r="AC38" i="2"/>
  <c r="AD38" i="2"/>
  <c r="AC40" i="2"/>
  <c r="AD40" i="2"/>
  <c r="AC41" i="2"/>
  <c r="AD41" i="2"/>
  <c r="AC42" i="2"/>
  <c r="AD42" i="2"/>
  <c r="AC43" i="2"/>
  <c r="AD43" i="2"/>
  <c r="AC44" i="2"/>
  <c r="AD44" i="2"/>
  <c r="AC45" i="2"/>
  <c r="AD45" i="2"/>
  <c r="AC46" i="2"/>
  <c r="AD46" i="2"/>
  <c r="AC47" i="2"/>
  <c r="AD47" i="2"/>
  <c r="AC48" i="2"/>
  <c r="AD48" i="2"/>
  <c r="AC49" i="2"/>
  <c r="AD49" i="2"/>
  <c r="AC50" i="2"/>
  <c r="AD50" i="2"/>
  <c r="AC51" i="2"/>
  <c r="AD51" i="2"/>
  <c r="AC52" i="2"/>
  <c r="AD52" i="2"/>
  <c r="AC53" i="2"/>
  <c r="AD53" i="2"/>
  <c r="AC54" i="2"/>
  <c r="AD54" i="2"/>
  <c r="AC55" i="2"/>
  <c r="AD55" i="2"/>
  <c r="AC56" i="2"/>
  <c r="AD56" i="2"/>
  <c r="AC57" i="2"/>
  <c r="AD57" i="2"/>
  <c r="AC58" i="2"/>
  <c r="AD58" i="2"/>
  <c r="AC59" i="2"/>
  <c r="AD59" i="2"/>
  <c r="AC60" i="2"/>
  <c r="AD60" i="2"/>
  <c r="AC61" i="2"/>
  <c r="AD61" i="2"/>
  <c r="AC62" i="2"/>
  <c r="AD62" i="2"/>
  <c r="AC63" i="2"/>
  <c r="AD63" i="2"/>
  <c r="AC64" i="2"/>
  <c r="AD64" i="2"/>
  <c r="AC65" i="2"/>
  <c r="AD65" i="2"/>
  <c r="AC66" i="2"/>
  <c r="AD66" i="2"/>
  <c r="AC67" i="2"/>
  <c r="AD67" i="2"/>
  <c r="AC68" i="2"/>
  <c r="AD68" i="2"/>
  <c r="AC69" i="2"/>
  <c r="AD69" i="2"/>
  <c r="AC70" i="2"/>
  <c r="AD70" i="2"/>
  <c r="AC71" i="2"/>
  <c r="AD71" i="2"/>
  <c r="AC72" i="2"/>
  <c r="AD72" i="2"/>
  <c r="AC73" i="2"/>
  <c r="AD73" i="2"/>
  <c r="AC74" i="2"/>
  <c r="AD74" i="2"/>
  <c r="AC75" i="2"/>
  <c r="AD75" i="2"/>
  <c r="AC76" i="2"/>
  <c r="AD76" i="2"/>
  <c r="AC77" i="2"/>
  <c r="AD77" i="2"/>
  <c r="AC110" i="2"/>
  <c r="AD110" i="2"/>
  <c r="AC111" i="2"/>
  <c r="AD111" i="2"/>
  <c r="AC112" i="2"/>
  <c r="AD112" i="2"/>
  <c r="AC113" i="2"/>
  <c r="AD113" i="2"/>
  <c r="AC114" i="2"/>
  <c r="AD114" i="2"/>
  <c r="AC115" i="2"/>
  <c r="AD115" i="2"/>
  <c r="AC116" i="2"/>
  <c r="AD116" i="2"/>
  <c r="AC117" i="2"/>
  <c r="AD117" i="2"/>
  <c r="AC118" i="2"/>
  <c r="AD118" i="2"/>
  <c r="AC119" i="2"/>
  <c r="AD119" i="2"/>
  <c r="AC120" i="2"/>
  <c r="AD120" i="2"/>
  <c r="AC121" i="2"/>
  <c r="AD121" i="2"/>
  <c r="AC122" i="2"/>
  <c r="AD122" i="2"/>
  <c r="AC123" i="2"/>
  <c r="AD123" i="2"/>
  <c r="AC124" i="2"/>
  <c r="AD124" i="2"/>
  <c r="AC125" i="2"/>
  <c r="AD125" i="2"/>
  <c r="AC126" i="2"/>
  <c r="AD126" i="2"/>
  <c r="AC127" i="2"/>
  <c r="AD127" i="2"/>
  <c r="AC128" i="2"/>
  <c r="AD128" i="2"/>
  <c r="AC129" i="2"/>
  <c r="AD129" i="2"/>
  <c r="AC130" i="2"/>
  <c r="AD130" i="2"/>
  <c r="AC131" i="2"/>
  <c r="AD131" i="2"/>
  <c r="AC132" i="2"/>
  <c r="AD132" i="2"/>
  <c r="AC133" i="2"/>
  <c r="AD133" i="2"/>
  <c r="AC134" i="2"/>
  <c r="AD134" i="2"/>
  <c r="AC135" i="2"/>
  <c r="AD135" i="2"/>
  <c r="AC136" i="2"/>
  <c r="AD136" i="2"/>
  <c r="AC137" i="2"/>
  <c r="AD137" i="2"/>
  <c r="AC138" i="2"/>
  <c r="AD138" i="2"/>
  <c r="AC139" i="2"/>
  <c r="AD139" i="2"/>
  <c r="AC140" i="2"/>
  <c r="AD140" i="2"/>
  <c r="AC141" i="2"/>
  <c r="AD141" i="2"/>
  <c r="AC142" i="2"/>
  <c r="AD142" i="2"/>
  <c r="AC143" i="2"/>
  <c r="AD143" i="2"/>
  <c r="AC144" i="2"/>
  <c r="AD144" i="2"/>
  <c r="AC145" i="2"/>
  <c r="AD145" i="2"/>
  <c r="AC146" i="2"/>
  <c r="AD146" i="2"/>
  <c r="AC147" i="2"/>
  <c r="AD147" i="2"/>
  <c r="AC148" i="2"/>
  <c r="AD148" i="2"/>
  <c r="AC149" i="2"/>
  <c r="AD149" i="2"/>
  <c r="AC150" i="2"/>
  <c r="AD150" i="2"/>
  <c r="AC151" i="2"/>
  <c r="AD151" i="2"/>
  <c r="AC152" i="2"/>
  <c r="AD152" i="2"/>
  <c r="AC153" i="2"/>
  <c r="AD153" i="2"/>
  <c r="AC154" i="2"/>
  <c r="AD154" i="2"/>
  <c r="AC155" i="2"/>
  <c r="AD155" i="2"/>
  <c r="AC156" i="2"/>
  <c r="AD156" i="2"/>
  <c r="AC157" i="2"/>
  <c r="AD157" i="2"/>
  <c r="AC158" i="2"/>
  <c r="AD158" i="2"/>
  <c r="AC159" i="2"/>
  <c r="AD159" i="2"/>
  <c r="AC198" i="2"/>
  <c r="AD198" i="2"/>
  <c r="AC199" i="2"/>
  <c r="AD199" i="2"/>
  <c r="AC200" i="2"/>
  <c r="AD200" i="2"/>
  <c r="AC201" i="2"/>
  <c r="AD201" i="2"/>
  <c r="AC202" i="2"/>
  <c r="AD202" i="2"/>
  <c r="AC203" i="2"/>
  <c r="AD203" i="2"/>
  <c r="AC204" i="2"/>
  <c r="AD204" i="2"/>
  <c r="AC205" i="2"/>
  <c r="AD205" i="2"/>
  <c r="AC206" i="2"/>
  <c r="AD206" i="2"/>
  <c r="AC207" i="2"/>
  <c r="AD207" i="2"/>
  <c r="AC208" i="2"/>
  <c r="AD208" i="2"/>
  <c r="AC209" i="2"/>
  <c r="AD209" i="2"/>
  <c r="AC210" i="2"/>
  <c r="AD210" i="2"/>
  <c r="AC211" i="2"/>
  <c r="AD211" i="2"/>
  <c r="AC212" i="2"/>
  <c r="AD212" i="2"/>
  <c r="AC213" i="2"/>
  <c r="AD213" i="2"/>
  <c r="AC214" i="2"/>
  <c r="AD214" i="2"/>
  <c r="AC215" i="2"/>
  <c r="AD215" i="2"/>
  <c r="AC216" i="2"/>
  <c r="AD216" i="2"/>
  <c r="AC217" i="2"/>
  <c r="AD217" i="2"/>
  <c r="AC218" i="2"/>
  <c r="AD218" i="2"/>
  <c r="AC219" i="2"/>
  <c r="AD219" i="2"/>
  <c r="AC220" i="2"/>
  <c r="AD220" i="2"/>
  <c r="AC221" i="2"/>
  <c r="AD221" i="2"/>
  <c r="AC222" i="2"/>
  <c r="AD222" i="2"/>
  <c r="AC223" i="2"/>
  <c r="AD223" i="2"/>
  <c r="AC224" i="2"/>
  <c r="AD224" i="2"/>
  <c r="AC225" i="2"/>
  <c r="AD225" i="2"/>
  <c r="AC226" i="2"/>
  <c r="AD226" i="2"/>
  <c r="AC227" i="2"/>
  <c r="AD227" i="2"/>
  <c r="AC228" i="2"/>
  <c r="AD228" i="2"/>
  <c r="AC229" i="2"/>
  <c r="AD229" i="2"/>
  <c r="AC230" i="2"/>
  <c r="AD230" i="2"/>
  <c r="AC231" i="2"/>
  <c r="AD231" i="2"/>
  <c r="AC232" i="2"/>
  <c r="AD232" i="2"/>
  <c r="AC233" i="2"/>
  <c r="AD233" i="2"/>
  <c r="AC234" i="2"/>
  <c r="AD234" i="2"/>
  <c r="AC235" i="2"/>
  <c r="AD235" i="2"/>
  <c r="AC236" i="2"/>
  <c r="AD236" i="2"/>
  <c r="AC237" i="2"/>
  <c r="AD237" i="2"/>
  <c r="AC238" i="2"/>
  <c r="AD238" i="2"/>
  <c r="AC239" i="2"/>
  <c r="AD239" i="2"/>
  <c r="AC240" i="2"/>
  <c r="AD240" i="2"/>
  <c r="AC241" i="2"/>
  <c r="AD241" i="2"/>
  <c r="AC242" i="2"/>
  <c r="AD242" i="2"/>
  <c r="AC243" i="2"/>
  <c r="AD243" i="2"/>
  <c r="AC244" i="2"/>
  <c r="AD244" i="2"/>
  <c r="AC245" i="2"/>
  <c r="AD245" i="2"/>
  <c r="AC246" i="2"/>
  <c r="AD246" i="2"/>
  <c r="AC247" i="2"/>
  <c r="AD247" i="2"/>
  <c r="AC248" i="2"/>
  <c r="AD248" i="2"/>
  <c r="AC249" i="2"/>
  <c r="AD249" i="2"/>
  <c r="AC250" i="2"/>
  <c r="AD250" i="2"/>
  <c r="AC251" i="2"/>
  <c r="AD251" i="2"/>
  <c r="AC252" i="2"/>
  <c r="AD252" i="2"/>
  <c r="AC253" i="2"/>
  <c r="AD253" i="2"/>
  <c r="AC254" i="2"/>
  <c r="AD254" i="2"/>
  <c r="AC255" i="2"/>
  <c r="AD255" i="2"/>
  <c r="AC256" i="2"/>
  <c r="AD256" i="2"/>
  <c r="AC257" i="2"/>
  <c r="AD257" i="2"/>
  <c r="AC258" i="2"/>
  <c r="AD258" i="2"/>
  <c r="AC259" i="2"/>
  <c r="AD259" i="2"/>
  <c r="AC260" i="2"/>
  <c r="AD260" i="2"/>
  <c r="AC261" i="2"/>
  <c r="AD261" i="2"/>
  <c r="AC262" i="2"/>
  <c r="AD262" i="2"/>
  <c r="AC263" i="2"/>
  <c r="AD263" i="2"/>
  <c r="AC264" i="2"/>
  <c r="AD264" i="2"/>
  <c r="AC265" i="2"/>
  <c r="AD265" i="2"/>
  <c r="AC266" i="2"/>
  <c r="AD266" i="2"/>
  <c r="AC267" i="2"/>
  <c r="AD267" i="2"/>
  <c r="AC268" i="2"/>
  <c r="AD268" i="2"/>
  <c r="AC269" i="2"/>
  <c r="AD269" i="2"/>
  <c r="AC270" i="2"/>
  <c r="AD270" i="2"/>
  <c r="AC271" i="2"/>
  <c r="AD271" i="2"/>
  <c r="AC272" i="2"/>
  <c r="AD272" i="2"/>
  <c r="AC273" i="2"/>
  <c r="AD273" i="2"/>
  <c r="AC274" i="2"/>
  <c r="AD274" i="2"/>
  <c r="AC275" i="2"/>
  <c r="AD275" i="2"/>
  <c r="AC276" i="2"/>
  <c r="AD276" i="2"/>
  <c r="AC277" i="2"/>
  <c r="AD277" i="2"/>
  <c r="AC278" i="2"/>
  <c r="AD278" i="2"/>
  <c r="AC279" i="2"/>
  <c r="AD279" i="2"/>
  <c r="AC280" i="2"/>
  <c r="AD280" i="2"/>
  <c r="AC281" i="2"/>
  <c r="AD281" i="2"/>
  <c r="AC282" i="2"/>
  <c r="AD282" i="2"/>
  <c r="AC283" i="2"/>
  <c r="AD283" i="2"/>
  <c r="AC284" i="2"/>
  <c r="AD284" i="2"/>
  <c r="AC285" i="2"/>
  <c r="AD285" i="2"/>
  <c r="AC286" i="2"/>
  <c r="AD286" i="2"/>
  <c r="AC287" i="2"/>
  <c r="AD287" i="2"/>
  <c r="AC288" i="2"/>
  <c r="AD288" i="2"/>
  <c r="AC289" i="2"/>
  <c r="AD289" i="2"/>
  <c r="AC290" i="2"/>
  <c r="AD290" i="2"/>
  <c r="AC291" i="2"/>
  <c r="AD291" i="2"/>
  <c r="AC292" i="2"/>
  <c r="AD292" i="2"/>
  <c r="AC293" i="2"/>
  <c r="AD293" i="2"/>
  <c r="AC294" i="2"/>
  <c r="AD294" i="2"/>
  <c r="AC295" i="2"/>
  <c r="AD295" i="2"/>
  <c r="AC296" i="2"/>
  <c r="AD296" i="2"/>
  <c r="AC297" i="2"/>
  <c r="AD297" i="2"/>
  <c r="AC298" i="2"/>
  <c r="AD298" i="2"/>
  <c r="AC299" i="2"/>
  <c r="AD299" i="2"/>
  <c r="AC300" i="2"/>
  <c r="AD300" i="2"/>
  <c r="AC301" i="2"/>
  <c r="AD301" i="2"/>
  <c r="AC302" i="2"/>
  <c r="AD302" i="2"/>
  <c r="AC303" i="2"/>
  <c r="AD303" i="2"/>
  <c r="AC346" i="2"/>
  <c r="AD346" i="2"/>
  <c r="AC347" i="2"/>
  <c r="AD347" i="2"/>
  <c r="AC348" i="2"/>
  <c r="AD348" i="2"/>
  <c r="AC349" i="2"/>
  <c r="AD349" i="2"/>
  <c r="AC350" i="2"/>
  <c r="AD350" i="2"/>
  <c r="AC351" i="2"/>
  <c r="AD351" i="2"/>
  <c r="AC352" i="2"/>
  <c r="AD352" i="2"/>
  <c r="AC353" i="2"/>
  <c r="AD353" i="2"/>
  <c r="AC354" i="2"/>
  <c r="AD354" i="2"/>
  <c r="AC355" i="2"/>
  <c r="AD355" i="2"/>
  <c r="AC356" i="2"/>
  <c r="AD356" i="2"/>
  <c r="AC357" i="2"/>
  <c r="AD357" i="2"/>
  <c r="AC358" i="2"/>
  <c r="AD358" i="2"/>
  <c r="AC359" i="2"/>
  <c r="AD359" i="2"/>
  <c r="AC360" i="2"/>
  <c r="AD360" i="2"/>
  <c r="AC361" i="2"/>
  <c r="AD361" i="2"/>
  <c r="AC362" i="2"/>
  <c r="AD362" i="2"/>
  <c r="AC363" i="2"/>
  <c r="AD363" i="2"/>
  <c r="AC364" i="2"/>
  <c r="AD364" i="2"/>
  <c r="AC365" i="2"/>
  <c r="AD365" i="2"/>
  <c r="AC366" i="2"/>
  <c r="AD366" i="2"/>
  <c r="AC367" i="2"/>
  <c r="AD367" i="2"/>
  <c r="AC368" i="2"/>
  <c r="AD368" i="2"/>
  <c r="AC369" i="2"/>
  <c r="AD369" i="2"/>
  <c r="AC370" i="2"/>
  <c r="AD370" i="2"/>
  <c r="AC371" i="2"/>
  <c r="AD371" i="2"/>
  <c r="AC372" i="2"/>
  <c r="AD372" i="2"/>
  <c r="AC373" i="2"/>
  <c r="AD373" i="2"/>
  <c r="AC374" i="2"/>
  <c r="AD374" i="2"/>
  <c r="AC375" i="2"/>
  <c r="AD375" i="2"/>
  <c r="AC376" i="2"/>
  <c r="AD376" i="2"/>
  <c r="AC377" i="2"/>
  <c r="AD377" i="2"/>
  <c r="AC387" i="2"/>
  <c r="AD387" i="2"/>
  <c r="AC388" i="2"/>
  <c r="AD388" i="2"/>
  <c r="AC389" i="2"/>
  <c r="AD389" i="2"/>
  <c r="AC390" i="2"/>
  <c r="AD390" i="2"/>
  <c r="AC391" i="2"/>
  <c r="AD391" i="2"/>
  <c r="AC392" i="2"/>
  <c r="AD392" i="2"/>
  <c r="AC393" i="2"/>
  <c r="AD393" i="2"/>
  <c r="AC394" i="2"/>
  <c r="AD394" i="2"/>
  <c r="AC395" i="2"/>
  <c r="AD395" i="2"/>
  <c r="AC396" i="2"/>
  <c r="AD396" i="2"/>
  <c r="AC397" i="2"/>
  <c r="AD397" i="2"/>
  <c r="AC398" i="2"/>
  <c r="AD398" i="2"/>
  <c r="AC399" i="2"/>
  <c r="AD399" i="2"/>
  <c r="AC400" i="2"/>
  <c r="AD400" i="2"/>
  <c r="AC401" i="2"/>
  <c r="AD401" i="2"/>
  <c r="AC402" i="2"/>
  <c r="AD402" i="2"/>
  <c r="AC403" i="2"/>
  <c r="AD403" i="2"/>
  <c r="AC404" i="2"/>
  <c r="AD404" i="2"/>
  <c r="AC405" i="2"/>
  <c r="AD405" i="2"/>
  <c r="AC406" i="2"/>
  <c r="AD406" i="2"/>
  <c r="AC407" i="2"/>
  <c r="AD407" i="2"/>
  <c r="AC408" i="2"/>
  <c r="AD408" i="2"/>
  <c r="AC409" i="2"/>
  <c r="AD409" i="2"/>
  <c r="AC410" i="2"/>
  <c r="AD410" i="2"/>
  <c r="AC411" i="2"/>
  <c r="AD411" i="2"/>
  <c r="AC412" i="2"/>
  <c r="AD412" i="2"/>
  <c r="AC413" i="2"/>
  <c r="AD413" i="2"/>
  <c r="AC414" i="2"/>
  <c r="AD414" i="2"/>
  <c r="AC415" i="2"/>
  <c r="AD415" i="2"/>
  <c r="AC416" i="2"/>
  <c r="AD416" i="2"/>
  <c r="AC417" i="2"/>
  <c r="AD417" i="2"/>
  <c r="AC418" i="2"/>
  <c r="AD418" i="2"/>
  <c r="AC419" i="2"/>
  <c r="AD419" i="2"/>
  <c r="AC420" i="2"/>
  <c r="AD420" i="2"/>
  <c r="AC421" i="2"/>
  <c r="AD421" i="2"/>
  <c r="AC422" i="2"/>
  <c r="AD422" i="2"/>
  <c r="AC423" i="2"/>
  <c r="AD423" i="2"/>
  <c r="AC424" i="2"/>
  <c r="AD424" i="2"/>
  <c r="AC425" i="2"/>
  <c r="AD425" i="2"/>
  <c r="AC426" i="2"/>
  <c r="AD426" i="2"/>
  <c r="AC427" i="2"/>
  <c r="AD427" i="2"/>
  <c r="AC428" i="2"/>
  <c r="AD428" i="2"/>
  <c r="AC429" i="2"/>
  <c r="AD429" i="2"/>
  <c r="AC430" i="2"/>
  <c r="AD430" i="2"/>
  <c r="AC431" i="2"/>
  <c r="AD431" i="2"/>
  <c r="AC432" i="2"/>
  <c r="AD432" i="2"/>
  <c r="AC433" i="2"/>
  <c r="AD433" i="2"/>
  <c r="AC434" i="2"/>
  <c r="AD434" i="2"/>
  <c r="AC435" i="2"/>
  <c r="AD435" i="2"/>
  <c r="AC436" i="2"/>
  <c r="AD436" i="2"/>
  <c r="AC437" i="2"/>
  <c r="AD437" i="2"/>
  <c r="AC438" i="2"/>
  <c r="AD438" i="2"/>
  <c r="AC439" i="2"/>
  <c r="AD439" i="2"/>
  <c r="AC440" i="2"/>
  <c r="AD440" i="2"/>
  <c r="AC441" i="2"/>
  <c r="AD441" i="2"/>
  <c r="AC442" i="2"/>
  <c r="AD442" i="2"/>
  <c r="AC443" i="2"/>
  <c r="AD443" i="2"/>
  <c r="AC444" i="2"/>
  <c r="AD444" i="2"/>
  <c r="AC445" i="2"/>
  <c r="AD445" i="2"/>
  <c r="AC446" i="2"/>
  <c r="AD446" i="2"/>
  <c r="AC447" i="2"/>
  <c r="AD447" i="2"/>
  <c r="AC448" i="2"/>
  <c r="AD448" i="2"/>
  <c r="AC449" i="2"/>
  <c r="AD449" i="2"/>
  <c r="AC450" i="2"/>
  <c r="AD450" i="2"/>
  <c r="AC451" i="2"/>
  <c r="AD451" i="2"/>
  <c r="AC452" i="2"/>
  <c r="AD452" i="2"/>
  <c r="AC453" i="2"/>
  <c r="AD453" i="2"/>
  <c r="AC454" i="2"/>
  <c r="AD454" i="2"/>
  <c r="AC455" i="2"/>
  <c r="AD455" i="2"/>
  <c r="AC456" i="2"/>
  <c r="AD456" i="2"/>
  <c r="AC457" i="2"/>
  <c r="AD457" i="2"/>
  <c r="AC458" i="2"/>
  <c r="AD458" i="2"/>
  <c r="AC459" i="2"/>
  <c r="AD459" i="2"/>
  <c r="AC460" i="2"/>
  <c r="AD460" i="2"/>
  <c r="AC461" i="2"/>
  <c r="AD461" i="2"/>
  <c r="AC462" i="2"/>
  <c r="AD462" i="2"/>
  <c r="AC463" i="2"/>
  <c r="AD463" i="2"/>
  <c r="AC464" i="2"/>
  <c r="AD464" i="2"/>
  <c r="AC465" i="2"/>
  <c r="AD465" i="2"/>
  <c r="AC466" i="2"/>
  <c r="AD466" i="2"/>
  <c r="AC467" i="2"/>
  <c r="AD467" i="2"/>
  <c r="AC468" i="2"/>
  <c r="AD468" i="2"/>
  <c r="AC469" i="2"/>
  <c r="AD469" i="2"/>
  <c r="AC470" i="2"/>
  <c r="AD470" i="2"/>
  <c r="AC471" i="2"/>
  <c r="AD471" i="2"/>
  <c r="AC472" i="2"/>
  <c r="AD472" i="2"/>
  <c r="AC473" i="2"/>
  <c r="AD473" i="2"/>
  <c r="AC474" i="2"/>
  <c r="AD474" i="2"/>
  <c r="AC475" i="2"/>
  <c r="AD475" i="2"/>
  <c r="AC476" i="2"/>
  <c r="AD476" i="2"/>
  <c r="AC477" i="2"/>
  <c r="AD477" i="2"/>
  <c r="AC478" i="2"/>
  <c r="AD478" i="2"/>
  <c r="AC479" i="2"/>
  <c r="AD479" i="2"/>
  <c r="AC480" i="2"/>
  <c r="AD480" i="2"/>
  <c r="AC481" i="2"/>
  <c r="AD481" i="2"/>
  <c r="AC482" i="2"/>
  <c r="AD482" i="2"/>
  <c r="AC483" i="2"/>
  <c r="AD483" i="2"/>
  <c r="AC484" i="2"/>
  <c r="AD484" i="2"/>
  <c r="AC485" i="2"/>
  <c r="AD485" i="2"/>
  <c r="AC486" i="2"/>
  <c r="AD486" i="2"/>
  <c r="AC487" i="2"/>
  <c r="AD487" i="2"/>
  <c r="AC488" i="2"/>
  <c r="AD488" i="2"/>
  <c r="AC489" i="2"/>
  <c r="AD489" i="2"/>
  <c r="AC490" i="2"/>
  <c r="AD490" i="2"/>
  <c r="AC491" i="2"/>
  <c r="AD491" i="2"/>
  <c r="AC492" i="2"/>
  <c r="AD492" i="2"/>
  <c r="AC493" i="2"/>
  <c r="AD493" i="2"/>
  <c r="AC494" i="2"/>
  <c r="AD494" i="2"/>
  <c r="AC495" i="2"/>
  <c r="AD495" i="2"/>
  <c r="AC496" i="2"/>
  <c r="AD496" i="2"/>
  <c r="AC497" i="2"/>
  <c r="AD497" i="2"/>
  <c r="AC498" i="2"/>
  <c r="AD498" i="2"/>
  <c r="AC499" i="2"/>
  <c r="AD499" i="2"/>
  <c r="AC500" i="2"/>
  <c r="AD500" i="2"/>
  <c r="AC501" i="2"/>
  <c r="AD501" i="2"/>
  <c r="AC502" i="2"/>
  <c r="AD502" i="2"/>
  <c r="AC503" i="2"/>
  <c r="AD503" i="2"/>
  <c r="AC504" i="2"/>
  <c r="AD504" i="2"/>
  <c r="AC505" i="2"/>
  <c r="AD505" i="2"/>
  <c r="AC507" i="2"/>
  <c r="AD507" i="2"/>
  <c r="AC508" i="2"/>
  <c r="AD508" i="2"/>
  <c r="AC509" i="2"/>
  <c r="AD509" i="2"/>
  <c r="AC510" i="2"/>
  <c r="AD510" i="2"/>
  <c r="AC511" i="2"/>
  <c r="AD511" i="2"/>
  <c r="AC512" i="2"/>
  <c r="AD512" i="2"/>
  <c r="AC513" i="2"/>
  <c r="AD513" i="2"/>
  <c r="AC514" i="2"/>
  <c r="AD514" i="2"/>
  <c r="AC515" i="2"/>
  <c r="AD515" i="2"/>
  <c r="AC516" i="2"/>
  <c r="AD516" i="2"/>
  <c r="AC517" i="2"/>
  <c r="AD517" i="2"/>
  <c r="AC518" i="2"/>
  <c r="AD518" i="2"/>
  <c r="AC519" i="2"/>
  <c r="AD519" i="2"/>
  <c r="AC520" i="2"/>
  <c r="AD520" i="2"/>
  <c r="AC521" i="2"/>
  <c r="AD521" i="2"/>
  <c r="AC522" i="2"/>
  <c r="AD522" i="2"/>
  <c r="AC523" i="2"/>
  <c r="AD523" i="2"/>
  <c r="AC524" i="2"/>
  <c r="AD524" i="2"/>
  <c r="AC525" i="2"/>
  <c r="AD525" i="2"/>
  <c r="AC526" i="2"/>
  <c r="AD526" i="2"/>
  <c r="AC527" i="2"/>
  <c r="AD527" i="2"/>
  <c r="AC528" i="2"/>
  <c r="AD528" i="2"/>
  <c r="AC529" i="2"/>
  <c r="AD529" i="2"/>
  <c r="AC530" i="2"/>
  <c r="AD530" i="2"/>
  <c r="AC531" i="2"/>
  <c r="AD531" i="2"/>
  <c r="AC532" i="2"/>
  <c r="AD532" i="2"/>
  <c r="AC533" i="2"/>
  <c r="AD533" i="2"/>
  <c r="AC534" i="2"/>
  <c r="AD534" i="2"/>
  <c r="AC535" i="2"/>
  <c r="AD535" i="2"/>
  <c r="AC536" i="2"/>
  <c r="AD536" i="2"/>
  <c r="AC537" i="2"/>
  <c r="AD537" i="2"/>
  <c r="AC538" i="2"/>
  <c r="AD538" i="2"/>
  <c r="AC539" i="2"/>
  <c r="AD539" i="2"/>
  <c r="AC540" i="2"/>
  <c r="AD540" i="2"/>
  <c r="AC541" i="2"/>
  <c r="AD541" i="2"/>
  <c r="AC542" i="2"/>
  <c r="AD542" i="2"/>
  <c r="AC543" i="2"/>
  <c r="AD543" i="2"/>
  <c r="AC544" i="2"/>
  <c r="AD544" i="2"/>
  <c r="AC545" i="2"/>
  <c r="AD545" i="2"/>
  <c r="AC546" i="2"/>
  <c r="AD546" i="2"/>
  <c r="AC547" i="2"/>
  <c r="AD547" i="2"/>
  <c r="AC548" i="2"/>
  <c r="AD548" i="2"/>
  <c r="AC549" i="2"/>
  <c r="AD549" i="2"/>
  <c r="AC550" i="2"/>
  <c r="AD550" i="2"/>
  <c r="AC551" i="2"/>
  <c r="AD551" i="2"/>
  <c r="AC552" i="2"/>
  <c r="AD552" i="2"/>
  <c r="AC553" i="2"/>
  <c r="AD553" i="2"/>
  <c r="AC554" i="2"/>
  <c r="AD554" i="2"/>
  <c r="AC555" i="2"/>
  <c r="AD555" i="2"/>
  <c r="AC556" i="2"/>
  <c r="AD556" i="2"/>
  <c r="AC557" i="2"/>
  <c r="AD557" i="2"/>
  <c r="AC558" i="2"/>
  <c r="AD558" i="2"/>
  <c r="AC559" i="2"/>
  <c r="AD559" i="2"/>
  <c r="AC560" i="2"/>
  <c r="AD560" i="2"/>
  <c r="AC561" i="2"/>
  <c r="AD561" i="2"/>
  <c r="AC562" i="2"/>
  <c r="AD562" i="2"/>
  <c r="AC563" i="2"/>
  <c r="AD563" i="2"/>
  <c r="AC564" i="2"/>
  <c r="AD564" i="2"/>
  <c r="AC565" i="2"/>
  <c r="AD565" i="2"/>
  <c r="AC566" i="2"/>
  <c r="AD566" i="2"/>
  <c r="AC567" i="2"/>
  <c r="AD567" i="2"/>
  <c r="AC568" i="2"/>
  <c r="AD568" i="2"/>
  <c r="AC569" i="2"/>
  <c r="AD569" i="2"/>
  <c r="AC570" i="2"/>
  <c r="AD570" i="2"/>
  <c r="AC571" i="2"/>
  <c r="AD571" i="2"/>
  <c r="AC572" i="2"/>
  <c r="AD572" i="2"/>
  <c r="AC573" i="2"/>
  <c r="AD573" i="2"/>
  <c r="AC574" i="2"/>
  <c r="AD574" i="2"/>
  <c r="AC575" i="2"/>
  <c r="AD575" i="2"/>
  <c r="AC576" i="2"/>
  <c r="AD576" i="2"/>
  <c r="AC577" i="2"/>
  <c r="AD577" i="2"/>
  <c r="AC578" i="2"/>
  <c r="AD578" i="2"/>
  <c r="AC579" i="2"/>
  <c r="AD579" i="2"/>
  <c r="AC580" i="2"/>
  <c r="AD580" i="2"/>
  <c r="AC581" i="2"/>
  <c r="AD581" i="2"/>
  <c r="AC582" i="2"/>
  <c r="AD582" i="2"/>
  <c r="AC583" i="2"/>
  <c r="AD583" i="2"/>
  <c r="AC584" i="2"/>
  <c r="AD584" i="2"/>
  <c r="AC585" i="2"/>
  <c r="AD585" i="2"/>
  <c r="AC586" i="2"/>
  <c r="AD586" i="2"/>
  <c r="AC587" i="2"/>
  <c r="AD587" i="2"/>
  <c r="AC588" i="2"/>
  <c r="AD588" i="2"/>
  <c r="AC589" i="2"/>
  <c r="AD589" i="2"/>
  <c r="AC590" i="2"/>
  <c r="AD590" i="2"/>
  <c r="AC591" i="2"/>
  <c r="AD591" i="2"/>
  <c r="AC592" i="2"/>
  <c r="AD592" i="2"/>
  <c r="AC593" i="2"/>
  <c r="AD593" i="2"/>
  <c r="AC594" i="2"/>
  <c r="AD594" i="2"/>
  <c r="AC595" i="2"/>
  <c r="AD595" i="2"/>
  <c r="AC596" i="2"/>
  <c r="AD596" i="2"/>
  <c r="AC597" i="2"/>
  <c r="AD597" i="2"/>
  <c r="AC598" i="2"/>
  <c r="AD598" i="2"/>
  <c r="AC599" i="2"/>
  <c r="AD599" i="2"/>
  <c r="AC600" i="2"/>
  <c r="AD600" i="2"/>
  <c r="AC601" i="2"/>
  <c r="AD601" i="2"/>
  <c r="AC602" i="2"/>
  <c r="AD602" i="2"/>
  <c r="AC603" i="2"/>
  <c r="AD603" i="2"/>
  <c r="AC604" i="2"/>
  <c r="AD604" i="2"/>
  <c r="AC605" i="2"/>
  <c r="AD605" i="2"/>
  <c r="AC606" i="2"/>
  <c r="AD606" i="2"/>
  <c r="AC607" i="2"/>
  <c r="AD607" i="2"/>
  <c r="AC608" i="2"/>
  <c r="AD608" i="2"/>
  <c r="AC609" i="2"/>
  <c r="AD609" i="2"/>
  <c r="AC610" i="2"/>
  <c r="AD610" i="2"/>
  <c r="AC611" i="2"/>
  <c r="AD611" i="2"/>
  <c r="AC612" i="2"/>
  <c r="AD612" i="2"/>
  <c r="AC613" i="2"/>
  <c r="AD613" i="2"/>
  <c r="AC614" i="2"/>
  <c r="AD614" i="2"/>
  <c r="AC615" i="2"/>
  <c r="AD615" i="2"/>
  <c r="AC616" i="2"/>
  <c r="AD616" i="2"/>
  <c r="AC617" i="2"/>
  <c r="AD617" i="2"/>
  <c r="AC618" i="2"/>
  <c r="AD618" i="2"/>
  <c r="AC619" i="2"/>
  <c r="AD619" i="2"/>
  <c r="AC620" i="2"/>
  <c r="AD620" i="2"/>
  <c r="AC621" i="2"/>
  <c r="AD621" i="2"/>
  <c r="AC622" i="2"/>
  <c r="AD622" i="2"/>
  <c r="AC623" i="2"/>
  <c r="AD623" i="2"/>
  <c r="AC624" i="2"/>
  <c r="AD624" i="2"/>
  <c r="AC625" i="2"/>
  <c r="AD625" i="2"/>
  <c r="AC626" i="2"/>
  <c r="AD626" i="2"/>
  <c r="AC627" i="2"/>
  <c r="AD627" i="2"/>
  <c r="AC628" i="2"/>
  <c r="AD628" i="2"/>
  <c r="AC629" i="2"/>
  <c r="AD629" i="2"/>
  <c r="AC630" i="2"/>
  <c r="AD630" i="2"/>
  <c r="AC631" i="2"/>
  <c r="AD631" i="2"/>
  <c r="AC632" i="2"/>
  <c r="AD632" i="2"/>
  <c r="AC633" i="2"/>
  <c r="AD633" i="2"/>
  <c r="AC634" i="2"/>
  <c r="AD634" i="2"/>
  <c r="AC635" i="2"/>
  <c r="AD635" i="2"/>
  <c r="AC636" i="2"/>
  <c r="AD636" i="2"/>
  <c r="AC637" i="2"/>
  <c r="AD637" i="2"/>
  <c r="AC638" i="2"/>
  <c r="AD638" i="2"/>
  <c r="AC639" i="2"/>
  <c r="AD639" i="2"/>
  <c r="AC640" i="2"/>
  <c r="AD640" i="2"/>
  <c r="AC641" i="2"/>
  <c r="AD641" i="2"/>
  <c r="AC642" i="2"/>
  <c r="AD642" i="2"/>
  <c r="AC643" i="2"/>
  <c r="AD643" i="2"/>
  <c r="AC644" i="2"/>
  <c r="AD644" i="2"/>
  <c r="AC846" i="2"/>
  <c r="AD846" i="2"/>
  <c r="AC847" i="2"/>
  <c r="AD847" i="2"/>
  <c r="AC848" i="2"/>
  <c r="AD848" i="2"/>
  <c r="AC849" i="2"/>
  <c r="AD849" i="2"/>
  <c r="AC850" i="2"/>
  <c r="AD850" i="2"/>
  <c r="AC851" i="2"/>
  <c r="AD851" i="2"/>
  <c r="AC852" i="2"/>
  <c r="AD852" i="2"/>
  <c r="AC853" i="2"/>
  <c r="AD853" i="2"/>
  <c r="AC854" i="2"/>
  <c r="AD854" i="2"/>
  <c r="AC855" i="2"/>
  <c r="AD855" i="2"/>
  <c r="AC856" i="2"/>
  <c r="AD856" i="2"/>
  <c r="AC857" i="2"/>
  <c r="AD857" i="2"/>
  <c r="AC858" i="2"/>
  <c r="AD858" i="2"/>
  <c r="AC859" i="2"/>
  <c r="AD859" i="2"/>
  <c r="AC860" i="2"/>
  <c r="AD860" i="2"/>
  <c r="AC861" i="2"/>
  <c r="AD861" i="2"/>
  <c r="AC862" i="2"/>
  <c r="AD862" i="2"/>
  <c r="AC863" i="2"/>
  <c r="AD863" i="2"/>
  <c r="AC864" i="2"/>
  <c r="AD864" i="2"/>
  <c r="AC865" i="2"/>
  <c r="AD865" i="2"/>
  <c r="AC866" i="2"/>
  <c r="AD866" i="2"/>
  <c r="AC867" i="2"/>
  <c r="AD867" i="2"/>
  <c r="AC868" i="2"/>
  <c r="AD868" i="2"/>
  <c r="AC869" i="2"/>
  <c r="AD869" i="2"/>
  <c r="AC870" i="2"/>
  <c r="AD870" i="2"/>
  <c r="AC871" i="2"/>
  <c r="AD871" i="2"/>
  <c r="AC872" i="2"/>
  <c r="AD872" i="2"/>
  <c r="AC873" i="2"/>
  <c r="AD873" i="2"/>
  <c r="AC874" i="2"/>
  <c r="AD874" i="2"/>
  <c r="AC875" i="2"/>
  <c r="AD875" i="2"/>
  <c r="AC876" i="2"/>
  <c r="AD876" i="2"/>
  <c r="AC877" i="2"/>
  <c r="AD877" i="2"/>
  <c r="AC878" i="2"/>
  <c r="AD878" i="2"/>
  <c r="AC879" i="2"/>
  <c r="AD879" i="2"/>
  <c r="AC880" i="2"/>
  <c r="AD880" i="2"/>
  <c r="AC881" i="2"/>
  <c r="AD881" i="2"/>
  <c r="AC882" i="2"/>
  <c r="AD882" i="2"/>
  <c r="AC883" i="2"/>
  <c r="AD883" i="2"/>
  <c r="AC884" i="2"/>
  <c r="AD884" i="2"/>
  <c r="AC885" i="2"/>
  <c r="AD885" i="2"/>
  <c r="AC886" i="2"/>
  <c r="AD886" i="2"/>
  <c r="AC887" i="2"/>
  <c r="AD887" i="2"/>
  <c r="AC888" i="2"/>
  <c r="AD888" i="2"/>
  <c r="AC889" i="2"/>
  <c r="AD889" i="2"/>
  <c r="AC890" i="2"/>
  <c r="AD890" i="2"/>
  <c r="AC891" i="2"/>
  <c r="AD891" i="2"/>
  <c r="AC892" i="2"/>
  <c r="AD892" i="2"/>
  <c r="AC893" i="2"/>
  <c r="AD893" i="2"/>
  <c r="AC894" i="2"/>
  <c r="AD894" i="2"/>
  <c r="AC895" i="2"/>
  <c r="AD895" i="2"/>
  <c r="AC896" i="2"/>
  <c r="AD896" i="2"/>
  <c r="AC897" i="2"/>
  <c r="AD897" i="2"/>
  <c r="AC898" i="2"/>
  <c r="AD898" i="2"/>
  <c r="AC899" i="2"/>
  <c r="AD899" i="2"/>
  <c r="AC900" i="2"/>
  <c r="AD900" i="2"/>
  <c r="AC901" i="2"/>
  <c r="AD901" i="2"/>
  <c r="AC902" i="2"/>
  <c r="AD902" i="2"/>
  <c r="AC903" i="2"/>
  <c r="AD903" i="2"/>
  <c r="AC904" i="2"/>
  <c r="AD904" i="2"/>
  <c r="AC905" i="2"/>
  <c r="AD905" i="2"/>
  <c r="AC906" i="2"/>
  <c r="AD906" i="2"/>
  <c r="AC907" i="2"/>
  <c r="AD907" i="2"/>
  <c r="AC908" i="2"/>
  <c r="AD908" i="2"/>
  <c r="AC909" i="2"/>
  <c r="AD909" i="2"/>
  <c r="AC910" i="2"/>
  <c r="AD910" i="2"/>
  <c r="AC911" i="2"/>
  <c r="AD911" i="2"/>
  <c r="AC912" i="2"/>
  <c r="AD912" i="2"/>
  <c r="AC913" i="2"/>
  <c r="AD913" i="2"/>
  <c r="AC914" i="2"/>
  <c r="AD914" i="2"/>
  <c r="AC915" i="2"/>
  <c r="AD915" i="2"/>
  <c r="AC916" i="2"/>
  <c r="AD916" i="2"/>
  <c r="AC917" i="2"/>
  <c r="AD917" i="2"/>
  <c r="AC918" i="2"/>
  <c r="AD918" i="2"/>
  <c r="AC919" i="2"/>
  <c r="AD919" i="2"/>
  <c r="AC920" i="2"/>
  <c r="AD920" i="2"/>
  <c r="AC921" i="2"/>
  <c r="AD921" i="2"/>
  <c r="AC922" i="2"/>
  <c r="AD922" i="2"/>
  <c r="AC923" i="2"/>
  <c r="AD923" i="2"/>
  <c r="AC924" i="2"/>
  <c r="AD924" i="2"/>
  <c r="AC925" i="2"/>
  <c r="AD925" i="2"/>
  <c r="AC926" i="2"/>
  <c r="AD926" i="2"/>
  <c r="AC927" i="2"/>
  <c r="AD927" i="2"/>
  <c r="AC928" i="2"/>
  <c r="AD928" i="2"/>
  <c r="AC929" i="2"/>
  <c r="AD929" i="2"/>
  <c r="AC930" i="2"/>
  <c r="AD930" i="2"/>
  <c r="AC931" i="2"/>
  <c r="AD931" i="2"/>
  <c r="AC932" i="2"/>
  <c r="AD932" i="2"/>
  <c r="AC933" i="2"/>
  <c r="AD933" i="2"/>
  <c r="AC934" i="2"/>
  <c r="AD934" i="2"/>
  <c r="AC935" i="2"/>
  <c r="AD935" i="2"/>
  <c r="AC936" i="2"/>
  <c r="AD936" i="2"/>
  <c r="AC940" i="2"/>
  <c r="AD940" i="2"/>
  <c r="AC941" i="2"/>
  <c r="AD941" i="2"/>
  <c r="AC942" i="2"/>
  <c r="AD942" i="2"/>
  <c r="AC943" i="2"/>
  <c r="AD943" i="2"/>
  <c r="AC944" i="2"/>
  <c r="AD944" i="2"/>
  <c r="AC945" i="2"/>
  <c r="AD945" i="2"/>
  <c r="AC946" i="2"/>
  <c r="AD946" i="2"/>
  <c r="AC947" i="2"/>
  <c r="AD947" i="2"/>
  <c r="AC948" i="2"/>
  <c r="AD948" i="2"/>
  <c r="AC949" i="2"/>
  <c r="AD949" i="2"/>
  <c r="AC950" i="2"/>
  <c r="AD950" i="2"/>
  <c r="AC951" i="2"/>
  <c r="AD951" i="2"/>
  <c r="AC952" i="2"/>
  <c r="AD952" i="2"/>
  <c r="AC953" i="2"/>
  <c r="AD953" i="2"/>
  <c r="AC954" i="2"/>
  <c r="AD954" i="2"/>
  <c r="AC955" i="2"/>
  <c r="AD955" i="2"/>
  <c r="AC956" i="2"/>
  <c r="AD956" i="2"/>
  <c r="AC957" i="2"/>
  <c r="AD957" i="2"/>
  <c r="AC958" i="2"/>
  <c r="AD958" i="2"/>
  <c r="AC959" i="2"/>
  <c r="AD959" i="2"/>
  <c r="AC960" i="2"/>
  <c r="AD960" i="2"/>
  <c r="AC961" i="2"/>
  <c r="AD961" i="2"/>
  <c r="AC962" i="2"/>
  <c r="AD962" i="2"/>
  <c r="AC963" i="2"/>
  <c r="AD963" i="2"/>
  <c r="AC964" i="2"/>
  <c r="AD964" i="2"/>
  <c r="AC965" i="2"/>
  <c r="AD965" i="2"/>
  <c r="AC966" i="2"/>
  <c r="AD966" i="2"/>
  <c r="AC967" i="2"/>
  <c r="AD967" i="2"/>
  <c r="AC968" i="2"/>
  <c r="AD968" i="2"/>
  <c r="AC969" i="2"/>
  <c r="AD969" i="2"/>
  <c r="AC970" i="2"/>
  <c r="AD970" i="2"/>
  <c r="AC971" i="2"/>
  <c r="AD971" i="2"/>
  <c r="AC972" i="2"/>
  <c r="AD972" i="2"/>
  <c r="AC973" i="2"/>
  <c r="AD973" i="2"/>
  <c r="AC974" i="2"/>
  <c r="AD974" i="2"/>
  <c r="AC975" i="2"/>
  <c r="AD975" i="2"/>
  <c r="AC976" i="2"/>
  <c r="AD976" i="2"/>
  <c r="AC977" i="2"/>
  <c r="AD977" i="2"/>
  <c r="AC978" i="2"/>
  <c r="AD978" i="2"/>
  <c r="AC979" i="2"/>
  <c r="AD979" i="2"/>
  <c r="AC980" i="2"/>
  <c r="AD980" i="2"/>
  <c r="AC981" i="2"/>
  <c r="AD981" i="2"/>
  <c r="AC982" i="2"/>
  <c r="AD982" i="2"/>
  <c r="AC983" i="2"/>
  <c r="AD983" i="2"/>
  <c r="AC984" i="2"/>
  <c r="AD984" i="2"/>
  <c r="AC985" i="2"/>
  <c r="AD985" i="2"/>
  <c r="AC986" i="2"/>
  <c r="AD986" i="2"/>
  <c r="AC987" i="2"/>
  <c r="AD987" i="2"/>
  <c r="AC988" i="2"/>
  <c r="AD988" i="2"/>
  <c r="AC989" i="2"/>
  <c r="AD989" i="2"/>
  <c r="AC990" i="2"/>
  <c r="AD990" i="2"/>
  <c r="AC991" i="2"/>
  <c r="AD991" i="2"/>
  <c r="AC992" i="2"/>
  <c r="AD992" i="2"/>
  <c r="AC993" i="2"/>
  <c r="AD993" i="2"/>
  <c r="AC994" i="2"/>
  <c r="AD994" i="2"/>
  <c r="AC995" i="2"/>
  <c r="AD995" i="2"/>
  <c r="AC996" i="2"/>
  <c r="AD996" i="2"/>
  <c r="AC997" i="2"/>
  <c r="AD997" i="2"/>
  <c r="AC998" i="2"/>
  <c r="AD998" i="2"/>
  <c r="AC999" i="2"/>
  <c r="AD999" i="2"/>
  <c r="AC1000" i="2"/>
  <c r="AD1000" i="2"/>
  <c r="AC1001" i="2"/>
  <c r="AD1001" i="2"/>
  <c r="AC1002" i="2"/>
  <c r="AD1002" i="2"/>
  <c r="AC1003" i="2"/>
  <c r="AD1003" i="2"/>
  <c r="AC1004" i="2"/>
  <c r="AD1004" i="2"/>
  <c r="AC1005" i="2"/>
  <c r="AD1005" i="2"/>
  <c r="AC1006" i="2"/>
  <c r="AD1006" i="2"/>
  <c r="AC1007" i="2"/>
  <c r="AD1007" i="2"/>
  <c r="AC1008" i="2"/>
  <c r="AD1008" i="2"/>
  <c r="AC1009" i="2"/>
  <c r="AD1009" i="2"/>
  <c r="AC1010" i="2"/>
  <c r="AD1010" i="2"/>
  <c r="AC1011" i="2"/>
  <c r="AD1011" i="2"/>
  <c r="AC1012" i="2"/>
  <c r="AD1012" i="2"/>
  <c r="AC1013" i="2"/>
  <c r="AD1013" i="2"/>
  <c r="AC1014" i="2"/>
  <c r="AD1014" i="2"/>
  <c r="AC1015" i="2"/>
  <c r="AD1015" i="2"/>
  <c r="AC1016" i="2"/>
  <c r="AD1016" i="2"/>
  <c r="AC1017" i="2"/>
  <c r="AD1017" i="2"/>
  <c r="AC1018" i="2"/>
  <c r="AD1018" i="2"/>
  <c r="AC1019" i="2"/>
  <c r="AD1019" i="2"/>
  <c r="AC1020" i="2"/>
  <c r="AD1020" i="2"/>
  <c r="AC1021" i="2"/>
  <c r="AD1021" i="2"/>
  <c r="AC1022" i="2"/>
  <c r="AD1022" i="2"/>
  <c r="AC1023" i="2"/>
  <c r="AD1023" i="2"/>
  <c r="AC1024" i="2"/>
  <c r="AD1024" i="2"/>
  <c r="AC1025" i="2"/>
  <c r="AD1025" i="2"/>
  <c r="AC1026" i="2"/>
  <c r="AD1026" i="2"/>
  <c r="AC1027" i="2"/>
  <c r="AD1027" i="2"/>
  <c r="AC1028" i="2"/>
  <c r="AD1028" i="2"/>
  <c r="AC1029" i="2"/>
  <c r="AD1029" i="2"/>
  <c r="AC1030" i="2"/>
  <c r="AD1030" i="2"/>
  <c r="AC1031" i="2"/>
  <c r="AD1031" i="2"/>
  <c r="AC1032" i="2"/>
  <c r="AD1032" i="2"/>
  <c r="AC1033" i="2"/>
  <c r="AD1033" i="2"/>
  <c r="AC1034" i="2"/>
  <c r="AD1034" i="2"/>
  <c r="AC1035" i="2"/>
  <c r="AD1035" i="2"/>
  <c r="AC1036" i="2"/>
  <c r="AD1036" i="2"/>
  <c r="AC1037" i="2"/>
  <c r="AD1037" i="2"/>
  <c r="AC1038" i="2"/>
  <c r="AD1038" i="2"/>
  <c r="AC1039" i="2"/>
  <c r="AD1039" i="2"/>
  <c r="AC1040" i="2"/>
  <c r="AD1040" i="2"/>
  <c r="AC1041" i="2"/>
  <c r="AD1041" i="2"/>
  <c r="AC1042" i="2"/>
  <c r="AD1042" i="2"/>
  <c r="AC1043" i="2"/>
  <c r="AD1043" i="2"/>
  <c r="AC1044" i="2"/>
  <c r="AD1044" i="2"/>
  <c r="AC1045" i="2"/>
  <c r="AD1045" i="2"/>
  <c r="AC1046" i="2"/>
  <c r="AD1046" i="2"/>
  <c r="AC1047" i="2"/>
  <c r="AD1047" i="2"/>
  <c r="AC1048" i="2"/>
  <c r="AD1048" i="2"/>
  <c r="AC1049" i="2"/>
  <c r="AD1049" i="2"/>
  <c r="AC1050" i="2"/>
  <c r="AD1050" i="2"/>
  <c r="AC1051" i="2"/>
  <c r="AD1051" i="2"/>
  <c r="AC1052" i="2"/>
  <c r="AD1052" i="2"/>
  <c r="AC1053" i="2"/>
  <c r="AD1053" i="2"/>
  <c r="AC1054" i="2"/>
  <c r="AD1054" i="2"/>
  <c r="AC1055" i="2"/>
  <c r="AD1055" i="2"/>
  <c r="AC1056" i="2"/>
  <c r="AD1056" i="2"/>
  <c r="AC1057" i="2"/>
  <c r="AD1057" i="2"/>
  <c r="AC1058" i="2"/>
  <c r="AD1058" i="2"/>
  <c r="AC1059" i="2"/>
  <c r="AD1059" i="2"/>
  <c r="AC1060" i="2"/>
  <c r="AD1060" i="2"/>
  <c r="AC1064" i="2"/>
  <c r="AD1064" i="2"/>
  <c r="AC1065" i="2"/>
  <c r="AD1065" i="2"/>
  <c r="AC1070" i="2"/>
  <c r="AD1070" i="2"/>
  <c r="AC1071" i="2"/>
  <c r="AD1071" i="2"/>
  <c r="AC1072" i="2"/>
  <c r="AD1072" i="2"/>
  <c r="AC1073" i="2"/>
  <c r="AD1073" i="2"/>
  <c r="AC1074" i="2"/>
  <c r="AD1074" i="2"/>
  <c r="AC1075" i="2"/>
  <c r="AD1075" i="2"/>
  <c r="AC1076" i="2"/>
  <c r="AD1076" i="2"/>
  <c r="AC1077" i="2"/>
  <c r="AD1077" i="2"/>
  <c r="AC1078" i="2"/>
  <c r="AD1078" i="2"/>
  <c r="AC1079" i="2"/>
  <c r="AD1079" i="2"/>
  <c r="AC1081" i="2"/>
  <c r="AD1081" i="2"/>
  <c r="AC1082" i="2"/>
  <c r="AD1082" i="2"/>
  <c r="AC1083" i="2"/>
  <c r="AD1083" i="2"/>
  <c r="AC1084" i="2"/>
  <c r="AD1084" i="2"/>
  <c r="AC1085" i="2"/>
  <c r="AD1085" i="2"/>
  <c r="AC1086" i="2"/>
  <c r="AD1086" i="2"/>
  <c r="AC1087" i="2"/>
  <c r="AD1087" i="2"/>
  <c r="AC1088" i="2"/>
  <c r="AD1088" i="2"/>
  <c r="AC1089" i="2"/>
  <c r="AD1089" i="2"/>
  <c r="AC1090" i="2"/>
  <c r="AD1090" i="2"/>
  <c r="AC1091" i="2"/>
  <c r="AD1091" i="2"/>
  <c r="AC1092" i="2"/>
  <c r="AD1092" i="2"/>
  <c r="AC1093" i="2"/>
  <c r="AD1093" i="2"/>
  <c r="AC1094" i="2"/>
  <c r="AD1094" i="2"/>
  <c r="AC1095" i="2"/>
  <c r="AD1095" i="2"/>
  <c r="AC1096" i="2"/>
  <c r="AD1096" i="2"/>
  <c r="AC1097" i="2"/>
  <c r="AD1097" i="2"/>
  <c r="AC1098" i="2"/>
  <c r="AD1098" i="2"/>
  <c r="AC1099" i="2"/>
  <c r="AD1099" i="2"/>
  <c r="AC1100" i="2"/>
  <c r="AD1100" i="2"/>
  <c r="AC1101" i="2"/>
  <c r="AD1101" i="2"/>
  <c r="AC1102" i="2"/>
  <c r="AD1102" i="2"/>
  <c r="AC1103" i="2"/>
  <c r="AD1103" i="2"/>
  <c r="AC1104" i="2"/>
  <c r="AD1104" i="2"/>
  <c r="AC1105" i="2"/>
  <c r="AD1105" i="2"/>
  <c r="AC1106" i="2"/>
  <c r="AD1106" i="2"/>
  <c r="AC1107" i="2"/>
  <c r="AD1107" i="2"/>
  <c r="AC1108" i="2"/>
  <c r="AD1108" i="2"/>
  <c r="AC1109" i="2"/>
  <c r="AD1109" i="2"/>
  <c r="AC1110" i="2"/>
  <c r="AD1110" i="2"/>
  <c r="AC1111" i="2"/>
  <c r="AD1111" i="2"/>
  <c r="AC1112" i="2"/>
  <c r="AD1112" i="2"/>
  <c r="AD27" i="2"/>
  <c r="AC27" i="2"/>
  <c r="AC22" i="2"/>
  <c r="AC39" i="2"/>
  <c r="AD39" i="2"/>
  <c r="AC78" i="2"/>
  <c r="AD78" i="2"/>
  <c r="AC506" i="2"/>
  <c r="U3" i="2"/>
  <c r="AC3" i="2" s="1"/>
  <c r="U4" i="2"/>
  <c r="AC4" i="2" s="1"/>
  <c r="U5" i="2"/>
  <c r="AC5" i="2" s="1"/>
  <c r="U6" i="2"/>
  <c r="AC6" i="2" s="1"/>
  <c r="U7" i="2"/>
  <c r="AC7" i="2" s="1"/>
  <c r="U8" i="2"/>
  <c r="AC8" i="2" s="1"/>
  <c r="U9" i="2"/>
  <c r="AC9" i="2" s="1"/>
  <c r="U10" i="2"/>
  <c r="AC10" i="2" s="1"/>
  <c r="U11" i="2"/>
  <c r="AC11" i="2" s="1"/>
  <c r="U12" i="2"/>
  <c r="AC12" i="2" s="1"/>
  <c r="U13" i="2"/>
  <c r="AC13" i="2" s="1"/>
  <c r="U14" i="2"/>
  <c r="AC14" i="2" s="1"/>
  <c r="U15" i="2"/>
  <c r="AC15" i="2" s="1"/>
  <c r="U16" i="2"/>
  <c r="AC16" i="2" s="1"/>
  <c r="U17" i="2"/>
  <c r="AC17" i="2" s="1"/>
  <c r="U18" i="2"/>
  <c r="AC18" i="2" s="1"/>
  <c r="U19" i="2"/>
  <c r="AC19" i="2" s="1"/>
  <c r="U20" i="2"/>
  <c r="AC20" i="2" s="1"/>
  <c r="U21" i="2"/>
  <c r="AC21" i="2" s="1"/>
  <c r="U22" i="2"/>
  <c r="U23" i="2"/>
  <c r="AC23" i="2" s="1"/>
  <c r="U24" i="2"/>
  <c r="AC24" i="2" s="1"/>
  <c r="U25" i="2"/>
  <c r="AC25" i="2" s="1"/>
  <c r="U26" i="2"/>
  <c r="AC26" i="2" s="1"/>
  <c r="U27" i="2"/>
  <c r="V27" i="2" s="1"/>
  <c r="U28" i="2"/>
  <c r="V28" i="2" s="1"/>
  <c r="U29" i="2"/>
  <c r="V29" i="2" s="1"/>
  <c r="U30" i="2"/>
  <c r="V30" i="2" s="1"/>
  <c r="U31" i="2"/>
  <c r="V31" i="2" s="1"/>
  <c r="U32" i="2"/>
  <c r="V32" i="2" s="1"/>
  <c r="U33" i="2"/>
  <c r="V33" i="2" s="1"/>
  <c r="U34" i="2"/>
  <c r="V34" i="2" s="1"/>
  <c r="U35" i="2"/>
  <c r="V35" i="2" s="1"/>
  <c r="U36" i="2"/>
  <c r="V36" i="2" s="1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AC79" i="2" s="1"/>
  <c r="U80" i="2"/>
  <c r="AC80" i="2" s="1"/>
  <c r="U81" i="2"/>
  <c r="AC81" i="2" s="1"/>
  <c r="U82" i="2"/>
  <c r="AC82" i="2" s="1"/>
  <c r="U83" i="2"/>
  <c r="AC83" i="2" s="1"/>
  <c r="U84" i="2"/>
  <c r="AC84" i="2" s="1"/>
  <c r="U85" i="2"/>
  <c r="AC85" i="2" s="1"/>
  <c r="U86" i="2"/>
  <c r="AC86" i="2" s="1"/>
  <c r="U87" i="2"/>
  <c r="AC87" i="2" s="1"/>
  <c r="U88" i="2"/>
  <c r="AC88" i="2" s="1"/>
  <c r="U89" i="2"/>
  <c r="AC89" i="2" s="1"/>
  <c r="U90" i="2"/>
  <c r="AC90" i="2" s="1"/>
  <c r="U91" i="2"/>
  <c r="AC91" i="2" s="1"/>
  <c r="U92" i="2"/>
  <c r="AC92" i="2" s="1"/>
  <c r="U93" i="2"/>
  <c r="AC93" i="2" s="1"/>
  <c r="U94" i="2"/>
  <c r="AC94" i="2" s="1"/>
  <c r="U95" i="2"/>
  <c r="AC95" i="2" s="1"/>
  <c r="U96" i="2"/>
  <c r="AC96" i="2" s="1"/>
  <c r="U97" i="2"/>
  <c r="AC97" i="2" s="1"/>
  <c r="U98" i="2"/>
  <c r="AC98" i="2" s="1"/>
  <c r="U99" i="2"/>
  <c r="AC99" i="2" s="1"/>
  <c r="U100" i="2"/>
  <c r="AC100" i="2" s="1"/>
  <c r="U101" i="2"/>
  <c r="AC101" i="2" s="1"/>
  <c r="U102" i="2"/>
  <c r="AC102" i="2" s="1"/>
  <c r="U103" i="2"/>
  <c r="AC103" i="2" s="1"/>
  <c r="U104" i="2"/>
  <c r="AC104" i="2" s="1"/>
  <c r="U105" i="2"/>
  <c r="AC105" i="2" s="1"/>
  <c r="U106" i="2"/>
  <c r="AC106" i="2" s="1"/>
  <c r="U107" i="2"/>
  <c r="AC107" i="2" s="1"/>
  <c r="U108" i="2"/>
  <c r="AC108" i="2" s="1"/>
  <c r="U109" i="2"/>
  <c r="AC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AC160" i="2" s="1"/>
  <c r="U161" i="2"/>
  <c r="AC161" i="2" s="1"/>
  <c r="U162" i="2"/>
  <c r="AC162" i="2" s="1"/>
  <c r="U163" i="2"/>
  <c r="AC163" i="2" s="1"/>
  <c r="U164" i="2"/>
  <c r="AC164" i="2" s="1"/>
  <c r="U165" i="2"/>
  <c r="AC165" i="2" s="1"/>
  <c r="U166" i="2"/>
  <c r="AC166" i="2" s="1"/>
  <c r="U167" i="2"/>
  <c r="AC167" i="2" s="1"/>
  <c r="U168" i="2"/>
  <c r="AC168" i="2" s="1"/>
  <c r="U169" i="2"/>
  <c r="AC169" i="2" s="1"/>
  <c r="U170" i="2"/>
  <c r="AC170" i="2" s="1"/>
  <c r="U171" i="2"/>
  <c r="AC171" i="2" s="1"/>
  <c r="U172" i="2"/>
  <c r="AC172" i="2" s="1"/>
  <c r="U173" i="2"/>
  <c r="AC173" i="2" s="1"/>
  <c r="U174" i="2"/>
  <c r="AC174" i="2" s="1"/>
  <c r="U175" i="2"/>
  <c r="AC175" i="2" s="1"/>
  <c r="U176" i="2"/>
  <c r="AC176" i="2" s="1"/>
  <c r="U177" i="2"/>
  <c r="AC177" i="2" s="1"/>
  <c r="U178" i="2"/>
  <c r="AC178" i="2" s="1"/>
  <c r="U179" i="2"/>
  <c r="AC179" i="2" s="1"/>
  <c r="U180" i="2"/>
  <c r="AC180" i="2" s="1"/>
  <c r="U181" i="2"/>
  <c r="AC181" i="2" s="1"/>
  <c r="U182" i="2"/>
  <c r="AC182" i="2" s="1"/>
  <c r="U183" i="2"/>
  <c r="AC183" i="2" s="1"/>
  <c r="U184" i="2"/>
  <c r="AC184" i="2" s="1"/>
  <c r="U185" i="2"/>
  <c r="AC185" i="2" s="1"/>
  <c r="U186" i="2"/>
  <c r="AC186" i="2" s="1"/>
  <c r="U187" i="2"/>
  <c r="AC187" i="2" s="1"/>
  <c r="U188" i="2"/>
  <c r="AC188" i="2" s="1"/>
  <c r="U189" i="2"/>
  <c r="AC189" i="2" s="1"/>
  <c r="U190" i="2"/>
  <c r="AC190" i="2" s="1"/>
  <c r="U191" i="2"/>
  <c r="AC191" i="2" s="1"/>
  <c r="U192" i="2"/>
  <c r="AC192" i="2" s="1"/>
  <c r="U193" i="2"/>
  <c r="AC193" i="2" s="1"/>
  <c r="U194" i="2"/>
  <c r="AC194" i="2" s="1"/>
  <c r="U195" i="2"/>
  <c r="AC195" i="2" s="1"/>
  <c r="U196" i="2"/>
  <c r="AC196" i="2" s="1"/>
  <c r="U197" i="2"/>
  <c r="AC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U242" i="2"/>
  <c r="V242" i="2" s="1"/>
  <c r="U243" i="2"/>
  <c r="V243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U260" i="2"/>
  <c r="V260" i="2" s="1"/>
  <c r="U261" i="2"/>
  <c r="V261" i="2" s="1"/>
  <c r="U262" i="2"/>
  <c r="V262" i="2" s="1"/>
  <c r="U263" i="2"/>
  <c r="V263" i="2" s="1"/>
  <c r="U264" i="2"/>
  <c r="V264" i="2" s="1"/>
  <c r="U265" i="2"/>
  <c r="V265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U279" i="2"/>
  <c r="V279" i="2" s="1"/>
  <c r="U280" i="2"/>
  <c r="V280" i="2" s="1"/>
  <c r="U281" i="2"/>
  <c r="V281" i="2" s="1"/>
  <c r="U282" i="2"/>
  <c r="V282" i="2" s="1"/>
  <c r="U283" i="2"/>
  <c r="V283" i="2" s="1"/>
  <c r="U284" i="2"/>
  <c r="V284" i="2" s="1"/>
  <c r="U285" i="2"/>
  <c r="V285" i="2" s="1"/>
  <c r="U286" i="2"/>
  <c r="V286" i="2" s="1"/>
  <c r="U287" i="2"/>
  <c r="V287" i="2" s="1"/>
  <c r="U288" i="2"/>
  <c r="V288" i="2" s="1"/>
  <c r="U289" i="2"/>
  <c r="V289" i="2" s="1"/>
  <c r="U290" i="2"/>
  <c r="V290" i="2" s="1"/>
  <c r="U291" i="2"/>
  <c r="V291" i="2" s="1"/>
  <c r="U292" i="2"/>
  <c r="V292" i="2" s="1"/>
  <c r="U293" i="2"/>
  <c r="V293" i="2" s="1"/>
  <c r="U294" i="2"/>
  <c r="V294" i="2" s="1"/>
  <c r="U295" i="2"/>
  <c r="V295" i="2" s="1"/>
  <c r="U296" i="2"/>
  <c r="V296" i="2" s="1"/>
  <c r="U297" i="2"/>
  <c r="V297" i="2" s="1"/>
  <c r="U298" i="2"/>
  <c r="V298" i="2" s="1"/>
  <c r="U299" i="2"/>
  <c r="V299" i="2" s="1"/>
  <c r="U300" i="2"/>
  <c r="V300" i="2" s="1"/>
  <c r="U301" i="2"/>
  <c r="V301" i="2" s="1"/>
  <c r="U302" i="2"/>
  <c r="V302" i="2" s="1"/>
  <c r="U303" i="2"/>
  <c r="V303" i="2" s="1"/>
  <c r="U304" i="2"/>
  <c r="AC304" i="2" s="1"/>
  <c r="U305" i="2"/>
  <c r="AC305" i="2" s="1"/>
  <c r="U306" i="2"/>
  <c r="AC306" i="2" s="1"/>
  <c r="U307" i="2"/>
  <c r="AC307" i="2" s="1"/>
  <c r="U308" i="2"/>
  <c r="AC308" i="2" s="1"/>
  <c r="U309" i="2"/>
  <c r="AC309" i="2" s="1"/>
  <c r="U310" i="2"/>
  <c r="AC310" i="2" s="1"/>
  <c r="U311" i="2"/>
  <c r="AC311" i="2" s="1"/>
  <c r="U312" i="2"/>
  <c r="AC312" i="2" s="1"/>
  <c r="U313" i="2"/>
  <c r="AC313" i="2" s="1"/>
  <c r="U314" i="2"/>
  <c r="AC314" i="2" s="1"/>
  <c r="U315" i="2"/>
  <c r="AC315" i="2" s="1"/>
  <c r="U316" i="2"/>
  <c r="AC316" i="2" s="1"/>
  <c r="U317" i="2"/>
  <c r="AC317" i="2" s="1"/>
  <c r="U318" i="2"/>
  <c r="AC318" i="2" s="1"/>
  <c r="U319" i="2"/>
  <c r="AC319" i="2" s="1"/>
  <c r="U320" i="2"/>
  <c r="AC320" i="2" s="1"/>
  <c r="U321" i="2"/>
  <c r="AC321" i="2" s="1"/>
  <c r="U322" i="2"/>
  <c r="AC322" i="2" s="1"/>
  <c r="U323" i="2"/>
  <c r="AC323" i="2" s="1"/>
  <c r="U324" i="2"/>
  <c r="AC324" i="2" s="1"/>
  <c r="U325" i="2"/>
  <c r="AC325" i="2" s="1"/>
  <c r="U326" i="2"/>
  <c r="AC326" i="2" s="1"/>
  <c r="U327" i="2"/>
  <c r="AC327" i="2" s="1"/>
  <c r="U328" i="2"/>
  <c r="AC328" i="2" s="1"/>
  <c r="U329" i="2"/>
  <c r="AC329" i="2" s="1"/>
  <c r="U330" i="2"/>
  <c r="AC330" i="2" s="1"/>
  <c r="U331" i="2"/>
  <c r="AC331" i="2" s="1"/>
  <c r="U332" i="2"/>
  <c r="AC332" i="2" s="1"/>
  <c r="U333" i="2"/>
  <c r="AC333" i="2" s="1"/>
  <c r="U334" i="2"/>
  <c r="AC334" i="2" s="1"/>
  <c r="U335" i="2"/>
  <c r="AC335" i="2" s="1"/>
  <c r="U336" i="2"/>
  <c r="AC336" i="2" s="1"/>
  <c r="U337" i="2"/>
  <c r="AC337" i="2" s="1"/>
  <c r="U338" i="2"/>
  <c r="AC338" i="2" s="1"/>
  <c r="U339" i="2"/>
  <c r="AC339" i="2" s="1"/>
  <c r="U340" i="2"/>
  <c r="AC340" i="2" s="1"/>
  <c r="U341" i="2"/>
  <c r="AC341" i="2" s="1"/>
  <c r="U342" i="2"/>
  <c r="AC342" i="2" s="1"/>
  <c r="U343" i="2"/>
  <c r="AC343" i="2" s="1"/>
  <c r="U344" i="2"/>
  <c r="AC344" i="2" s="1"/>
  <c r="U345" i="2"/>
  <c r="AC345" i="2" s="1"/>
  <c r="U346" i="2"/>
  <c r="V346" i="2" s="1"/>
  <c r="U347" i="2"/>
  <c r="V347" i="2" s="1"/>
  <c r="U348" i="2"/>
  <c r="V348" i="2" s="1"/>
  <c r="U349" i="2"/>
  <c r="V349" i="2" s="1"/>
  <c r="U350" i="2"/>
  <c r="V350" i="2" s="1"/>
  <c r="U351" i="2"/>
  <c r="V351" i="2" s="1"/>
  <c r="U352" i="2"/>
  <c r="V352" i="2" s="1"/>
  <c r="U353" i="2"/>
  <c r="V353" i="2" s="1"/>
  <c r="U354" i="2"/>
  <c r="V354" i="2" s="1"/>
  <c r="U355" i="2"/>
  <c r="V355" i="2" s="1"/>
  <c r="U356" i="2"/>
  <c r="V356" i="2" s="1"/>
  <c r="U357" i="2"/>
  <c r="V357" i="2" s="1"/>
  <c r="U358" i="2"/>
  <c r="V358" i="2" s="1"/>
  <c r="U359" i="2"/>
  <c r="V359" i="2" s="1"/>
  <c r="U360" i="2"/>
  <c r="V360" i="2" s="1"/>
  <c r="U361" i="2"/>
  <c r="V361" i="2" s="1"/>
  <c r="U362" i="2"/>
  <c r="V362" i="2" s="1"/>
  <c r="U363" i="2"/>
  <c r="V363" i="2" s="1"/>
  <c r="U364" i="2"/>
  <c r="V364" i="2" s="1"/>
  <c r="U365" i="2"/>
  <c r="V365" i="2" s="1"/>
  <c r="U366" i="2"/>
  <c r="V366" i="2" s="1"/>
  <c r="U367" i="2"/>
  <c r="V367" i="2" s="1"/>
  <c r="U368" i="2"/>
  <c r="V368" i="2" s="1"/>
  <c r="U369" i="2"/>
  <c r="V369" i="2" s="1"/>
  <c r="U370" i="2"/>
  <c r="V370" i="2" s="1"/>
  <c r="U371" i="2"/>
  <c r="V371" i="2" s="1"/>
  <c r="U372" i="2"/>
  <c r="V372" i="2" s="1"/>
  <c r="U373" i="2"/>
  <c r="V373" i="2" s="1"/>
  <c r="U374" i="2"/>
  <c r="V374" i="2" s="1"/>
  <c r="U375" i="2"/>
  <c r="V375" i="2" s="1"/>
  <c r="U376" i="2"/>
  <c r="V376" i="2" s="1"/>
  <c r="U377" i="2"/>
  <c r="V377" i="2" s="1"/>
  <c r="U378" i="2"/>
  <c r="AC378" i="2" s="1"/>
  <c r="U379" i="2"/>
  <c r="AC379" i="2" s="1"/>
  <c r="U380" i="2"/>
  <c r="AC380" i="2" s="1"/>
  <c r="U381" i="2"/>
  <c r="AC381" i="2" s="1"/>
  <c r="U382" i="2"/>
  <c r="AC382" i="2" s="1"/>
  <c r="U383" i="2"/>
  <c r="AC383" i="2" s="1"/>
  <c r="U384" i="2"/>
  <c r="AC384" i="2" s="1"/>
  <c r="U385" i="2"/>
  <c r="AC385" i="2" s="1"/>
  <c r="U386" i="2"/>
  <c r="AC386" i="2" s="1"/>
  <c r="U387" i="2"/>
  <c r="V387" i="2" s="1"/>
  <c r="U388" i="2"/>
  <c r="V388" i="2" s="1"/>
  <c r="U389" i="2"/>
  <c r="V389" i="2" s="1"/>
  <c r="U390" i="2"/>
  <c r="V390" i="2" s="1"/>
  <c r="U391" i="2"/>
  <c r="V391" i="2" s="1"/>
  <c r="U392" i="2"/>
  <c r="V392" i="2" s="1"/>
  <c r="U393" i="2"/>
  <c r="V393" i="2" s="1"/>
  <c r="U394" i="2"/>
  <c r="V394" i="2" s="1"/>
  <c r="U395" i="2"/>
  <c r="V395" i="2" s="1"/>
  <c r="U396" i="2"/>
  <c r="V396" i="2" s="1"/>
  <c r="U397" i="2"/>
  <c r="V397" i="2" s="1"/>
  <c r="U398" i="2"/>
  <c r="V398" i="2" s="1"/>
  <c r="U399" i="2"/>
  <c r="V399" i="2" s="1"/>
  <c r="U400" i="2"/>
  <c r="V400" i="2" s="1"/>
  <c r="U401" i="2"/>
  <c r="V401" i="2" s="1"/>
  <c r="U402" i="2"/>
  <c r="V402" i="2" s="1"/>
  <c r="U403" i="2"/>
  <c r="V403" i="2" s="1"/>
  <c r="U404" i="2"/>
  <c r="V404" i="2" s="1"/>
  <c r="U405" i="2"/>
  <c r="V405" i="2" s="1"/>
  <c r="U406" i="2"/>
  <c r="V406" i="2" s="1"/>
  <c r="U407" i="2"/>
  <c r="V407" i="2" s="1"/>
  <c r="U408" i="2"/>
  <c r="V408" i="2" s="1"/>
  <c r="U409" i="2"/>
  <c r="V409" i="2" s="1"/>
  <c r="U410" i="2"/>
  <c r="V410" i="2" s="1"/>
  <c r="U411" i="2"/>
  <c r="V411" i="2" s="1"/>
  <c r="U412" i="2"/>
  <c r="V412" i="2" s="1"/>
  <c r="U413" i="2"/>
  <c r="V413" i="2" s="1"/>
  <c r="U414" i="2"/>
  <c r="V414" i="2" s="1"/>
  <c r="U415" i="2"/>
  <c r="V415" i="2" s="1"/>
  <c r="U416" i="2"/>
  <c r="V416" i="2" s="1"/>
  <c r="U417" i="2"/>
  <c r="V417" i="2" s="1"/>
  <c r="U418" i="2"/>
  <c r="V418" i="2" s="1"/>
  <c r="U419" i="2"/>
  <c r="V419" i="2" s="1"/>
  <c r="U420" i="2"/>
  <c r="V420" i="2" s="1"/>
  <c r="U421" i="2"/>
  <c r="V421" i="2" s="1"/>
  <c r="U422" i="2"/>
  <c r="V422" i="2" s="1"/>
  <c r="U423" i="2"/>
  <c r="V423" i="2" s="1"/>
  <c r="U424" i="2"/>
  <c r="V424" i="2" s="1"/>
  <c r="U425" i="2"/>
  <c r="V425" i="2" s="1"/>
  <c r="U426" i="2"/>
  <c r="V426" i="2" s="1"/>
  <c r="U427" i="2"/>
  <c r="V427" i="2" s="1"/>
  <c r="U428" i="2"/>
  <c r="V428" i="2" s="1"/>
  <c r="U429" i="2"/>
  <c r="V429" i="2" s="1"/>
  <c r="U430" i="2"/>
  <c r="V430" i="2" s="1"/>
  <c r="U431" i="2"/>
  <c r="V431" i="2" s="1"/>
  <c r="U432" i="2"/>
  <c r="V432" i="2" s="1"/>
  <c r="U433" i="2"/>
  <c r="V433" i="2" s="1"/>
  <c r="U434" i="2"/>
  <c r="V434" i="2" s="1"/>
  <c r="U435" i="2"/>
  <c r="V435" i="2" s="1"/>
  <c r="U436" i="2"/>
  <c r="V436" i="2" s="1"/>
  <c r="U437" i="2"/>
  <c r="V437" i="2" s="1"/>
  <c r="U438" i="2"/>
  <c r="V438" i="2" s="1"/>
  <c r="U439" i="2"/>
  <c r="V439" i="2" s="1"/>
  <c r="U440" i="2"/>
  <c r="V440" i="2" s="1"/>
  <c r="U441" i="2"/>
  <c r="V441" i="2" s="1"/>
  <c r="U442" i="2"/>
  <c r="V442" i="2" s="1"/>
  <c r="U443" i="2"/>
  <c r="V443" i="2" s="1"/>
  <c r="U444" i="2"/>
  <c r="V444" i="2" s="1"/>
  <c r="U445" i="2"/>
  <c r="V445" i="2" s="1"/>
  <c r="U446" i="2"/>
  <c r="V446" i="2" s="1"/>
  <c r="U447" i="2"/>
  <c r="V447" i="2" s="1"/>
  <c r="U448" i="2"/>
  <c r="V448" i="2" s="1"/>
  <c r="U449" i="2"/>
  <c r="V449" i="2" s="1"/>
  <c r="U450" i="2"/>
  <c r="V450" i="2" s="1"/>
  <c r="U451" i="2"/>
  <c r="V451" i="2" s="1"/>
  <c r="U452" i="2"/>
  <c r="V452" i="2" s="1"/>
  <c r="U453" i="2"/>
  <c r="V453" i="2" s="1"/>
  <c r="U454" i="2"/>
  <c r="V454" i="2" s="1"/>
  <c r="U455" i="2"/>
  <c r="V455" i="2" s="1"/>
  <c r="U456" i="2"/>
  <c r="V456" i="2" s="1"/>
  <c r="U457" i="2"/>
  <c r="V457" i="2" s="1"/>
  <c r="U458" i="2"/>
  <c r="V458" i="2" s="1"/>
  <c r="U459" i="2"/>
  <c r="V459" i="2" s="1"/>
  <c r="U460" i="2"/>
  <c r="V460" i="2" s="1"/>
  <c r="U461" i="2"/>
  <c r="V461" i="2" s="1"/>
  <c r="U462" i="2"/>
  <c r="V462" i="2" s="1"/>
  <c r="U463" i="2"/>
  <c r="V463" i="2" s="1"/>
  <c r="U464" i="2"/>
  <c r="V464" i="2" s="1"/>
  <c r="U465" i="2"/>
  <c r="V465" i="2" s="1"/>
  <c r="U466" i="2"/>
  <c r="V466" i="2" s="1"/>
  <c r="U467" i="2"/>
  <c r="V467" i="2" s="1"/>
  <c r="U468" i="2"/>
  <c r="V468" i="2" s="1"/>
  <c r="U469" i="2"/>
  <c r="V469" i="2" s="1"/>
  <c r="U470" i="2"/>
  <c r="V470" i="2" s="1"/>
  <c r="U471" i="2"/>
  <c r="V471" i="2" s="1"/>
  <c r="U472" i="2"/>
  <c r="V472" i="2" s="1"/>
  <c r="U473" i="2"/>
  <c r="V473" i="2" s="1"/>
  <c r="U474" i="2"/>
  <c r="V474" i="2" s="1"/>
  <c r="U475" i="2"/>
  <c r="V475" i="2" s="1"/>
  <c r="U476" i="2"/>
  <c r="V476" i="2" s="1"/>
  <c r="U477" i="2"/>
  <c r="V477" i="2" s="1"/>
  <c r="U478" i="2"/>
  <c r="V478" i="2" s="1"/>
  <c r="U479" i="2"/>
  <c r="V479" i="2" s="1"/>
  <c r="U480" i="2"/>
  <c r="V480" i="2" s="1"/>
  <c r="U481" i="2"/>
  <c r="V481" i="2" s="1"/>
  <c r="U482" i="2"/>
  <c r="V482" i="2" s="1"/>
  <c r="U483" i="2"/>
  <c r="V483" i="2" s="1"/>
  <c r="U484" i="2"/>
  <c r="V484" i="2" s="1"/>
  <c r="U485" i="2"/>
  <c r="V485" i="2" s="1"/>
  <c r="U486" i="2"/>
  <c r="V486" i="2" s="1"/>
  <c r="U487" i="2"/>
  <c r="V487" i="2" s="1"/>
  <c r="U488" i="2"/>
  <c r="V488" i="2" s="1"/>
  <c r="U489" i="2"/>
  <c r="V489" i="2" s="1"/>
  <c r="U490" i="2"/>
  <c r="V490" i="2" s="1"/>
  <c r="U491" i="2"/>
  <c r="V491" i="2" s="1"/>
  <c r="U492" i="2"/>
  <c r="V492" i="2" s="1"/>
  <c r="U493" i="2"/>
  <c r="V493" i="2" s="1"/>
  <c r="U494" i="2"/>
  <c r="V494" i="2" s="1"/>
  <c r="U495" i="2"/>
  <c r="V495" i="2" s="1"/>
  <c r="U496" i="2"/>
  <c r="V496" i="2" s="1"/>
  <c r="U497" i="2"/>
  <c r="V497" i="2" s="1"/>
  <c r="U498" i="2"/>
  <c r="V498" i="2" s="1"/>
  <c r="U499" i="2"/>
  <c r="V499" i="2" s="1"/>
  <c r="U500" i="2"/>
  <c r="V500" i="2" s="1"/>
  <c r="U501" i="2"/>
  <c r="V501" i="2" s="1"/>
  <c r="U502" i="2"/>
  <c r="V502" i="2" s="1"/>
  <c r="U503" i="2"/>
  <c r="V503" i="2" s="1"/>
  <c r="U504" i="2"/>
  <c r="V504" i="2" s="1"/>
  <c r="U505" i="2"/>
  <c r="V505" i="2" s="1"/>
  <c r="U506" i="2"/>
  <c r="V506" i="2" s="1"/>
  <c r="U507" i="2"/>
  <c r="V507" i="2" s="1"/>
  <c r="U508" i="2"/>
  <c r="V508" i="2" s="1"/>
  <c r="U509" i="2"/>
  <c r="V509" i="2" s="1"/>
  <c r="U510" i="2"/>
  <c r="V510" i="2" s="1"/>
  <c r="U511" i="2"/>
  <c r="V511" i="2" s="1"/>
  <c r="U512" i="2"/>
  <c r="V512" i="2" s="1"/>
  <c r="U513" i="2"/>
  <c r="V513" i="2" s="1"/>
  <c r="U514" i="2"/>
  <c r="V514" i="2" s="1"/>
  <c r="U515" i="2"/>
  <c r="V515" i="2" s="1"/>
  <c r="U516" i="2"/>
  <c r="V516" i="2" s="1"/>
  <c r="U517" i="2"/>
  <c r="V517" i="2" s="1"/>
  <c r="U518" i="2"/>
  <c r="V518" i="2" s="1"/>
  <c r="U519" i="2"/>
  <c r="V519" i="2" s="1"/>
  <c r="U520" i="2"/>
  <c r="V520" i="2" s="1"/>
  <c r="U521" i="2"/>
  <c r="V521" i="2" s="1"/>
  <c r="U522" i="2"/>
  <c r="V522" i="2" s="1"/>
  <c r="U523" i="2"/>
  <c r="V523" i="2" s="1"/>
  <c r="U524" i="2"/>
  <c r="V524" i="2" s="1"/>
  <c r="U525" i="2"/>
  <c r="V525" i="2" s="1"/>
  <c r="U526" i="2"/>
  <c r="V526" i="2" s="1"/>
  <c r="U527" i="2"/>
  <c r="V527" i="2" s="1"/>
  <c r="U528" i="2"/>
  <c r="V528" i="2" s="1"/>
  <c r="U529" i="2"/>
  <c r="V529" i="2" s="1"/>
  <c r="U530" i="2"/>
  <c r="V530" i="2" s="1"/>
  <c r="U531" i="2"/>
  <c r="V531" i="2" s="1"/>
  <c r="U532" i="2"/>
  <c r="V532" i="2" s="1"/>
  <c r="U533" i="2"/>
  <c r="V533" i="2" s="1"/>
  <c r="U534" i="2"/>
  <c r="V534" i="2" s="1"/>
  <c r="U535" i="2"/>
  <c r="V535" i="2" s="1"/>
  <c r="U536" i="2"/>
  <c r="V536" i="2" s="1"/>
  <c r="U537" i="2"/>
  <c r="V537" i="2" s="1"/>
  <c r="U538" i="2"/>
  <c r="V538" i="2" s="1"/>
  <c r="U539" i="2"/>
  <c r="V539" i="2" s="1"/>
  <c r="U540" i="2"/>
  <c r="V540" i="2" s="1"/>
  <c r="U541" i="2"/>
  <c r="V541" i="2" s="1"/>
  <c r="U542" i="2"/>
  <c r="V542" i="2" s="1"/>
  <c r="U543" i="2"/>
  <c r="V543" i="2" s="1"/>
  <c r="U544" i="2"/>
  <c r="V544" i="2" s="1"/>
  <c r="U545" i="2"/>
  <c r="V545" i="2" s="1"/>
  <c r="U546" i="2"/>
  <c r="V546" i="2" s="1"/>
  <c r="U547" i="2"/>
  <c r="V547" i="2" s="1"/>
  <c r="U548" i="2"/>
  <c r="V548" i="2" s="1"/>
  <c r="U549" i="2"/>
  <c r="V549" i="2" s="1"/>
  <c r="U550" i="2"/>
  <c r="V550" i="2" s="1"/>
  <c r="U551" i="2"/>
  <c r="V551" i="2" s="1"/>
  <c r="U552" i="2"/>
  <c r="V552" i="2" s="1"/>
  <c r="U553" i="2"/>
  <c r="V553" i="2" s="1"/>
  <c r="U554" i="2"/>
  <c r="V554" i="2" s="1"/>
  <c r="U555" i="2"/>
  <c r="V555" i="2" s="1"/>
  <c r="U556" i="2"/>
  <c r="V556" i="2" s="1"/>
  <c r="U557" i="2"/>
  <c r="V557" i="2" s="1"/>
  <c r="U558" i="2"/>
  <c r="V558" i="2" s="1"/>
  <c r="U559" i="2"/>
  <c r="V559" i="2" s="1"/>
  <c r="U560" i="2"/>
  <c r="V560" i="2" s="1"/>
  <c r="U561" i="2"/>
  <c r="V561" i="2" s="1"/>
  <c r="U562" i="2"/>
  <c r="V562" i="2" s="1"/>
  <c r="U563" i="2"/>
  <c r="V563" i="2" s="1"/>
  <c r="U564" i="2"/>
  <c r="V564" i="2" s="1"/>
  <c r="U565" i="2"/>
  <c r="V565" i="2" s="1"/>
  <c r="U566" i="2"/>
  <c r="V566" i="2" s="1"/>
  <c r="U567" i="2"/>
  <c r="V567" i="2" s="1"/>
  <c r="U568" i="2"/>
  <c r="V568" i="2" s="1"/>
  <c r="U569" i="2"/>
  <c r="V569" i="2" s="1"/>
  <c r="U570" i="2"/>
  <c r="V570" i="2" s="1"/>
  <c r="U571" i="2"/>
  <c r="V571" i="2" s="1"/>
  <c r="U572" i="2"/>
  <c r="V572" i="2" s="1"/>
  <c r="U573" i="2"/>
  <c r="V573" i="2" s="1"/>
  <c r="U574" i="2"/>
  <c r="V574" i="2" s="1"/>
  <c r="U575" i="2"/>
  <c r="V575" i="2" s="1"/>
  <c r="U576" i="2"/>
  <c r="V576" i="2" s="1"/>
  <c r="U577" i="2"/>
  <c r="V577" i="2" s="1"/>
  <c r="U578" i="2"/>
  <c r="V578" i="2" s="1"/>
  <c r="U579" i="2"/>
  <c r="V579" i="2" s="1"/>
  <c r="U580" i="2"/>
  <c r="V580" i="2" s="1"/>
  <c r="U581" i="2"/>
  <c r="V581" i="2" s="1"/>
  <c r="U582" i="2"/>
  <c r="V582" i="2" s="1"/>
  <c r="U583" i="2"/>
  <c r="V583" i="2" s="1"/>
  <c r="U584" i="2"/>
  <c r="V584" i="2" s="1"/>
  <c r="U585" i="2"/>
  <c r="V585" i="2" s="1"/>
  <c r="U586" i="2"/>
  <c r="V586" i="2" s="1"/>
  <c r="U587" i="2"/>
  <c r="V587" i="2" s="1"/>
  <c r="U588" i="2"/>
  <c r="V588" i="2" s="1"/>
  <c r="U589" i="2"/>
  <c r="V589" i="2" s="1"/>
  <c r="U590" i="2"/>
  <c r="V590" i="2" s="1"/>
  <c r="U591" i="2"/>
  <c r="V591" i="2" s="1"/>
  <c r="U592" i="2"/>
  <c r="V592" i="2" s="1"/>
  <c r="U593" i="2"/>
  <c r="V593" i="2" s="1"/>
  <c r="U594" i="2"/>
  <c r="V594" i="2" s="1"/>
  <c r="U595" i="2"/>
  <c r="V595" i="2" s="1"/>
  <c r="U596" i="2"/>
  <c r="V596" i="2" s="1"/>
  <c r="U597" i="2"/>
  <c r="V597" i="2" s="1"/>
  <c r="U598" i="2"/>
  <c r="V598" i="2" s="1"/>
  <c r="U599" i="2"/>
  <c r="V599" i="2" s="1"/>
  <c r="U600" i="2"/>
  <c r="V600" i="2" s="1"/>
  <c r="U601" i="2"/>
  <c r="V601" i="2" s="1"/>
  <c r="U602" i="2"/>
  <c r="V602" i="2" s="1"/>
  <c r="U603" i="2"/>
  <c r="V603" i="2" s="1"/>
  <c r="U604" i="2"/>
  <c r="V604" i="2" s="1"/>
  <c r="U605" i="2"/>
  <c r="V605" i="2" s="1"/>
  <c r="U606" i="2"/>
  <c r="V606" i="2" s="1"/>
  <c r="U607" i="2"/>
  <c r="V607" i="2" s="1"/>
  <c r="U608" i="2"/>
  <c r="V608" i="2" s="1"/>
  <c r="U609" i="2"/>
  <c r="V609" i="2" s="1"/>
  <c r="U610" i="2"/>
  <c r="V610" i="2" s="1"/>
  <c r="U611" i="2"/>
  <c r="V611" i="2" s="1"/>
  <c r="U612" i="2"/>
  <c r="V612" i="2" s="1"/>
  <c r="U613" i="2"/>
  <c r="V613" i="2" s="1"/>
  <c r="U614" i="2"/>
  <c r="V614" i="2" s="1"/>
  <c r="U615" i="2"/>
  <c r="V615" i="2" s="1"/>
  <c r="U616" i="2"/>
  <c r="V616" i="2" s="1"/>
  <c r="U617" i="2"/>
  <c r="V617" i="2" s="1"/>
  <c r="U618" i="2"/>
  <c r="V618" i="2" s="1"/>
  <c r="U619" i="2"/>
  <c r="V619" i="2" s="1"/>
  <c r="U620" i="2"/>
  <c r="V620" i="2" s="1"/>
  <c r="U621" i="2"/>
  <c r="V621" i="2" s="1"/>
  <c r="U622" i="2"/>
  <c r="V622" i="2" s="1"/>
  <c r="U623" i="2"/>
  <c r="V623" i="2" s="1"/>
  <c r="U624" i="2"/>
  <c r="V624" i="2" s="1"/>
  <c r="U625" i="2"/>
  <c r="V625" i="2" s="1"/>
  <c r="U626" i="2"/>
  <c r="V626" i="2" s="1"/>
  <c r="U627" i="2"/>
  <c r="V627" i="2" s="1"/>
  <c r="U628" i="2"/>
  <c r="V628" i="2" s="1"/>
  <c r="U629" i="2"/>
  <c r="V629" i="2" s="1"/>
  <c r="U630" i="2"/>
  <c r="V630" i="2" s="1"/>
  <c r="U631" i="2"/>
  <c r="V631" i="2" s="1"/>
  <c r="U632" i="2"/>
  <c r="V632" i="2" s="1"/>
  <c r="U633" i="2"/>
  <c r="V633" i="2" s="1"/>
  <c r="U634" i="2"/>
  <c r="V634" i="2" s="1"/>
  <c r="U635" i="2"/>
  <c r="V635" i="2" s="1"/>
  <c r="U636" i="2"/>
  <c r="V636" i="2" s="1"/>
  <c r="U637" i="2"/>
  <c r="V637" i="2" s="1"/>
  <c r="U638" i="2"/>
  <c r="V638" i="2" s="1"/>
  <c r="U639" i="2"/>
  <c r="V639" i="2" s="1"/>
  <c r="U640" i="2"/>
  <c r="V640" i="2" s="1"/>
  <c r="U641" i="2"/>
  <c r="V641" i="2" s="1"/>
  <c r="U642" i="2"/>
  <c r="V642" i="2" s="1"/>
  <c r="U643" i="2"/>
  <c r="V643" i="2" s="1"/>
  <c r="U644" i="2"/>
  <c r="V644" i="2" s="1"/>
  <c r="U645" i="2"/>
  <c r="AC645" i="2" s="1"/>
  <c r="U646" i="2"/>
  <c r="AC646" i="2" s="1"/>
  <c r="U647" i="2"/>
  <c r="AC647" i="2" s="1"/>
  <c r="U648" i="2"/>
  <c r="AC648" i="2" s="1"/>
  <c r="U649" i="2"/>
  <c r="AC649" i="2" s="1"/>
  <c r="U650" i="2"/>
  <c r="AC650" i="2" s="1"/>
  <c r="U651" i="2"/>
  <c r="AC651" i="2" s="1"/>
  <c r="U652" i="2"/>
  <c r="AC652" i="2" s="1"/>
  <c r="U653" i="2"/>
  <c r="AC653" i="2" s="1"/>
  <c r="U654" i="2"/>
  <c r="AC654" i="2" s="1"/>
  <c r="U655" i="2"/>
  <c r="AC655" i="2" s="1"/>
  <c r="U656" i="2"/>
  <c r="AC656" i="2" s="1"/>
  <c r="U657" i="2"/>
  <c r="AC657" i="2" s="1"/>
  <c r="U658" i="2"/>
  <c r="AC658" i="2" s="1"/>
  <c r="U659" i="2"/>
  <c r="AC659" i="2" s="1"/>
  <c r="U660" i="2"/>
  <c r="AC660" i="2" s="1"/>
  <c r="U661" i="2"/>
  <c r="AC661" i="2" s="1"/>
  <c r="U662" i="2"/>
  <c r="AC662" i="2" s="1"/>
  <c r="U663" i="2"/>
  <c r="AC663" i="2" s="1"/>
  <c r="U664" i="2"/>
  <c r="AC664" i="2" s="1"/>
  <c r="U665" i="2"/>
  <c r="AC665" i="2" s="1"/>
  <c r="U666" i="2"/>
  <c r="AC666" i="2" s="1"/>
  <c r="U667" i="2"/>
  <c r="AC667" i="2" s="1"/>
  <c r="U668" i="2"/>
  <c r="AC668" i="2" s="1"/>
  <c r="U669" i="2"/>
  <c r="AC669" i="2" s="1"/>
  <c r="U670" i="2"/>
  <c r="AC670" i="2" s="1"/>
  <c r="U671" i="2"/>
  <c r="AC671" i="2" s="1"/>
  <c r="U672" i="2"/>
  <c r="AC672" i="2" s="1"/>
  <c r="U673" i="2"/>
  <c r="AC673" i="2" s="1"/>
  <c r="U674" i="2"/>
  <c r="AC674" i="2" s="1"/>
  <c r="U675" i="2"/>
  <c r="AC675" i="2" s="1"/>
  <c r="U676" i="2"/>
  <c r="AC676" i="2" s="1"/>
  <c r="U677" i="2"/>
  <c r="AC677" i="2" s="1"/>
  <c r="U678" i="2"/>
  <c r="AC678" i="2" s="1"/>
  <c r="U679" i="2"/>
  <c r="AC679" i="2" s="1"/>
  <c r="U680" i="2"/>
  <c r="AC680" i="2" s="1"/>
  <c r="U681" i="2"/>
  <c r="AC681" i="2" s="1"/>
  <c r="U682" i="2"/>
  <c r="AC682" i="2" s="1"/>
  <c r="U683" i="2"/>
  <c r="AC683" i="2" s="1"/>
  <c r="U684" i="2"/>
  <c r="AC684" i="2" s="1"/>
  <c r="U685" i="2"/>
  <c r="AC685" i="2" s="1"/>
  <c r="U686" i="2"/>
  <c r="AC686" i="2" s="1"/>
  <c r="U687" i="2"/>
  <c r="AC687" i="2" s="1"/>
  <c r="U688" i="2"/>
  <c r="AC688" i="2" s="1"/>
  <c r="U689" i="2"/>
  <c r="AC689" i="2" s="1"/>
  <c r="U690" i="2"/>
  <c r="AC690" i="2" s="1"/>
  <c r="U691" i="2"/>
  <c r="AC691" i="2" s="1"/>
  <c r="U692" i="2"/>
  <c r="AC692" i="2" s="1"/>
  <c r="U693" i="2"/>
  <c r="AC693" i="2" s="1"/>
  <c r="U694" i="2"/>
  <c r="AC694" i="2" s="1"/>
  <c r="U695" i="2"/>
  <c r="AC695" i="2" s="1"/>
  <c r="U696" i="2"/>
  <c r="AC696" i="2" s="1"/>
  <c r="U697" i="2"/>
  <c r="AC697" i="2" s="1"/>
  <c r="U698" i="2"/>
  <c r="AC698" i="2" s="1"/>
  <c r="U699" i="2"/>
  <c r="AC699" i="2" s="1"/>
  <c r="U700" i="2"/>
  <c r="AC700" i="2" s="1"/>
  <c r="U701" i="2"/>
  <c r="AC701" i="2" s="1"/>
  <c r="U702" i="2"/>
  <c r="AC702" i="2" s="1"/>
  <c r="U703" i="2"/>
  <c r="AC703" i="2" s="1"/>
  <c r="U704" i="2"/>
  <c r="AC704" i="2" s="1"/>
  <c r="U705" i="2"/>
  <c r="AC705" i="2" s="1"/>
  <c r="U706" i="2"/>
  <c r="AC706" i="2" s="1"/>
  <c r="U707" i="2"/>
  <c r="AC707" i="2" s="1"/>
  <c r="U708" i="2"/>
  <c r="AC708" i="2" s="1"/>
  <c r="U709" i="2"/>
  <c r="AC709" i="2" s="1"/>
  <c r="U710" i="2"/>
  <c r="AC710" i="2" s="1"/>
  <c r="U711" i="2"/>
  <c r="AC711" i="2" s="1"/>
  <c r="U712" i="2"/>
  <c r="AC712" i="2" s="1"/>
  <c r="U713" i="2"/>
  <c r="AC713" i="2" s="1"/>
  <c r="U714" i="2"/>
  <c r="AC714" i="2" s="1"/>
  <c r="U715" i="2"/>
  <c r="AC715" i="2" s="1"/>
  <c r="U716" i="2"/>
  <c r="AC716" i="2" s="1"/>
  <c r="U717" i="2"/>
  <c r="AC717" i="2" s="1"/>
  <c r="U718" i="2"/>
  <c r="AC718" i="2" s="1"/>
  <c r="U719" i="2"/>
  <c r="AC719" i="2" s="1"/>
  <c r="U720" i="2"/>
  <c r="AC720" i="2" s="1"/>
  <c r="U721" i="2"/>
  <c r="AC721" i="2" s="1"/>
  <c r="U722" i="2"/>
  <c r="AC722" i="2" s="1"/>
  <c r="U723" i="2"/>
  <c r="AC723" i="2" s="1"/>
  <c r="U724" i="2"/>
  <c r="AC724" i="2" s="1"/>
  <c r="U725" i="2"/>
  <c r="AC725" i="2" s="1"/>
  <c r="U726" i="2"/>
  <c r="AC726" i="2" s="1"/>
  <c r="U727" i="2"/>
  <c r="AC727" i="2" s="1"/>
  <c r="U728" i="2"/>
  <c r="AC728" i="2" s="1"/>
  <c r="U729" i="2"/>
  <c r="AC729" i="2" s="1"/>
  <c r="U730" i="2"/>
  <c r="AC730" i="2" s="1"/>
  <c r="U731" i="2"/>
  <c r="AC731" i="2" s="1"/>
  <c r="U732" i="2"/>
  <c r="AC732" i="2" s="1"/>
  <c r="U733" i="2"/>
  <c r="AC733" i="2" s="1"/>
  <c r="U734" i="2"/>
  <c r="AC734" i="2" s="1"/>
  <c r="U735" i="2"/>
  <c r="AC735" i="2" s="1"/>
  <c r="U736" i="2"/>
  <c r="AC736" i="2" s="1"/>
  <c r="U737" i="2"/>
  <c r="AC737" i="2" s="1"/>
  <c r="U738" i="2"/>
  <c r="AC738" i="2" s="1"/>
  <c r="U739" i="2"/>
  <c r="AC739" i="2" s="1"/>
  <c r="U740" i="2"/>
  <c r="AC740" i="2" s="1"/>
  <c r="U741" i="2"/>
  <c r="AC741" i="2" s="1"/>
  <c r="U742" i="2"/>
  <c r="AC742" i="2" s="1"/>
  <c r="U743" i="2"/>
  <c r="AC743" i="2" s="1"/>
  <c r="U744" i="2"/>
  <c r="AC744" i="2" s="1"/>
  <c r="U745" i="2"/>
  <c r="AC745" i="2" s="1"/>
  <c r="U746" i="2"/>
  <c r="AC746" i="2" s="1"/>
  <c r="U747" i="2"/>
  <c r="AC747" i="2" s="1"/>
  <c r="U748" i="2"/>
  <c r="AC748" i="2" s="1"/>
  <c r="U749" i="2"/>
  <c r="AC749" i="2" s="1"/>
  <c r="U750" i="2"/>
  <c r="AC750" i="2" s="1"/>
  <c r="U751" i="2"/>
  <c r="AC751" i="2" s="1"/>
  <c r="U752" i="2"/>
  <c r="AC752" i="2" s="1"/>
  <c r="U753" i="2"/>
  <c r="AC753" i="2" s="1"/>
  <c r="U754" i="2"/>
  <c r="AC754" i="2" s="1"/>
  <c r="U755" i="2"/>
  <c r="AC755" i="2" s="1"/>
  <c r="U756" i="2"/>
  <c r="AC756" i="2" s="1"/>
  <c r="U757" i="2"/>
  <c r="AC757" i="2" s="1"/>
  <c r="U758" i="2"/>
  <c r="AC758" i="2" s="1"/>
  <c r="U759" i="2"/>
  <c r="AC759" i="2" s="1"/>
  <c r="U760" i="2"/>
  <c r="AC760" i="2" s="1"/>
  <c r="U761" i="2"/>
  <c r="AC761" i="2" s="1"/>
  <c r="U762" i="2"/>
  <c r="AC762" i="2" s="1"/>
  <c r="U763" i="2"/>
  <c r="AC763" i="2" s="1"/>
  <c r="U764" i="2"/>
  <c r="AC764" i="2" s="1"/>
  <c r="U765" i="2"/>
  <c r="AC765" i="2" s="1"/>
  <c r="U766" i="2"/>
  <c r="AC766" i="2" s="1"/>
  <c r="U767" i="2"/>
  <c r="AC767" i="2" s="1"/>
  <c r="U768" i="2"/>
  <c r="AC768" i="2" s="1"/>
  <c r="U769" i="2"/>
  <c r="AC769" i="2" s="1"/>
  <c r="U770" i="2"/>
  <c r="AC770" i="2" s="1"/>
  <c r="U771" i="2"/>
  <c r="AC771" i="2" s="1"/>
  <c r="U772" i="2"/>
  <c r="AC772" i="2" s="1"/>
  <c r="U773" i="2"/>
  <c r="AC773" i="2" s="1"/>
  <c r="U774" i="2"/>
  <c r="AC774" i="2" s="1"/>
  <c r="U775" i="2"/>
  <c r="AC775" i="2" s="1"/>
  <c r="U776" i="2"/>
  <c r="AC776" i="2" s="1"/>
  <c r="U777" i="2"/>
  <c r="AC777" i="2" s="1"/>
  <c r="U778" i="2"/>
  <c r="AC778" i="2" s="1"/>
  <c r="U779" i="2"/>
  <c r="AC779" i="2" s="1"/>
  <c r="U780" i="2"/>
  <c r="AC780" i="2" s="1"/>
  <c r="U781" i="2"/>
  <c r="AC781" i="2" s="1"/>
  <c r="U782" i="2"/>
  <c r="AC782" i="2" s="1"/>
  <c r="U783" i="2"/>
  <c r="AC783" i="2" s="1"/>
  <c r="U784" i="2"/>
  <c r="AC784" i="2" s="1"/>
  <c r="U785" i="2"/>
  <c r="AC785" i="2" s="1"/>
  <c r="U786" i="2"/>
  <c r="AC786" i="2" s="1"/>
  <c r="U787" i="2"/>
  <c r="AC787" i="2" s="1"/>
  <c r="U788" i="2"/>
  <c r="AC788" i="2" s="1"/>
  <c r="U789" i="2"/>
  <c r="AC789" i="2" s="1"/>
  <c r="U790" i="2"/>
  <c r="AC790" i="2" s="1"/>
  <c r="U791" i="2"/>
  <c r="AC791" i="2" s="1"/>
  <c r="U792" i="2"/>
  <c r="AC792" i="2" s="1"/>
  <c r="U793" i="2"/>
  <c r="AC793" i="2" s="1"/>
  <c r="U794" i="2"/>
  <c r="AC794" i="2" s="1"/>
  <c r="U795" i="2"/>
  <c r="AC795" i="2" s="1"/>
  <c r="U796" i="2"/>
  <c r="AC796" i="2" s="1"/>
  <c r="U797" i="2"/>
  <c r="AC797" i="2" s="1"/>
  <c r="U798" i="2"/>
  <c r="AC798" i="2" s="1"/>
  <c r="U799" i="2"/>
  <c r="AC799" i="2" s="1"/>
  <c r="U800" i="2"/>
  <c r="AC800" i="2" s="1"/>
  <c r="U801" i="2"/>
  <c r="AC801" i="2" s="1"/>
  <c r="U802" i="2"/>
  <c r="AC802" i="2" s="1"/>
  <c r="U803" i="2"/>
  <c r="AC803" i="2" s="1"/>
  <c r="U804" i="2"/>
  <c r="AC804" i="2" s="1"/>
  <c r="U805" i="2"/>
  <c r="AC805" i="2" s="1"/>
  <c r="U806" i="2"/>
  <c r="AC806" i="2" s="1"/>
  <c r="U807" i="2"/>
  <c r="AC807" i="2" s="1"/>
  <c r="U808" i="2"/>
  <c r="AC808" i="2" s="1"/>
  <c r="U809" i="2"/>
  <c r="AC809" i="2" s="1"/>
  <c r="U810" i="2"/>
  <c r="AC810" i="2" s="1"/>
  <c r="U811" i="2"/>
  <c r="AC811" i="2" s="1"/>
  <c r="U812" i="2"/>
  <c r="AC812" i="2" s="1"/>
  <c r="U813" i="2"/>
  <c r="AC813" i="2" s="1"/>
  <c r="U814" i="2"/>
  <c r="AC814" i="2" s="1"/>
  <c r="U815" i="2"/>
  <c r="AC815" i="2" s="1"/>
  <c r="U816" i="2"/>
  <c r="AC816" i="2" s="1"/>
  <c r="U817" i="2"/>
  <c r="AC817" i="2" s="1"/>
  <c r="U818" i="2"/>
  <c r="AC818" i="2" s="1"/>
  <c r="U819" i="2"/>
  <c r="AC819" i="2" s="1"/>
  <c r="U820" i="2"/>
  <c r="AC820" i="2" s="1"/>
  <c r="U821" i="2"/>
  <c r="AC821" i="2" s="1"/>
  <c r="U822" i="2"/>
  <c r="AC822" i="2" s="1"/>
  <c r="U823" i="2"/>
  <c r="AC823" i="2" s="1"/>
  <c r="U824" i="2"/>
  <c r="AC824" i="2" s="1"/>
  <c r="U825" i="2"/>
  <c r="AC825" i="2" s="1"/>
  <c r="U826" i="2"/>
  <c r="AC826" i="2" s="1"/>
  <c r="U827" i="2"/>
  <c r="AC827" i="2" s="1"/>
  <c r="U828" i="2"/>
  <c r="AC828" i="2" s="1"/>
  <c r="U829" i="2"/>
  <c r="AC829" i="2" s="1"/>
  <c r="U830" i="2"/>
  <c r="AC830" i="2" s="1"/>
  <c r="U831" i="2"/>
  <c r="AC831" i="2" s="1"/>
  <c r="U832" i="2"/>
  <c r="AC832" i="2" s="1"/>
  <c r="U833" i="2"/>
  <c r="AC833" i="2" s="1"/>
  <c r="U834" i="2"/>
  <c r="AC834" i="2" s="1"/>
  <c r="U835" i="2"/>
  <c r="AC835" i="2" s="1"/>
  <c r="U836" i="2"/>
  <c r="AC836" i="2" s="1"/>
  <c r="U837" i="2"/>
  <c r="AC837" i="2" s="1"/>
  <c r="U838" i="2"/>
  <c r="AC838" i="2" s="1"/>
  <c r="U839" i="2"/>
  <c r="AC839" i="2" s="1"/>
  <c r="U840" i="2"/>
  <c r="AC840" i="2" s="1"/>
  <c r="U841" i="2"/>
  <c r="AC841" i="2" s="1"/>
  <c r="U842" i="2"/>
  <c r="AC842" i="2" s="1"/>
  <c r="U843" i="2"/>
  <c r="AC843" i="2" s="1"/>
  <c r="U844" i="2"/>
  <c r="AC844" i="2" s="1"/>
  <c r="U845" i="2"/>
  <c r="AC845" i="2" s="1"/>
  <c r="U846" i="2"/>
  <c r="V846" i="2" s="1"/>
  <c r="U847" i="2"/>
  <c r="V847" i="2" s="1"/>
  <c r="U848" i="2"/>
  <c r="V848" i="2" s="1"/>
  <c r="U849" i="2"/>
  <c r="V849" i="2" s="1"/>
  <c r="U850" i="2"/>
  <c r="V850" i="2" s="1"/>
  <c r="U851" i="2"/>
  <c r="V851" i="2" s="1"/>
  <c r="U852" i="2"/>
  <c r="V852" i="2" s="1"/>
  <c r="U853" i="2"/>
  <c r="V853" i="2" s="1"/>
  <c r="U854" i="2"/>
  <c r="V854" i="2" s="1"/>
  <c r="U855" i="2"/>
  <c r="V855" i="2" s="1"/>
  <c r="U856" i="2"/>
  <c r="V856" i="2" s="1"/>
  <c r="U857" i="2"/>
  <c r="V857" i="2" s="1"/>
  <c r="U858" i="2"/>
  <c r="V858" i="2" s="1"/>
  <c r="U859" i="2"/>
  <c r="V859" i="2" s="1"/>
  <c r="U860" i="2"/>
  <c r="V860" i="2" s="1"/>
  <c r="U861" i="2"/>
  <c r="V861" i="2" s="1"/>
  <c r="U862" i="2"/>
  <c r="V862" i="2" s="1"/>
  <c r="U863" i="2"/>
  <c r="V863" i="2" s="1"/>
  <c r="U864" i="2"/>
  <c r="V864" i="2" s="1"/>
  <c r="U865" i="2"/>
  <c r="V865" i="2" s="1"/>
  <c r="U866" i="2"/>
  <c r="V866" i="2" s="1"/>
  <c r="U867" i="2"/>
  <c r="V867" i="2" s="1"/>
  <c r="U868" i="2"/>
  <c r="V868" i="2" s="1"/>
  <c r="U869" i="2"/>
  <c r="V869" i="2" s="1"/>
  <c r="U870" i="2"/>
  <c r="V870" i="2" s="1"/>
  <c r="U871" i="2"/>
  <c r="V871" i="2" s="1"/>
  <c r="U872" i="2"/>
  <c r="V872" i="2" s="1"/>
  <c r="U873" i="2"/>
  <c r="V873" i="2" s="1"/>
  <c r="U874" i="2"/>
  <c r="V874" i="2" s="1"/>
  <c r="U875" i="2"/>
  <c r="V875" i="2" s="1"/>
  <c r="U876" i="2"/>
  <c r="V876" i="2" s="1"/>
  <c r="U877" i="2"/>
  <c r="V877" i="2" s="1"/>
  <c r="U878" i="2"/>
  <c r="V878" i="2" s="1"/>
  <c r="U879" i="2"/>
  <c r="V879" i="2" s="1"/>
  <c r="U880" i="2"/>
  <c r="V880" i="2" s="1"/>
  <c r="U881" i="2"/>
  <c r="V881" i="2" s="1"/>
  <c r="U882" i="2"/>
  <c r="V882" i="2" s="1"/>
  <c r="U883" i="2"/>
  <c r="V883" i="2" s="1"/>
  <c r="U884" i="2"/>
  <c r="V884" i="2" s="1"/>
  <c r="U885" i="2"/>
  <c r="V885" i="2" s="1"/>
  <c r="U886" i="2"/>
  <c r="V886" i="2" s="1"/>
  <c r="U887" i="2"/>
  <c r="V887" i="2" s="1"/>
  <c r="U888" i="2"/>
  <c r="V888" i="2" s="1"/>
  <c r="U889" i="2"/>
  <c r="V889" i="2" s="1"/>
  <c r="U890" i="2"/>
  <c r="V890" i="2" s="1"/>
  <c r="U891" i="2"/>
  <c r="V891" i="2" s="1"/>
  <c r="U892" i="2"/>
  <c r="V892" i="2" s="1"/>
  <c r="U893" i="2"/>
  <c r="V893" i="2" s="1"/>
  <c r="U894" i="2"/>
  <c r="V894" i="2" s="1"/>
  <c r="U895" i="2"/>
  <c r="V895" i="2" s="1"/>
  <c r="U896" i="2"/>
  <c r="V896" i="2" s="1"/>
  <c r="U897" i="2"/>
  <c r="V897" i="2" s="1"/>
  <c r="U898" i="2"/>
  <c r="V898" i="2" s="1"/>
  <c r="U899" i="2"/>
  <c r="V899" i="2" s="1"/>
  <c r="U900" i="2"/>
  <c r="V900" i="2" s="1"/>
  <c r="U901" i="2"/>
  <c r="V901" i="2" s="1"/>
  <c r="U902" i="2"/>
  <c r="V902" i="2" s="1"/>
  <c r="U903" i="2"/>
  <c r="V903" i="2" s="1"/>
  <c r="U904" i="2"/>
  <c r="V904" i="2" s="1"/>
  <c r="U905" i="2"/>
  <c r="V905" i="2" s="1"/>
  <c r="U906" i="2"/>
  <c r="V906" i="2" s="1"/>
  <c r="U907" i="2"/>
  <c r="V907" i="2" s="1"/>
  <c r="U908" i="2"/>
  <c r="V908" i="2" s="1"/>
  <c r="U909" i="2"/>
  <c r="V909" i="2" s="1"/>
  <c r="U910" i="2"/>
  <c r="V910" i="2" s="1"/>
  <c r="U911" i="2"/>
  <c r="V911" i="2" s="1"/>
  <c r="U912" i="2"/>
  <c r="V912" i="2" s="1"/>
  <c r="U913" i="2"/>
  <c r="V913" i="2" s="1"/>
  <c r="U914" i="2"/>
  <c r="V914" i="2" s="1"/>
  <c r="U915" i="2"/>
  <c r="V915" i="2" s="1"/>
  <c r="U916" i="2"/>
  <c r="V916" i="2" s="1"/>
  <c r="U917" i="2"/>
  <c r="V917" i="2" s="1"/>
  <c r="U918" i="2"/>
  <c r="V918" i="2" s="1"/>
  <c r="U919" i="2"/>
  <c r="V919" i="2" s="1"/>
  <c r="U920" i="2"/>
  <c r="V920" i="2" s="1"/>
  <c r="U921" i="2"/>
  <c r="V921" i="2" s="1"/>
  <c r="U922" i="2"/>
  <c r="V922" i="2" s="1"/>
  <c r="U923" i="2"/>
  <c r="V923" i="2" s="1"/>
  <c r="U924" i="2"/>
  <c r="V924" i="2" s="1"/>
  <c r="U925" i="2"/>
  <c r="V925" i="2" s="1"/>
  <c r="U926" i="2"/>
  <c r="V926" i="2" s="1"/>
  <c r="U927" i="2"/>
  <c r="V927" i="2" s="1"/>
  <c r="U928" i="2"/>
  <c r="V928" i="2" s="1"/>
  <c r="U929" i="2"/>
  <c r="V929" i="2" s="1"/>
  <c r="U930" i="2"/>
  <c r="V930" i="2" s="1"/>
  <c r="U931" i="2"/>
  <c r="V931" i="2" s="1"/>
  <c r="U932" i="2"/>
  <c r="V932" i="2" s="1"/>
  <c r="U933" i="2"/>
  <c r="V933" i="2" s="1"/>
  <c r="U934" i="2"/>
  <c r="V934" i="2" s="1"/>
  <c r="U935" i="2"/>
  <c r="V935" i="2" s="1"/>
  <c r="U936" i="2"/>
  <c r="V936" i="2" s="1"/>
  <c r="U937" i="2"/>
  <c r="V937" i="2" s="1"/>
  <c r="U938" i="2"/>
  <c r="V938" i="2" s="1"/>
  <c r="U939" i="2"/>
  <c r="V939" i="2" s="1"/>
  <c r="U940" i="2"/>
  <c r="V940" i="2" s="1"/>
  <c r="U941" i="2"/>
  <c r="V941" i="2" s="1"/>
  <c r="U942" i="2"/>
  <c r="V942" i="2" s="1"/>
  <c r="U943" i="2"/>
  <c r="V943" i="2" s="1"/>
  <c r="U944" i="2"/>
  <c r="V944" i="2" s="1"/>
  <c r="U945" i="2"/>
  <c r="V945" i="2" s="1"/>
  <c r="U946" i="2"/>
  <c r="V946" i="2" s="1"/>
  <c r="U947" i="2"/>
  <c r="V947" i="2" s="1"/>
  <c r="U948" i="2"/>
  <c r="V948" i="2" s="1"/>
  <c r="U949" i="2"/>
  <c r="V949" i="2" s="1"/>
  <c r="U950" i="2"/>
  <c r="V950" i="2" s="1"/>
  <c r="U951" i="2"/>
  <c r="V951" i="2" s="1"/>
  <c r="U952" i="2"/>
  <c r="V952" i="2" s="1"/>
  <c r="U953" i="2"/>
  <c r="V953" i="2" s="1"/>
  <c r="U954" i="2"/>
  <c r="V954" i="2" s="1"/>
  <c r="U955" i="2"/>
  <c r="V955" i="2" s="1"/>
  <c r="U956" i="2"/>
  <c r="V956" i="2" s="1"/>
  <c r="U957" i="2"/>
  <c r="V957" i="2" s="1"/>
  <c r="U958" i="2"/>
  <c r="V958" i="2" s="1"/>
  <c r="U959" i="2"/>
  <c r="V959" i="2" s="1"/>
  <c r="U960" i="2"/>
  <c r="V960" i="2" s="1"/>
  <c r="U961" i="2"/>
  <c r="V961" i="2" s="1"/>
  <c r="U962" i="2"/>
  <c r="V962" i="2" s="1"/>
  <c r="U963" i="2"/>
  <c r="V963" i="2" s="1"/>
  <c r="U964" i="2"/>
  <c r="V964" i="2" s="1"/>
  <c r="U965" i="2"/>
  <c r="V965" i="2" s="1"/>
  <c r="U966" i="2"/>
  <c r="V966" i="2" s="1"/>
  <c r="U967" i="2"/>
  <c r="V967" i="2" s="1"/>
  <c r="U968" i="2"/>
  <c r="V968" i="2" s="1"/>
  <c r="U969" i="2"/>
  <c r="V969" i="2" s="1"/>
  <c r="U970" i="2"/>
  <c r="V970" i="2" s="1"/>
  <c r="U971" i="2"/>
  <c r="V971" i="2" s="1"/>
  <c r="U972" i="2"/>
  <c r="V972" i="2" s="1"/>
  <c r="U973" i="2"/>
  <c r="V973" i="2" s="1"/>
  <c r="U974" i="2"/>
  <c r="V974" i="2" s="1"/>
  <c r="U975" i="2"/>
  <c r="V975" i="2" s="1"/>
  <c r="U976" i="2"/>
  <c r="V976" i="2" s="1"/>
  <c r="U977" i="2"/>
  <c r="V977" i="2" s="1"/>
  <c r="U978" i="2"/>
  <c r="V978" i="2" s="1"/>
  <c r="U979" i="2"/>
  <c r="V979" i="2" s="1"/>
  <c r="U980" i="2"/>
  <c r="V980" i="2" s="1"/>
  <c r="U981" i="2"/>
  <c r="V981" i="2" s="1"/>
  <c r="U982" i="2"/>
  <c r="V982" i="2" s="1"/>
  <c r="U983" i="2"/>
  <c r="V983" i="2" s="1"/>
  <c r="U984" i="2"/>
  <c r="V984" i="2" s="1"/>
  <c r="U985" i="2"/>
  <c r="V985" i="2" s="1"/>
  <c r="U986" i="2"/>
  <c r="V986" i="2" s="1"/>
  <c r="U987" i="2"/>
  <c r="V987" i="2" s="1"/>
  <c r="U988" i="2"/>
  <c r="V988" i="2" s="1"/>
  <c r="U989" i="2"/>
  <c r="V989" i="2" s="1"/>
  <c r="U990" i="2"/>
  <c r="V990" i="2" s="1"/>
  <c r="U991" i="2"/>
  <c r="V991" i="2" s="1"/>
  <c r="U992" i="2"/>
  <c r="V992" i="2" s="1"/>
  <c r="U993" i="2"/>
  <c r="V993" i="2" s="1"/>
  <c r="U994" i="2"/>
  <c r="V994" i="2" s="1"/>
  <c r="U995" i="2"/>
  <c r="V995" i="2" s="1"/>
  <c r="U996" i="2"/>
  <c r="V996" i="2" s="1"/>
  <c r="U997" i="2"/>
  <c r="V997" i="2" s="1"/>
  <c r="U998" i="2"/>
  <c r="V998" i="2" s="1"/>
  <c r="U999" i="2"/>
  <c r="V999" i="2" s="1"/>
  <c r="U1000" i="2"/>
  <c r="V1000" i="2" s="1"/>
  <c r="U1001" i="2"/>
  <c r="V1001" i="2" s="1"/>
  <c r="U1002" i="2"/>
  <c r="V1002" i="2" s="1"/>
  <c r="U1003" i="2"/>
  <c r="V1003" i="2" s="1"/>
  <c r="U1004" i="2"/>
  <c r="V1004" i="2" s="1"/>
  <c r="U1005" i="2"/>
  <c r="V1005" i="2" s="1"/>
  <c r="U1006" i="2"/>
  <c r="V1006" i="2" s="1"/>
  <c r="U1007" i="2"/>
  <c r="V1007" i="2" s="1"/>
  <c r="U1008" i="2"/>
  <c r="V1008" i="2" s="1"/>
  <c r="U1009" i="2"/>
  <c r="V1009" i="2" s="1"/>
  <c r="U1010" i="2"/>
  <c r="V1010" i="2" s="1"/>
  <c r="U1011" i="2"/>
  <c r="V1011" i="2" s="1"/>
  <c r="U1012" i="2"/>
  <c r="V1012" i="2" s="1"/>
  <c r="U1013" i="2"/>
  <c r="V1013" i="2" s="1"/>
  <c r="U1014" i="2"/>
  <c r="V1014" i="2" s="1"/>
  <c r="U1015" i="2"/>
  <c r="V1015" i="2" s="1"/>
  <c r="U1016" i="2"/>
  <c r="V1016" i="2" s="1"/>
  <c r="U1017" i="2"/>
  <c r="V1017" i="2" s="1"/>
  <c r="U1018" i="2"/>
  <c r="V1018" i="2" s="1"/>
  <c r="U1019" i="2"/>
  <c r="V1019" i="2" s="1"/>
  <c r="U1020" i="2"/>
  <c r="V1020" i="2" s="1"/>
  <c r="U1021" i="2"/>
  <c r="V1021" i="2" s="1"/>
  <c r="U1022" i="2"/>
  <c r="V1022" i="2" s="1"/>
  <c r="U1023" i="2"/>
  <c r="V1023" i="2" s="1"/>
  <c r="U1024" i="2"/>
  <c r="V1024" i="2" s="1"/>
  <c r="U1025" i="2"/>
  <c r="V1025" i="2" s="1"/>
  <c r="U1026" i="2"/>
  <c r="V1026" i="2" s="1"/>
  <c r="U1027" i="2"/>
  <c r="V1027" i="2" s="1"/>
  <c r="U1028" i="2"/>
  <c r="V1028" i="2" s="1"/>
  <c r="U1029" i="2"/>
  <c r="V1029" i="2" s="1"/>
  <c r="U1030" i="2"/>
  <c r="V1030" i="2" s="1"/>
  <c r="U1031" i="2"/>
  <c r="V1031" i="2" s="1"/>
  <c r="U1032" i="2"/>
  <c r="V1032" i="2" s="1"/>
  <c r="U1033" i="2"/>
  <c r="V1033" i="2" s="1"/>
  <c r="U1034" i="2"/>
  <c r="V1034" i="2" s="1"/>
  <c r="U1035" i="2"/>
  <c r="V1035" i="2" s="1"/>
  <c r="U1036" i="2"/>
  <c r="V1036" i="2" s="1"/>
  <c r="U1037" i="2"/>
  <c r="V1037" i="2" s="1"/>
  <c r="U1038" i="2"/>
  <c r="V1038" i="2" s="1"/>
  <c r="U1039" i="2"/>
  <c r="V1039" i="2" s="1"/>
  <c r="U1040" i="2"/>
  <c r="V1040" i="2" s="1"/>
  <c r="U1041" i="2"/>
  <c r="V1041" i="2" s="1"/>
  <c r="U1042" i="2"/>
  <c r="V1042" i="2" s="1"/>
  <c r="U1043" i="2"/>
  <c r="V1043" i="2" s="1"/>
  <c r="U1044" i="2"/>
  <c r="V1044" i="2" s="1"/>
  <c r="U1045" i="2"/>
  <c r="V1045" i="2" s="1"/>
  <c r="U1046" i="2"/>
  <c r="V1046" i="2" s="1"/>
  <c r="U1047" i="2"/>
  <c r="V1047" i="2" s="1"/>
  <c r="U1048" i="2"/>
  <c r="V1048" i="2" s="1"/>
  <c r="U1049" i="2"/>
  <c r="V1049" i="2" s="1"/>
  <c r="U1050" i="2"/>
  <c r="V1050" i="2" s="1"/>
  <c r="U1051" i="2"/>
  <c r="V1051" i="2" s="1"/>
  <c r="U1052" i="2"/>
  <c r="V1052" i="2" s="1"/>
  <c r="U1053" i="2"/>
  <c r="V1053" i="2" s="1"/>
  <c r="U1054" i="2"/>
  <c r="V1054" i="2" s="1"/>
  <c r="U1055" i="2"/>
  <c r="V1055" i="2" s="1"/>
  <c r="U1056" i="2"/>
  <c r="V1056" i="2" s="1"/>
  <c r="U1057" i="2"/>
  <c r="V1057" i="2" s="1"/>
  <c r="U1058" i="2"/>
  <c r="V1058" i="2" s="1"/>
  <c r="U1059" i="2"/>
  <c r="V1059" i="2" s="1"/>
  <c r="U1060" i="2"/>
  <c r="V1060" i="2" s="1"/>
  <c r="U1061" i="2"/>
  <c r="V1061" i="2" s="1"/>
  <c r="U1062" i="2"/>
  <c r="V1062" i="2" s="1"/>
  <c r="U1063" i="2"/>
  <c r="V1063" i="2" s="1"/>
  <c r="U1064" i="2"/>
  <c r="V1064" i="2" s="1"/>
  <c r="U1065" i="2"/>
  <c r="V1065" i="2" s="1"/>
  <c r="U1066" i="2"/>
  <c r="V1066" i="2" s="1"/>
  <c r="U1067" i="2"/>
  <c r="V1067" i="2" s="1"/>
  <c r="U1068" i="2"/>
  <c r="V1068" i="2" s="1"/>
  <c r="U1069" i="2"/>
  <c r="V1069" i="2" s="1"/>
  <c r="U1070" i="2"/>
  <c r="V1070" i="2" s="1"/>
  <c r="U1071" i="2"/>
  <c r="V1071" i="2" s="1"/>
  <c r="U1072" i="2"/>
  <c r="V1072" i="2" s="1"/>
  <c r="U1073" i="2"/>
  <c r="V1073" i="2" s="1"/>
  <c r="U1074" i="2"/>
  <c r="V1074" i="2" s="1"/>
  <c r="U1075" i="2"/>
  <c r="V1075" i="2" s="1"/>
  <c r="U1076" i="2"/>
  <c r="V1076" i="2" s="1"/>
  <c r="U1077" i="2"/>
  <c r="V1077" i="2" s="1"/>
  <c r="U1078" i="2"/>
  <c r="V1078" i="2" s="1"/>
  <c r="U1079" i="2"/>
  <c r="V1079" i="2" s="1"/>
  <c r="U1080" i="2"/>
  <c r="V1080" i="2" s="1"/>
  <c r="U1081" i="2"/>
  <c r="V1081" i="2" s="1"/>
  <c r="U1082" i="2"/>
  <c r="V1082" i="2" s="1"/>
  <c r="U1083" i="2"/>
  <c r="V1083" i="2" s="1"/>
  <c r="U1084" i="2"/>
  <c r="V1084" i="2" s="1"/>
  <c r="U1085" i="2"/>
  <c r="V1085" i="2" s="1"/>
  <c r="U1086" i="2"/>
  <c r="V1086" i="2" s="1"/>
  <c r="U1087" i="2"/>
  <c r="V1087" i="2" s="1"/>
  <c r="U1088" i="2"/>
  <c r="V1088" i="2" s="1"/>
  <c r="U1089" i="2"/>
  <c r="V1089" i="2" s="1"/>
  <c r="U1090" i="2"/>
  <c r="V1090" i="2" s="1"/>
  <c r="U1091" i="2"/>
  <c r="V1091" i="2" s="1"/>
  <c r="U1092" i="2"/>
  <c r="V1092" i="2" s="1"/>
  <c r="U1093" i="2"/>
  <c r="V1093" i="2" s="1"/>
  <c r="U1094" i="2"/>
  <c r="V1094" i="2" s="1"/>
  <c r="U1095" i="2"/>
  <c r="V1095" i="2" s="1"/>
  <c r="U1096" i="2"/>
  <c r="V1096" i="2" s="1"/>
  <c r="U1097" i="2"/>
  <c r="V1097" i="2" s="1"/>
  <c r="U1098" i="2"/>
  <c r="V1098" i="2" s="1"/>
  <c r="U1099" i="2"/>
  <c r="V1099" i="2" s="1"/>
  <c r="U1100" i="2"/>
  <c r="V1100" i="2" s="1"/>
  <c r="U1101" i="2"/>
  <c r="V1101" i="2" s="1"/>
  <c r="U1102" i="2"/>
  <c r="V1102" i="2" s="1"/>
  <c r="U1103" i="2"/>
  <c r="V1103" i="2" s="1"/>
  <c r="U1104" i="2"/>
  <c r="V1104" i="2" s="1"/>
  <c r="U1105" i="2"/>
  <c r="V1105" i="2" s="1"/>
  <c r="U1106" i="2"/>
  <c r="V1106" i="2" s="1"/>
  <c r="U1107" i="2"/>
  <c r="V1107" i="2" s="1"/>
  <c r="U1108" i="2"/>
  <c r="V1108" i="2" s="1"/>
  <c r="U1109" i="2"/>
  <c r="V1109" i="2" s="1"/>
  <c r="U1110" i="2"/>
  <c r="V1110" i="2" s="1"/>
  <c r="U1111" i="2"/>
  <c r="V1111" i="2" s="1"/>
  <c r="U1112" i="2"/>
  <c r="V1112" i="2" s="1"/>
  <c r="Z3" i="2"/>
  <c r="AD3" i="2" s="1"/>
  <c r="Z4" i="2"/>
  <c r="AD4" i="2" s="1"/>
  <c r="Z5" i="2"/>
  <c r="AD5" i="2" s="1"/>
  <c r="Z6" i="2"/>
  <c r="AD6" i="2" s="1"/>
  <c r="Z7" i="2"/>
  <c r="AD7" i="2" s="1"/>
  <c r="Z8" i="2"/>
  <c r="AD8" i="2" s="1"/>
  <c r="Z9" i="2"/>
  <c r="AD9" i="2" s="1"/>
  <c r="Z10" i="2"/>
  <c r="AD10" i="2" s="1"/>
  <c r="Z11" i="2"/>
  <c r="AD11" i="2" s="1"/>
  <c r="Z12" i="2"/>
  <c r="AD12" i="2" s="1"/>
  <c r="Z13" i="2"/>
  <c r="AD13" i="2" s="1"/>
  <c r="Z14" i="2"/>
  <c r="AD14" i="2" s="1"/>
  <c r="Z15" i="2"/>
  <c r="AD15" i="2" s="1"/>
  <c r="Z16" i="2"/>
  <c r="AD16" i="2" s="1"/>
  <c r="Z17" i="2"/>
  <c r="AD17" i="2" s="1"/>
  <c r="Z18" i="2"/>
  <c r="AD18" i="2" s="1"/>
  <c r="Z19" i="2"/>
  <c r="AD19" i="2" s="1"/>
  <c r="Z20" i="2"/>
  <c r="AD20" i="2" s="1"/>
  <c r="Z21" i="2"/>
  <c r="AD21" i="2" s="1"/>
  <c r="Z22" i="2"/>
  <c r="AD22" i="2" s="1"/>
  <c r="Z23" i="2"/>
  <c r="AD23" i="2" s="1"/>
  <c r="Z24" i="2"/>
  <c r="AD24" i="2" s="1"/>
  <c r="Z25" i="2"/>
  <c r="AD25" i="2" s="1"/>
  <c r="Z26" i="2"/>
  <c r="AD26" i="2" s="1"/>
  <c r="Z27" i="2"/>
  <c r="AA27" i="2" s="1"/>
  <c r="Z28" i="2"/>
  <c r="AA28" i="2" s="1"/>
  <c r="Z29" i="2"/>
  <c r="AA29" i="2" s="1"/>
  <c r="Z30" i="2"/>
  <c r="AA30" i="2" s="1"/>
  <c r="Z31" i="2"/>
  <c r="AA31" i="2" s="1"/>
  <c r="Z32" i="2"/>
  <c r="AA32" i="2" s="1"/>
  <c r="Z33" i="2"/>
  <c r="AA33" i="2" s="1"/>
  <c r="Z34" i="2"/>
  <c r="AA34" i="2" s="1"/>
  <c r="Z35" i="2"/>
  <c r="AA35" i="2" s="1"/>
  <c r="Z36" i="2"/>
  <c r="AA36" i="2" s="1"/>
  <c r="Z37" i="2"/>
  <c r="AA37" i="2" s="1"/>
  <c r="Z38" i="2"/>
  <c r="AA38" i="2" s="1"/>
  <c r="Z39" i="2"/>
  <c r="AA39" i="2" s="1"/>
  <c r="Z40" i="2"/>
  <c r="AA40" i="2" s="1"/>
  <c r="Z41" i="2"/>
  <c r="AA41" i="2" s="1"/>
  <c r="Z42" i="2"/>
  <c r="AA42" i="2" s="1"/>
  <c r="Z43" i="2"/>
  <c r="AA43" i="2" s="1"/>
  <c r="Z44" i="2"/>
  <c r="AA44" i="2" s="1"/>
  <c r="Z45" i="2"/>
  <c r="AA45" i="2" s="1"/>
  <c r="Z46" i="2"/>
  <c r="AA46" i="2" s="1"/>
  <c r="Z47" i="2"/>
  <c r="AA47" i="2" s="1"/>
  <c r="Z48" i="2"/>
  <c r="AA48" i="2" s="1"/>
  <c r="Z49" i="2"/>
  <c r="AA49" i="2" s="1"/>
  <c r="Z50" i="2"/>
  <c r="AA50" i="2" s="1"/>
  <c r="Z51" i="2"/>
  <c r="AA51" i="2" s="1"/>
  <c r="Z52" i="2"/>
  <c r="AA52" i="2" s="1"/>
  <c r="Z53" i="2"/>
  <c r="AA53" i="2" s="1"/>
  <c r="Z54" i="2"/>
  <c r="AA54" i="2" s="1"/>
  <c r="Z55" i="2"/>
  <c r="AA55" i="2" s="1"/>
  <c r="Z56" i="2"/>
  <c r="AA56" i="2" s="1"/>
  <c r="Z57" i="2"/>
  <c r="AA57" i="2" s="1"/>
  <c r="Z58" i="2"/>
  <c r="AA58" i="2" s="1"/>
  <c r="Z59" i="2"/>
  <c r="AA59" i="2" s="1"/>
  <c r="Z60" i="2"/>
  <c r="AA60" i="2" s="1"/>
  <c r="Z61" i="2"/>
  <c r="AA61" i="2" s="1"/>
  <c r="Z62" i="2"/>
  <c r="AA62" i="2" s="1"/>
  <c r="Z63" i="2"/>
  <c r="AA63" i="2" s="1"/>
  <c r="Z64" i="2"/>
  <c r="AA64" i="2" s="1"/>
  <c r="Z65" i="2"/>
  <c r="AA65" i="2" s="1"/>
  <c r="Z66" i="2"/>
  <c r="AA66" i="2" s="1"/>
  <c r="Z67" i="2"/>
  <c r="AA67" i="2" s="1"/>
  <c r="Z68" i="2"/>
  <c r="AA68" i="2" s="1"/>
  <c r="Z69" i="2"/>
  <c r="AA69" i="2" s="1"/>
  <c r="Z70" i="2"/>
  <c r="AA70" i="2" s="1"/>
  <c r="Z71" i="2"/>
  <c r="AA71" i="2" s="1"/>
  <c r="Z72" i="2"/>
  <c r="AA72" i="2" s="1"/>
  <c r="Z73" i="2"/>
  <c r="AA73" i="2" s="1"/>
  <c r="Z74" i="2"/>
  <c r="AA74" i="2" s="1"/>
  <c r="Z75" i="2"/>
  <c r="AA75" i="2" s="1"/>
  <c r="Z76" i="2"/>
  <c r="AA76" i="2" s="1"/>
  <c r="Z77" i="2"/>
  <c r="AA77" i="2" s="1"/>
  <c r="Z78" i="2"/>
  <c r="AA78" i="2" s="1"/>
  <c r="Z79" i="2"/>
  <c r="AD79" i="2" s="1"/>
  <c r="Z80" i="2"/>
  <c r="AD80" i="2" s="1"/>
  <c r="Z81" i="2"/>
  <c r="AD81" i="2" s="1"/>
  <c r="Z82" i="2"/>
  <c r="AD82" i="2" s="1"/>
  <c r="Z83" i="2"/>
  <c r="AD83" i="2" s="1"/>
  <c r="Z84" i="2"/>
  <c r="AD84" i="2" s="1"/>
  <c r="Z85" i="2"/>
  <c r="AD85" i="2" s="1"/>
  <c r="Z86" i="2"/>
  <c r="AD86" i="2" s="1"/>
  <c r="Z87" i="2"/>
  <c r="AD87" i="2" s="1"/>
  <c r="Z88" i="2"/>
  <c r="AD88" i="2" s="1"/>
  <c r="Z89" i="2"/>
  <c r="AD89" i="2" s="1"/>
  <c r="Z90" i="2"/>
  <c r="AD90" i="2" s="1"/>
  <c r="Z91" i="2"/>
  <c r="AD91" i="2" s="1"/>
  <c r="Z92" i="2"/>
  <c r="AD92" i="2" s="1"/>
  <c r="Z93" i="2"/>
  <c r="AD93" i="2" s="1"/>
  <c r="Z94" i="2"/>
  <c r="AD94" i="2" s="1"/>
  <c r="Z95" i="2"/>
  <c r="AD95" i="2" s="1"/>
  <c r="Z96" i="2"/>
  <c r="AD96" i="2" s="1"/>
  <c r="Z97" i="2"/>
  <c r="AD97" i="2" s="1"/>
  <c r="Z98" i="2"/>
  <c r="AD98" i="2" s="1"/>
  <c r="Z99" i="2"/>
  <c r="AD99" i="2" s="1"/>
  <c r="Z100" i="2"/>
  <c r="AD100" i="2" s="1"/>
  <c r="Z101" i="2"/>
  <c r="AD101" i="2" s="1"/>
  <c r="Z102" i="2"/>
  <c r="AD102" i="2" s="1"/>
  <c r="Z103" i="2"/>
  <c r="AD103" i="2" s="1"/>
  <c r="Z104" i="2"/>
  <c r="AD104" i="2" s="1"/>
  <c r="Z105" i="2"/>
  <c r="AD105" i="2" s="1"/>
  <c r="Z106" i="2"/>
  <c r="AD106" i="2" s="1"/>
  <c r="Z107" i="2"/>
  <c r="AD107" i="2" s="1"/>
  <c r="Z108" i="2"/>
  <c r="AD108" i="2" s="1"/>
  <c r="Z109" i="2"/>
  <c r="AD109" i="2" s="1"/>
  <c r="Z110" i="2"/>
  <c r="AA110" i="2" s="1"/>
  <c r="Z111" i="2"/>
  <c r="AA111" i="2" s="1"/>
  <c r="Z112" i="2"/>
  <c r="AA112" i="2" s="1"/>
  <c r="Z113" i="2"/>
  <c r="AA113" i="2" s="1"/>
  <c r="Z114" i="2"/>
  <c r="AA114" i="2" s="1"/>
  <c r="Z115" i="2"/>
  <c r="AA115" i="2" s="1"/>
  <c r="Z116" i="2"/>
  <c r="AA116" i="2" s="1"/>
  <c r="Z117" i="2"/>
  <c r="AA117" i="2" s="1"/>
  <c r="Z118" i="2"/>
  <c r="AA118" i="2" s="1"/>
  <c r="Z119" i="2"/>
  <c r="AA119" i="2" s="1"/>
  <c r="Z120" i="2"/>
  <c r="AA120" i="2" s="1"/>
  <c r="Z121" i="2"/>
  <c r="AA121" i="2" s="1"/>
  <c r="Z122" i="2"/>
  <c r="AA122" i="2" s="1"/>
  <c r="Z123" i="2"/>
  <c r="AA123" i="2" s="1"/>
  <c r="Z124" i="2"/>
  <c r="AA124" i="2" s="1"/>
  <c r="Z125" i="2"/>
  <c r="AA125" i="2" s="1"/>
  <c r="Z126" i="2"/>
  <c r="AA126" i="2" s="1"/>
  <c r="Z127" i="2"/>
  <c r="AA127" i="2" s="1"/>
  <c r="Z128" i="2"/>
  <c r="AA128" i="2" s="1"/>
  <c r="Z129" i="2"/>
  <c r="AA129" i="2" s="1"/>
  <c r="Z130" i="2"/>
  <c r="AA130" i="2" s="1"/>
  <c r="Z131" i="2"/>
  <c r="AA131" i="2" s="1"/>
  <c r="Z132" i="2"/>
  <c r="AA132" i="2" s="1"/>
  <c r="Z133" i="2"/>
  <c r="AA133" i="2" s="1"/>
  <c r="Z134" i="2"/>
  <c r="AA134" i="2" s="1"/>
  <c r="Z135" i="2"/>
  <c r="AA135" i="2" s="1"/>
  <c r="Z136" i="2"/>
  <c r="AA136" i="2" s="1"/>
  <c r="Z137" i="2"/>
  <c r="AA137" i="2" s="1"/>
  <c r="Z138" i="2"/>
  <c r="AA138" i="2" s="1"/>
  <c r="Z139" i="2"/>
  <c r="AA139" i="2" s="1"/>
  <c r="Z140" i="2"/>
  <c r="AA140" i="2" s="1"/>
  <c r="Z141" i="2"/>
  <c r="AA141" i="2" s="1"/>
  <c r="Z142" i="2"/>
  <c r="AA142" i="2" s="1"/>
  <c r="Z143" i="2"/>
  <c r="AA143" i="2" s="1"/>
  <c r="Z144" i="2"/>
  <c r="AA144" i="2" s="1"/>
  <c r="Z145" i="2"/>
  <c r="AA145" i="2" s="1"/>
  <c r="Z146" i="2"/>
  <c r="AA146" i="2" s="1"/>
  <c r="Z147" i="2"/>
  <c r="AA147" i="2" s="1"/>
  <c r="Z148" i="2"/>
  <c r="AA148" i="2" s="1"/>
  <c r="Z149" i="2"/>
  <c r="AA149" i="2" s="1"/>
  <c r="Z150" i="2"/>
  <c r="AA150" i="2" s="1"/>
  <c r="Z151" i="2"/>
  <c r="AA151" i="2" s="1"/>
  <c r="Z152" i="2"/>
  <c r="AA152" i="2" s="1"/>
  <c r="Z153" i="2"/>
  <c r="AA153" i="2" s="1"/>
  <c r="Z154" i="2"/>
  <c r="AA154" i="2" s="1"/>
  <c r="Z155" i="2"/>
  <c r="AA155" i="2" s="1"/>
  <c r="Z156" i="2"/>
  <c r="AA156" i="2" s="1"/>
  <c r="Z157" i="2"/>
  <c r="AA157" i="2" s="1"/>
  <c r="Z158" i="2"/>
  <c r="AA158" i="2" s="1"/>
  <c r="Z159" i="2"/>
  <c r="AA159" i="2" s="1"/>
  <c r="Z160" i="2"/>
  <c r="AD160" i="2" s="1"/>
  <c r="Z161" i="2"/>
  <c r="AD161" i="2" s="1"/>
  <c r="Z162" i="2"/>
  <c r="AD162" i="2" s="1"/>
  <c r="Z163" i="2"/>
  <c r="AD163" i="2" s="1"/>
  <c r="Z164" i="2"/>
  <c r="AD164" i="2" s="1"/>
  <c r="Z165" i="2"/>
  <c r="AD165" i="2" s="1"/>
  <c r="Z166" i="2"/>
  <c r="AD166" i="2" s="1"/>
  <c r="Z167" i="2"/>
  <c r="AD167" i="2" s="1"/>
  <c r="Z168" i="2"/>
  <c r="AD168" i="2" s="1"/>
  <c r="Z169" i="2"/>
  <c r="AD169" i="2" s="1"/>
  <c r="Z170" i="2"/>
  <c r="AD170" i="2" s="1"/>
  <c r="Z171" i="2"/>
  <c r="AD171" i="2" s="1"/>
  <c r="Z172" i="2"/>
  <c r="AD172" i="2" s="1"/>
  <c r="Z173" i="2"/>
  <c r="AD173" i="2" s="1"/>
  <c r="Z174" i="2"/>
  <c r="AD174" i="2" s="1"/>
  <c r="Z175" i="2"/>
  <c r="AD175" i="2" s="1"/>
  <c r="Z176" i="2"/>
  <c r="AD176" i="2" s="1"/>
  <c r="Z177" i="2"/>
  <c r="AD177" i="2" s="1"/>
  <c r="Z178" i="2"/>
  <c r="AD178" i="2" s="1"/>
  <c r="Z179" i="2"/>
  <c r="AD179" i="2" s="1"/>
  <c r="Z180" i="2"/>
  <c r="AD180" i="2" s="1"/>
  <c r="Z181" i="2"/>
  <c r="AD181" i="2" s="1"/>
  <c r="Z182" i="2"/>
  <c r="AD182" i="2" s="1"/>
  <c r="Z183" i="2"/>
  <c r="AD183" i="2" s="1"/>
  <c r="Z184" i="2"/>
  <c r="AD184" i="2" s="1"/>
  <c r="Z185" i="2"/>
  <c r="AD185" i="2" s="1"/>
  <c r="Z186" i="2"/>
  <c r="AD186" i="2" s="1"/>
  <c r="Z187" i="2"/>
  <c r="AD187" i="2" s="1"/>
  <c r="Z188" i="2"/>
  <c r="AD188" i="2" s="1"/>
  <c r="Z189" i="2"/>
  <c r="AD189" i="2" s="1"/>
  <c r="Z190" i="2"/>
  <c r="AD190" i="2" s="1"/>
  <c r="Z191" i="2"/>
  <c r="AD191" i="2" s="1"/>
  <c r="Z192" i="2"/>
  <c r="AD192" i="2" s="1"/>
  <c r="Z193" i="2"/>
  <c r="AD193" i="2" s="1"/>
  <c r="Z194" i="2"/>
  <c r="AD194" i="2" s="1"/>
  <c r="Z195" i="2"/>
  <c r="AD195" i="2" s="1"/>
  <c r="Z196" i="2"/>
  <c r="AD196" i="2" s="1"/>
  <c r="Z197" i="2"/>
  <c r="AD197" i="2" s="1"/>
  <c r="Z198" i="2"/>
  <c r="AA198" i="2" s="1"/>
  <c r="Z199" i="2"/>
  <c r="AA199" i="2" s="1"/>
  <c r="Z200" i="2"/>
  <c r="AA200" i="2" s="1"/>
  <c r="Z201" i="2"/>
  <c r="AA201" i="2" s="1"/>
  <c r="Z202" i="2"/>
  <c r="AA202" i="2" s="1"/>
  <c r="Z203" i="2"/>
  <c r="AA203" i="2" s="1"/>
  <c r="Z204" i="2"/>
  <c r="AA204" i="2" s="1"/>
  <c r="Z205" i="2"/>
  <c r="AA205" i="2" s="1"/>
  <c r="Z206" i="2"/>
  <c r="AA206" i="2" s="1"/>
  <c r="Z207" i="2"/>
  <c r="AA207" i="2" s="1"/>
  <c r="Z208" i="2"/>
  <c r="AA208" i="2" s="1"/>
  <c r="Z209" i="2"/>
  <c r="AA209" i="2" s="1"/>
  <c r="Z210" i="2"/>
  <c r="AA210" i="2" s="1"/>
  <c r="Z211" i="2"/>
  <c r="AA211" i="2" s="1"/>
  <c r="Z212" i="2"/>
  <c r="AA212" i="2" s="1"/>
  <c r="Z213" i="2"/>
  <c r="AA213" i="2" s="1"/>
  <c r="Z214" i="2"/>
  <c r="AA214" i="2" s="1"/>
  <c r="Z215" i="2"/>
  <c r="AA215" i="2" s="1"/>
  <c r="Z216" i="2"/>
  <c r="AA216" i="2" s="1"/>
  <c r="Z217" i="2"/>
  <c r="AA217" i="2" s="1"/>
  <c r="Z218" i="2"/>
  <c r="AA218" i="2" s="1"/>
  <c r="Z219" i="2"/>
  <c r="AA219" i="2" s="1"/>
  <c r="Z220" i="2"/>
  <c r="AA220" i="2" s="1"/>
  <c r="Z221" i="2"/>
  <c r="AA221" i="2" s="1"/>
  <c r="Z222" i="2"/>
  <c r="AA222" i="2" s="1"/>
  <c r="Z223" i="2"/>
  <c r="AA223" i="2" s="1"/>
  <c r="Z224" i="2"/>
  <c r="AA224" i="2" s="1"/>
  <c r="Z225" i="2"/>
  <c r="AA225" i="2" s="1"/>
  <c r="Z226" i="2"/>
  <c r="AA226" i="2" s="1"/>
  <c r="Z227" i="2"/>
  <c r="AA227" i="2" s="1"/>
  <c r="Z228" i="2"/>
  <c r="AA228" i="2" s="1"/>
  <c r="Z229" i="2"/>
  <c r="AA229" i="2" s="1"/>
  <c r="Z230" i="2"/>
  <c r="AA230" i="2" s="1"/>
  <c r="Z231" i="2"/>
  <c r="AA231" i="2" s="1"/>
  <c r="Z232" i="2"/>
  <c r="AA232" i="2" s="1"/>
  <c r="Z233" i="2"/>
  <c r="AA233" i="2" s="1"/>
  <c r="Z234" i="2"/>
  <c r="AA234" i="2" s="1"/>
  <c r="Z235" i="2"/>
  <c r="AA235" i="2" s="1"/>
  <c r="Z236" i="2"/>
  <c r="AA236" i="2" s="1"/>
  <c r="Z237" i="2"/>
  <c r="AA237" i="2" s="1"/>
  <c r="Z238" i="2"/>
  <c r="AA238" i="2" s="1"/>
  <c r="Z239" i="2"/>
  <c r="AA239" i="2" s="1"/>
  <c r="Z240" i="2"/>
  <c r="AA240" i="2" s="1"/>
  <c r="Z241" i="2"/>
  <c r="AA241" i="2" s="1"/>
  <c r="Z242" i="2"/>
  <c r="AA242" i="2" s="1"/>
  <c r="Z243" i="2"/>
  <c r="AA243" i="2" s="1"/>
  <c r="Z244" i="2"/>
  <c r="AA244" i="2" s="1"/>
  <c r="Z245" i="2"/>
  <c r="AA245" i="2" s="1"/>
  <c r="Z246" i="2"/>
  <c r="AA246" i="2" s="1"/>
  <c r="Z247" i="2"/>
  <c r="AA247" i="2" s="1"/>
  <c r="Z248" i="2"/>
  <c r="AA248" i="2" s="1"/>
  <c r="Z249" i="2"/>
  <c r="AA249" i="2" s="1"/>
  <c r="Z250" i="2"/>
  <c r="AA250" i="2" s="1"/>
  <c r="Z251" i="2"/>
  <c r="AA251" i="2" s="1"/>
  <c r="Z252" i="2"/>
  <c r="AA252" i="2" s="1"/>
  <c r="Z253" i="2"/>
  <c r="AA253" i="2" s="1"/>
  <c r="Z254" i="2"/>
  <c r="AA254" i="2" s="1"/>
  <c r="Z255" i="2"/>
  <c r="AA255" i="2" s="1"/>
  <c r="Z256" i="2"/>
  <c r="AA256" i="2" s="1"/>
  <c r="Z257" i="2"/>
  <c r="AA257" i="2" s="1"/>
  <c r="Z258" i="2"/>
  <c r="AA258" i="2" s="1"/>
  <c r="Z259" i="2"/>
  <c r="AA259" i="2" s="1"/>
  <c r="Z260" i="2"/>
  <c r="AA260" i="2" s="1"/>
  <c r="Z261" i="2"/>
  <c r="AA261" i="2" s="1"/>
  <c r="Z262" i="2"/>
  <c r="AA262" i="2" s="1"/>
  <c r="Z263" i="2"/>
  <c r="AA263" i="2" s="1"/>
  <c r="Z264" i="2"/>
  <c r="AA264" i="2" s="1"/>
  <c r="Z265" i="2"/>
  <c r="AA265" i="2" s="1"/>
  <c r="Z266" i="2"/>
  <c r="AA266" i="2" s="1"/>
  <c r="Z267" i="2"/>
  <c r="AA267" i="2" s="1"/>
  <c r="Z268" i="2"/>
  <c r="AA268" i="2" s="1"/>
  <c r="Z269" i="2"/>
  <c r="AA269" i="2" s="1"/>
  <c r="Z270" i="2"/>
  <c r="AA270" i="2" s="1"/>
  <c r="Z271" i="2"/>
  <c r="AA271" i="2" s="1"/>
  <c r="Z272" i="2"/>
  <c r="AA272" i="2" s="1"/>
  <c r="Z273" i="2"/>
  <c r="AA273" i="2" s="1"/>
  <c r="Z274" i="2"/>
  <c r="AA274" i="2" s="1"/>
  <c r="Z275" i="2"/>
  <c r="AA275" i="2" s="1"/>
  <c r="Z276" i="2"/>
  <c r="AA276" i="2" s="1"/>
  <c r="Z277" i="2"/>
  <c r="AA277" i="2" s="1"/>
  <c r="Z278" i="2"/>
  <c r="AA278" i="2" s="1"/>
  <c r="Z279" i="2"/>
  <c r="AA279" i="2" s="1"/>
  <c r="Z280" i="2"/>
  <c r="AA280" i="2" s="1"/>
  <c r="Z281" i="2"/>
  <c r="AA281" i="2" s="1"/>
  <c r="Z282" i="2"/>
  <c r="AA282" i="2" s="1"/>
  <c r="Z283" i="2"/>
  <c r="AA283" i="2" s="1"/>
  <c r="Z284" i="2"/>
  <c r="AA284" i="2" s="1"/>
  <c r="Z285" i="2"/>
  <c r="AA285" i="2" s="1"/>
  <c r="Z286" i="2"/>
  <c r="AA286" i="2" s="1"/>
  <c r="Z287" i="2"/>
  <c r="AA287" i="2" s="1"/>
  <c r="Z288" i="2"/>
  <c r="AA288" i="2" s="1"/>
  <c r="Z289" i="2"/>
  <c r="AA289" i="2" s="1"/>
  <c r="Z290" i="2"/>
  <c r="AA290" i="2" s="1"/>
  <c r="Z291" i="2"/>
  <c r="AA291" i="2" s="1"/>
  <c r="Z292" i="2"/>
  <c r="AA292" i="2" s="1"/>
  <c r="Z293" i="2"/>
  <c r="AA293" i="2" s="1"/>
  <c r="Z294" i="2"/>
  <c r="AA294" i="2" s="1"/>
  <c r="Z295" i="2"/>
  <c r="AA295" i="2" s="1"/>
  <c r="Z296" i="2"/>
  <c r="AA296" i="2" s="1"/>
  <c r="Z297" i="2"/>
  <c r="AA297" i="2" s="1"/>
  <c r="Z298" i="2"/>
  <c r="AA298" i="2" s="1"/>
  <c r="Z299" i="2"/>
  <c r="AA299" i="2" s="1"/>
  <c r="Z300" i="2"/>
  <c r="AA300" i="2" s="1"/>
  <c r="Z301" i="2"/>
  <c r="AA301" i="2" s="1"/>
  <c r="Z302" i="2"/>
  <c r="AA302" i="2" s="1"/>
  <c r="Z303" i="2"/>
  <c r="AA303" i="2" s="1"/>
  <c r="Z304" i="2"/>
  <c r="AD304" i="2" s="1"/>
  <c r="Z305" i="2"/>
  <c r="AD305" i="2" s="1"/>
  <c r="Z306" i="2"/>
  <c r="AD306" i="2" s="1"/>
  <c r="Z307" i="2"/>
  <c r="AD307" i="2" s="1"/>
  <c r="Z308" i="2"/>
  <c r="AD308" i="2" s="1"/>
  <c r="Z309" i="2"/>
  <c r="AD309" i="2" s="1"/>
  <c r="Z310" i="2"/>
  <c r="AD310" i="2" s="1"/>
  <c r="Z311" i="2"/>
  <c r="AD311" i="2" s="1"/>
  <c r="Z312" i="2"/>
  <c r="AD312" i="2" s="1"/>
  <c r="Z313" i="2"/>
  <c r="AD313" i="2" s="1"/>
  <c r="Z314" i="2"/>
  <c r="AD314" i="2" s="1"/>
  <c r="Z315" i="2"/>
  <c r="AD315" i="2" s="1"/>
  <c r="Z316" i="2"/>
  <c r="AD316" i="2" s="1"/>
  <c r="Z317" i="2"/>
  <c r="AD317" i="2" s="1"/>
  <c r="Z318" i="2"/>
  <c r="AD318" i="2" s="1"/>
  <c r="Z319" i="2"/>
  <c r="AD319" i="2" s="1"/>
  <c r="Z320" i="2"/>
  <c r="AD320" i="2" s="1"/>
  <c r="Z321" i="2"/>
  <c r="AD321" i="2" s="1"/>
  <c r="Z322" i="2"/>
  <c r="AD322" i="2" s="1"/>
  <c r="Z323" i="2"/>
  <c r="AD323" i="2" s="1"/>
  <c r="Z324" i="2"/>
  <c r="AD324" i="2" s="1"/>
  <c r="Z325" i="2"/>
  <c r="AD325" i="2" s="1"/>
  <c r="Z326" i="2"/>
  <c r="AD326" i="2" s="1"/>
  <c r="Z327" i="2"/>
  <c r="AD327" i="2" s="1"/>
  <c r="Z328" i="2"/>
  <c r="AD328" i="2" s="1"/>
  <c r="Z329" i="2"/>
  <c r="AD329" i="2" s="1"/>
  <c r="Z330" i="2"/>
  <c r="AD330" i="2" s="1"/>
  <c r="Z331" i="2"/>
  <c r="AD331" i="2" s="1"/>
  <c r="Z332" i="2"/>
  <c r="AD332" i="2" s="1"/>
  <c r="Z333" i="2"/>
  <c r="AD333" i="2" s="1"/>
  <c r="Z334" i="2"/>
  <c r="AD334" i="2" s="1"/>
  <c r="Z335" i="2"/>
  <c r="AD335" i="2" s="1"/>
  <c r="Z336" i="2"/>
  <c r="AD336" i="2" s="1"/>
  <c r="Z337" i="2"/>
  <c r="AD337" i="2" s="1"/>
  <c r="Z338" i="2"/>
  <c r="AD338" i="2" s="1"/>
  <c r="Z339" i="2"/>
  <c r="AD339" i="2" s="1"/>
  <c r="Z340" i="2"/>
  <c r="AD340" i="2" s="1"/>
  <c r="Z341" i="2"/>
  <c r="AD341" i="2" s="1"/>
  <c r="Z342" i="2"/>
  <c r="AD342" i="2" s="1"/>
  <c r="Z343" i="2"/>
  <c r="AD343" i="2" s="1"/>
  <c r="Z344" i="2"/>
  <c r="AD344" i="2" s="1"/>
  <c r="Z345" i="2"/>
  <c r="AD345" i="2" s="1"/>
  <c r="Z346" i="2"/>
  <c r="AA346" i="2" s="1"/>
  <c r="Z347" i="2"/>
  <c r="AA347" i="2" s="1"/>
  <c r="Z348" i="2"/>
  <c r="AA348" i="2" s="1"/>
  <c r="Z349" i="2"/>
  <c r="AA349" i="2" s="1"/>
  <c r="Z350" i="2"/>
  <c r="AA350" i="2" s="1"/>
  <c r="Z351" i="2"/>
  <c r="AA351" i="2" s="1"/>
  <c r="Z352" i="2"/>
  <c r="AA352" i="2" s="1"/>
  <c r="Z353" i="2"/>
  <c r="AA353" i="2" s="1"/>
  <c r="Z354" i="2"/>
  <c r="AA354" i="2" s="1"/>
  <c r="Z355" i="2"/>
  <c r="AA355" i="2" s="1"/>
  <c r="Z356" i="2"/>
  <c r="AA356" i="2" s="1"/>
  <c r="Z357" i="2"/>
  <c r="AA357" i="2" s="1"/>
  <c r="Z358" i="2"/>
  <c r="AA358" i="2" s="1"/>
  <c r="Z359" i="2"/>
  <c r="AA359" i="2" s="1"/>
  <c r="Z360" i="2"/>
  <c r="AA360" i="2" s="1"/>
  <c r="Z361" i="2"/>
  <c r="AA361" i="2" s="1"/>
  <c r="Z362" i="2"/>
  <c r="AA362" i="2" s="1"/>
  <c r="Z363" i="2"/>
  <c r="AA363" i="2" s="1"/>
  <c r="Z364" i="2"/>
  <c r="AA364" i="2" s="1"/>
  <c r="Z365" i="2"/>
  <c r="AA365" i="2" s="1"/>
  <c r="Z366" i="2"/>
  <c r="AA366" i="2" s="1"/>
  <c r="Z367" i="2"/>
  <c r="AA367" i="2" s="1"/>
  <c r="Z368" i="2"/>
  <c r="AA368" i="2" s="1"/>
  <c r="Z369" i="2"/>
  <c r="AA369" i="2" s="1"/>
  <c r="Z370" i="2"/>
  <c r="AA370" i="2" s="1"/>
  <c r="Z371" i="2"/>
  <c r="AA371" i="2" s="1"/>
  <c r="Z372" i="2"/>
  <c r="AA372" i="2" s="1"/>
  <c r="Z373" i="2"/>
  <c r="AA373" i="2" s="1"/>
  <c r="Z374" i="2"/>
  <c r="AA374" i="2" s="1"/>
  <c r="Z375" i="2"/>
  <c r="AA375" i="2" s="1"/>
  <c r="Z376" i="2"/>
  <c r="AA376" i="2" s="1"/>
  <c r="Z377" i="2"/>
  <c r="AA377" i="2" s="1"/>
  <c r="Z378" i="2"/>
  <c r="AD378" i="2" s="1"/>
  <c r="Z379" i="2"/>
  <c r="AD379" i="2" s="1"/>
  <c r="Z380" i="2"/>
  <c r="AD380" i="2" s="1"/>
  <c r="Z381" i="2"/>
  <c r="AD381" i="2" s="1"/>
  <c r="Z382" i="2"/>
  <c r="AD382" i="2" s="1"/>
  <c r="Z383" i="2"/>
  <c r="AD383" i="2" s="1"/>
  <c r="Z384" i="2"/>
  <c r="AD384" i="2" s="1"/>
  <c r="Z385" i="2"/>
  <c r="AD385" i="2" s="1"/>
  <c r="Z386" i="2"/>
  <c r="AD386" i="2" s="1"/>
  <c r="Z387" i="2"/>
  <c r="AA387" i="2" s="1"/>
  <c r="Z388" i="2"/>
  <c r="AA388" i="2" s="1"/>
  <c r="Z389" i="2"/>
  <c r="AA389" i="2" s="1"/>
  <c r="Z390" i="2"/>
  <c r="AA390" i="2" s="1"/>
  <c r="Z391" i="2"/>
  <c r="AA391" i="2" s="1"/>
  <c r="Z392" i="2"/>
  <c r="AA392" i="2" s="1"/>
  <c r="Z393" i="2"/>
  <c r="AA393" i="2" s="1"/>
  <c r="Z394" i="2"/>
  <c r="AA394" i="2" s="1"/>
  <c r="Z395" i="2"/>
  <c r="AA395" i="2" s="1"/>
  <c r="Z396" i="2"/>
  <c r="AA396" i="2" s="1"/>
  <c r="Z397" i="2"/>
  <c r="AA397" i="2" s="1"/>
  <c r="Z398" i="2"/>
  <c r="AA398" i="2" s="1"/>
  <c r="Z399" i="2"/>
  <c r="AA399" i="2" s="1"/>
  <c r="Z400" i="2"/>
  <c r="AA400" i="2" s="1"/>
  <c r="Z401" i="2"/>
  <c r="AA401" i="2" s="1"/>
  <c r="Z402" i="2"/>
  <c r="AA402" i="2" s="1"/>
  <c r="Z403" i="2"/>
  <c r="AA403" i="2" s="1"/>
  <c r="Z404" i="2"/>
  <c r="AA404" i="2" s="1"/>
  <c r="Z405" i="2"/>
  <c r="AA405" i="2" s="1"/>
  <c r="Z406" i="2"/>
  <c r="AA406" i="2" s="1"/>
  <c r="Z407" i="2"/>
  <c r="AA407" i="2" s="1"/>
  <c r="Z408" i="2"/>
  <c r="AA408" i="2" s="1"/>
  <c r="Z409" i="2"/>
  <c r="AA409" i="2" s="1"/>
  <c r="Z410" i="2"/>
  <c r="AA410" i="2" s="1"/>
  <c r="Z411" i="2"/>
  <c r="AA411" i="2" s="1"/>
  <c r="Z412" i="2"/>
  <c r="AA412" i="2" s="1"/>
  <c r="Z413" i="2"/>
  <c r="AA413" i="2" s="1"/>
  <c r="Z414" i="2"/>
  <c r="AA414" i="2" s="1"/>
  <c r="Z415" i="2"/>
  <c r="AA415" i="2" s="1"/>
  <c r="Z416" i="2"/>
  <c r="AA416" i="2" s="1"/>
  <c r="Z417" i="2"/>
  <c r="AA417" i="2" s="1"/>
  <c r="Z418" i="2"/>
  <c r="AA418" i="2" s="1"/>
  <c r="Z419" i="2"/>
  <c r="AA419" i="2" s="1"/>
  <c r="Z420" i="2"/>
  <c r="AA420" i="2" s="1"/>
  <c r="Z421" i="2"/>
  <c r="AA421" i="2" s="1"/>
  <c r="Z422" i="2"/>
  <c r="AA422" i="2" s="1"/>
  <c r="Z423" i="2"/>
  <c r="AA423" i="2" s="1"/>
  <c r="Z424" i="2"/>
  <c r="AA424" i="2" s="1"/>
  <c r="Z425" i="2"/>
  <c r="AA425" i="2" s="1"/>
  <c r="Z426" i="2"/>
  <c r="AA426" i="2" s="1"/>
  <c r="Z427" i="2"/>
  <c r="AA427" i="2" s="1"/>
  <c r="Z428" i="2"/>
  <c r="AA428" i="2" s="1"/>
  <c r="Z429" i="2"/>
  <c r="AA429" i="2" s="1"/>
  <c r="Z430" i="2"/>
  <c r="AA430" i="2" s="1"/>
  <c r="Z431" i="2"/>
  <c r="AA431" i="2" s="1"/>
  <c r="Z432" i="2"/>
  <c r="AA432" i="2" s="1"/>
  <c r="Z433" i="2"/>
  <c r="AA433" i="2" s="1"/>
  <c r="Z434" i="2"/>
  <c r="AA434" i="2" s="1"/>
  <c r="Z435" i="2"/>
  <c r="AA435" i="2" s="1"/>
  <c r="Z436" i="2"/>
  <c r="AA436" i="2" s="1"/>
  <c r="Z437" i="2"/>
  <c r="AA437" i="2" s="1"/>
  <c r="Z438" i="2"/>
  <c r="AA438" i="2" s="1"/>
  <c r="Z439" i="2"/>
  <c r="AA439" i="2" s="1"/>
  <c r="Z440" i="2"/>
  <c r="AA440" i="2" s="1"/>
  <c r="Z441" i="2"/>
  <c r="AA441" i="2" s="1"/>
  <c r="Z442" i="2"/>
  <c r="AA442" i="2" s="1"/>
  <c r="Z443" i="2"/>
  <c r="AA443" i="2" s="1"/>
  <c r="Z444" i="2"/>
  <c r="AA444" i="2" s="1"/>
  <c r="Z445" i="2"/>
  <c r="AA445" i="2" s="1"/>
  <c r="Z446" i="2"/>
  <c r="AA446" i="2" s="1"/>
  <c r="Z447" i="2"/>
  <c r="AA447" i="2" s="1"/>
  <c r="Z448" i="2"/>
  <c r="AA448" i="2" s="1"/>
  <c r="Z449" i="2"/>
  <c r="AA449" i="2" s="1"/>
  <c r="Z450" i="2"/>
  <c r="AA450" i="2" s="1"/>
  <c r="Z451" i="2"/>
  <c r="AA451" i="2" s="1"/>
  <c r="Z452" i="2"/>
  <c r="AA452" i="2" s="1"/>
  <c r="Z453" i="2"/>
  <c r="AA453" i="2" s="1"/>
  <c r="Z454" i="2"/>
  <c r="AA454" i="2" s="1"/>
  <c r="Z455" i="2"/>
  <c r="AA455" i="2" s="1"/>
  <c r="Z456" i="2"/>
  <c r="AA456" i="2" s="1"/>
  <c r="Z457" i="2"/>
  <c r="AA457" i="2" s="1"/>
  <c r="Z458" i="2"/>
  <c r="AA458" i="2" s="1"/>
  <c r="Z459" i="2"/>
  <c r="AA459" i="2" s="1"/>
  <c r="Z460" i="2"/>
  <c r="AA460" i="2" s="1"/>
  <c r="Z461" i="2"/>
  <c r="AA461" i="2" s="1"/>
  <c r="Z462" i="2"/>
  <c r="AA462" i="2" s="1"/>
  <c r="Z463" i="2"/>
  <c r="AA463" i="2" s="1"/>
  <c r="Z464" i="2"/>
  <c r="AA464" i="2" s="1"/>
  <c r="Z465" i="2"/>
  <c r="AA465" i="2" s="1"/>
  <c r="Z466" i="2"/>
  <c r="AA466" i="2" s="1"/>
  <c r="Z467" i="2"/>
  <c r="AA467" i="2" s="1"/>
  <c r="Z468" i="2"/>
  <c r="AA468" i="2" s="1"/>
  <c r="Z469" i="2"/>
  <c r="AA469" i="2" s="1"/>
  <c r="Z470" i="2"/>
  <c r="AA470" i="2" s="1"/>
  <c r="Z471" i="2"/>
  <c r="AA471" i="2" s="1"/>
  <c r="Z472" i="2"/>
  <c r="AA472" i="2" s="1"/>
  <c r="Z473" i="2"/>
  <c r="AA473" i="2" s="1"/>
  <c r="Z474" i="2"/>
  <c r="AA474" i="2" s="1"/>
  <c r="Z475" i="2"/>
  <c r="AA475" i="2" s="1"/>
  <c r="Z476" i="2"/>
  <c r="AA476" i="2" s="1"/>
  <c r="Z477" i="2"/>
  <c r="AA477" i="2" s="1"/>
  <c r="Z478" i="2"/>
  <c r="AA478" i="2" s="1"/>
  <c r="Z479" i="2"/>
  <c r="AA479" i="2" s="1"/>
  <c r="Z480" i="2"/>
  <c r="AA480" i="2" s="1"/>
  <c r="Z481" i="2"/>
  <c r="AA481" i="2" s="1"/>
  <c r="Z482" i="2"/>
  <c r="AA482" i="2" s="1"/>
  <c r="Z483" i="2"/>
  <c r="AA483" i="2" s="1"/>
  <c r="Z484" i="2"/>
  <c r="AA484" i="2" s="1"/>
  <c r="Z485" i="2"/>
  <c r="AA485" i="2" s="1"/>
  <c r="Z486" i="2"/>
  <c r="AA486" i="2" s="1"/>
  <c r="Z487" i="2"/>
  <c r="AA487" i="2" s="1"/>
  <c r="Z488" i="2"/>
  <c r="AA488" i="2" s="1"/>
  <c r="Z489" i="2"/>
  <c r="AA489" i="2" s="1"/>
  <c r="Z490" i="2"/>
  <c r="AA490" i="2" s="1"/>
  <c r="Z491" i="2"/>
  <c r="AA491" i="2" s="1"/>
  <c r="Z492" i="2"/>
  <c r="AA492" i="2" s="1"/>
  <c r="Z493" i="2"/>
  <c r="AA493" i="2" s="1"/>
  <c r="Z494" i="2"/>
  <c r="AA494" i="2" s="1"/>
  <c r="Z495" i="2"/>
  <c r="AA495" i="2" s="1"/>
  <c r="Z496" i="2"/>
  <c r="AA496" i="2" s="1"/>
  <c r="Z497" i="2"/>
  <c r="AA497" i="2" s="1"/>
  <c r="Z498" i="2"/>
  <c r="AA498" i="2" s="1"/>
  <c r="Z499" i="2"/>
  <c r="AA499" i="2" s="1"/>
  <c r="Z500" i="2"/>
  <c r="AA500" i="2" s="1"/>
  <c r="Z501" i="2"/>
  <c r="AA501" i="2" s="1"/>
  <c r="Z502" i="2"/>
  <c r="AA502" i="2" s="1"/>
  <c r="Z503" i="2"/>
  <c r="AA503" i="2" s="1"/>
  <c r="Z504" i="2"/>
  <c r="AA504" i="2" s="1"/>
  <c r="Z505" i="2"/>
  <c r="AA505" i="2" s="1"/>
  <c r="Z506" i="2"/>
  <c r="AA506" i="2" s="1"/>
  <c r="Z507" i="2"/>
  <c r="AA507" i="2" s="1"/>
  <c r="Z508" i="2"/>
  <c r="AA508" i="2" s="1"/>
  <c r="Z509" i="2"/>
  <c r="AA509" i="2" s="1"/>
  <c r="Z510" i="2"/>
  <c r="AA510" i="2" s="1"/>
  <c r="Z511" i="2"/>
  <c r="AA511" i="2" s="1"/>
  <c r="Z512" i="2"/>
  <c r="AA512" i="2" s="1"/>
  <c r="Z513" i="2"/>
  <c r="AA513" i="2" s="1"/>
  <c r="Z514" i="2"/>
  <c r="AA514" i="2" s="1"/>
  <c r="Z515" i="2"/>
  <c r="AA515" i="2" s="1"/>
  <c r="Z516" i="2"/>
  <c r="AA516" i="2" s="1"/>
  <c r="Z517" i="2"/>
  <c r="AA517" i="2" s="1"/>
  <c r="Z518" i="2"/>
  <c r="AA518" i="2" s="1"/>
  <c r="Z519" i="2"/>
  <c r="AA519" i="2" s="1"/>
  <c r="Z520" i="2"/>
  <c r="AA520" i="2" s="1"/>
  <c r="Z521" i="2"/>
  <c r="AA521" i="2" s="1"/>
  <c r="Z522" i="2"/>
  <c r="AA522" i="2" s="1"/>
  <c r="Z523" i="2"/>
  <c r="AA523" i="2" s="1"/>
  <c r="Z524" i="2"/>
  <c r="AA524" i="2" s="1"/>
  <c r="Z525" i="2"/>
  <c r="AA525" i="2" s="1"/>
  <c r="Z526" i="2"/>
  <c r="AA526" i="2" s="1"/>
  <c r="Z527" i="2"/>
  <c r="AA527" i="2" s="1"/>
  <c r="Z528" i="2"/>
  <c r="AA528" i="2" s="1"/>
  <c r="Z529" i="2"/>
  <c r="AA529" i="2" s="1"/>
  <c r="Z530" i="2"/>
  <c r="AA530" i="2" s="1"/>
  <c r="Z531" i="2"/>
  <c r="AA531" i="2" s="1"/>
  <c r="Z532" i="2"/>
  <c r="AA532" i="2" s="1"/>
  <c r="Z533" i="2"/>
  <c r="AA533" i="2" s="1"/>
  <c r="Z534" i="2"/>
  <c r="AA534" i="2" s="1"/>
  <c r="Z535" i="2"/>
  <c r="AA535" i="2" s="1"/>
  <c r="Z536" i="2"/>
  <c r="AA536" i="2" s="1"/>
  <c r="Z537" i="2"/>
  <c r="AA537" i="2" s="1"/>
  <c r="Z538" i="2"/>
  <c r="AA538" i="2" s="1"/>
  <c r="Z539" i="2"/>
  <c r="AA539" i="2" s="1"/>
  <c r="Z540" i="2"/>
  <c r="AA540" i="2" s="1"/>
  <c r="Z541" i="2"/>
  <c r="AA541" i="2" s="1"/>
  <c r="Z542" i="2"/>
  <c r="AA542" i="2" s="1"/>
  <c r="Z543" i="2"/>
  <c r="AA543" i="2" s="1"/>
  <c r="Z544" i="2"/>
  <c r="AA544" i="2" s="1"/>
  <c r="Z545" i="2"/>
  <c r="AA545" i="2" s="1"/>
  <c r="Z546" i="2"/>
  <c r="AA546" i="2" s="1"/>
  <c r="Z547" i="2"/>
  <c r="AA547" i="2" s="1"/>
  <c r="Z548" i="2"/>
  <c r="AA548" i="2" s="1"/>
  <c r="Z549" i="2"/>
  <c r="AA549" i="2" s="1"/>
  <c r="Z550" i="2"/>
  <c r="AA550" i="2" s="1"/>
  <c r="Z551" i="2"/>
  <c r="AA551" i="2" s="1"/>
  <c r="Z552" i="2"/>
  <c r="AA552" i="2" s="1"/>
  <c r="Z553" i="2"/>
  <c r="AA553" i="2" s="1"/>
  <c r="Z554" i="2"/>
  <c r="AA554" i="2" s="1"/>
  <c r="Z555" i="2"/>
  <c r="AA555" i="2" s="1"/>
  <c r="Z556" i="2"/>
  <c r="AA556" i="2" s="1"/>
  <c r="Z557" i="2"/>
  <c r="AA557" i="2" s="1"/>
  <c r="Z558" i="2"/>
  <c r="AA558" i="2" s="1"/>
  <c r="Z559" i="2"/>
  <c r="AA559" i="2" s="1"/>
  <c r="Z560" i="2"/>
  <c r="AA560" i="2" s="1"/>
  <c r="Z561" i="2"/>
  <c r="AA561" i="2" s="1"/>
  <c r="Z562" i="2"/>
  <c r="AA562" i="2" s="1"/>
  <c r="Z563" i="2"/>
  <c r="AA563" i="2" s="1"/>
  <c r="Z564" i="2"/>
  <c r="AA564" i="2" s="1"/>
  <c r="Z565" i="2"/>
  <c r="AA565" i="2" s="1"/>
  <c r="Z566" i="2"/>
  <c r="AA566" i="2" s="1"/>
  <c r="Z567" i="2"/>
  <c r="AA567" i="2" s="1"/>
  <c r="Z568" i="2"/>
  <c r="AA568" i="2" s="1"/>
  <c r="Z569" i="2"/>
  <c r="AA569" i="2" s="1"/>
  <c r="Z570" i="2"/>
  <c r="AA570" i="2" s="1"/>
  <c r="Z571" i="2"/>
  <c r="AA571" i="2" s="1"/>
  <c r="Z572" i="2"/>
  <c r="AA572" i="2" s="1"/>
  <c r="Z573" i="2"/>
  <c r="AA573" i="2" s="1"/>
  <c r="Z574" i="2"/>
  <c r="AA574" i="2" s="1"/>
  <c r="Z575" i="2"/>
  <c r="AA575" i="2" s="1"/>
  <c r="Z576" i="2"/>
  <c r="AA576" i="2" s="1"/>
  <c r="Z577" i="2"/>
  <c r="AA577" i="2" s="1"/>
  <c r="Z578" i="2"/>
  <c r="AA578" i="2" s="1"/>
  <c r="Z579" i="2"/>
  <c r="AA579" i="2" s="1"/>
  <c r="Z580" i="2"/>
  <c r="AA580" i="2" s="1"/>
  <c r="Z581" i="2"/>
  <c r="AA581" i="2" s="1"/>
  <c r="Z582" i="2"/>
  <c r="AA582" i="2" s="1"/>
  <c r="Z583" i="2"/>
  <c r="AA583" i="2" s="1"/>
  <c r="Z584" i="2"/>
  <c r="AA584" i="2" s="1"/>
  <c r="Z585" i="2"/>
  <c r="AA585" i="2" s="1"/>
  <c r="Z586" i="2"/>
  <c r="AA586" i="2" s="1"/>
  <c r="Z587" i="2"/>
  <c r="AA587" i="2" s="1"/>
  <c r="Z588" i="2"/>
  <c r="AA588" i="2" s="1"/>
  <c r="Z589" i="2"/>
  <c r="AA589" i="2" s="1"/>
  <c r="Z590" i="2"/>
  <c r="AA590" i="2" s="1"/>
  <c r="Z591" i="2"/>
  <c r="AA591" i="2" s="1"/>
  <c r="Z592" i="2"/>
  <c r="AA592" i="2" s="1"/>
  <c r="Z593" i="2"/>
  <c r="AA593" i="2" s="1"/>
  <c r="Z594" i="2"/>
  <c r="AA594" i="2" s="1"/>
  <c r="Z595" i="2"/>
  <c r="AA595" i="2" s="1"/>
  <c r="Z596" i="2"/>
  <c r="AA596" i="2" s="1"/>
  <c r="Z597" i="2"/>
  <c r="AA597" i="2" s="1"/>
  <c r="Z598" i="2"/>
  <c r="AA598" i="2" s="1"/>
  <c r="Z599" i="2"/>
  <c r="AA599" i="2" s="1"/>
  <c r="Z600" i="2"/>
  <c r="AA600" i="2" s="1"/>
  <c r="Z601" i="2"/>
  <c r="AA601" i="2" s="1"/>
  <c r="Z602" i="2"/>
  <c r="AA602" i="2" s="1"/>
  <c r="Z603" i="2"/>
  <c r="AA603" i="2" s="1"/>
  <c r="Z604" i="2"/>
  <c r="AA604" i="2" s="1"/>
  <c r="Z605" i="2"/>
  <c r="AA605" i="2" s="1"/>
  <c r="Z606" i="2"/>
  <c r="AA606" i="2" s="1"/>
  <c r="Z607" i="2"/>
  <c r="AA607" i="2" s="1"/>
  <c r="Z608" i="2"/>
  <c r="AA608" i="2" s="1"/>
  <c r="Z609" i="2"/>
  <c r="AA609" i="2" s="1"/>
  <c r="Z610" i="2"/>
  <c r="AA610" i="2" s="1"/>
  <c r="Z611" i="2"/>
  <c r="AA611" i="2" s="1"/>
  <c r="Z612" i="2"/>
  <c r="AA612" i="2" s="1"/>
  <c r="Z613" i="2"/>
  <c r="AA613" i="2" s="1"/>
  <c r="Z614" i="2"/>
  <c r="AA614" i="2" s="1"/>
  <c r="Z615" i="2"/>
  <c r="AA615" i="2" s="1"/>
  <c r="Z616" i="2"/>
  <c r="AA616" i="2" s="1"/>
  <c r="Z617" i="2"/>
  <c r="AA617" i="2" s="1"/>
  <c r="Z618" i="2"/>
  <c r="AA618" i="2" s="1"/>
  <c r="Z619" i="2"/>
  <c r="AA619" i="2" s="1"/>
  <c r="Z620" i="2"/>
  <c r="AA620" i="2" s="1"/>
  <c r="Z621" i="2"/>
  <c r="AA621" i="2" s="1"/>
  <c r="Z622" i="2"/>
  <c r="AA622" i="2" s="1"/>
  <c r="Z623" i="2"/>
  <c r="AA623" i="2" s="1"/>
  <c r="Z624" i="2"/>
  <c r="AA624" i="2" s="1"/>
  <c r="Z625" i="2"/>
  <c r="AA625" i="2" s="1"/>
  <c r="Z626" i="2"/>
  <c r="AA626" i="2" s="1"/>
  <c r="Z627" i="2"/>
  <c r="AA627" i="2" s="1"/>
  <c r="Z628" i="2"/>
  <c r="AA628" i="2" s="1"/>
  <c r="Z629" i="2"/>
  <c r="AA629" i="2" s="1"/>
  <c r="Z630" i="2"/>
  <c r="AA630" i="2" s="1"/>
  <c r="Z631" i="2"/>
  <c r="AA631" i="2" s="1"/>
  <c r="Z632" i="2"/>
  <c r="AA632" i="2" s="1"/>
  <c r="Z633" i="2"/>
  <c r="AA633" i="2" s="1"/>
  <c r="Z634" i="2"/>
  <c r="AA634" i="2" s="1"/>
  <c r="Z635" i="2"/>
  <c r="AA635" i="2" s="1"/>
  <c r="Z636" i="2"/>
  <c r="AA636" i="2" s="1"/>
  <c r="Z637" i="2"/>
  <c r="AA637" i="2" s="1"/>
  <c r="Z638" i="2"/>
  <c r="AA638" i="2" s="1"/>
  <c r="Z639" i="2"/>
  <c r="AA639" i="2" s="1"/>
  <c r="Z640" i="2"/>
  <c r="AA640" i="2" s="1"/>
  <c r="Z641" i="2"/>
  <c r="AA641" i="2" s="1"/>
  <c r="Z642" i="2"/>
  <c r="AA642" i="2" s="1"/>
  <c r="Z643" i="2"/>
  <c r="AA643" i="2" s="1"/>
  <c r="Z644" i="2"/>
  <c r="AA644" i="2" s="1"/>
  <c r="Z645" i="2"/>
  <c r="AD645" i="2" s="1"/>
  <c r="Z646" i="2"/>
  <c r="AD646" i="2" s="1"/>
  <c r="Z647" i="2"/>
  <c r="AD647" i="2" s="1"/>
  <c r="Z648" i="2"/>
  <c r="AD648" i="2" s="1"/>
  <c r="Z649" i="2"/>
  <c r="AD649" i="2" s="1"/>
  <c r="Z650" i="2"/>
  <c r="AD650" i="2" s="1"/>
  <c r="Z651" i="2"/>
  <c r="AD651" i="2" s="1"/>
  <c r="Z652" i="2"/>
  <c r="AD652" i="2" s="1"/>
  <c r="Z653" i="2"/>
  <c r="AD653" i="2" s="1"/>
  <c r="Z654" i="2"/>
  <c r="AD654" i="2" s="1"/>
  <c r="Z655" i="2"/>
  <c r="AD655" i="2" s="1"/>
  <c r="Z656" i="2"/>
  <c r="AD656" i="2" s="1"/>
  <c r="Z657" i="2"/>
  <c r="AD657" i="2" s="1"/>
  <c r="Z658" i="2"/>
  <c r="AD658" i="2" s="1"/>
  <c r="Z659" i="2"/>
  <c r="AD659" i="2" s="1"/>
  <c r="Z660" i="2"/>
  <c r="AD660" i="2" s="1"/>
  <c r="Z661" i="2"/>
  <c r="AD661" i="2" s="1"/>
  <c r="Z662" i="2"/>
  <c r="AD662" i="2" s="1"/>
  <c r="Z663" i="2"/>
  <c r="AD663" i="2" s="1"/>
  <c r="Z664" i="2"/>
  <c r="AD664" i="2" s="1"/>
  <c r="Z665" i="2"/>
  <c r="AD665" i="2" s="1"/>
  <c r="Z666" i="2"/>
  <c r="AD666" i="2" s="1"/>
  <c r="Z667" i="2"/>
  <c r="AD667" i="2" s="1"/>
  <c r="Z668" i="2"/>
  <c r="AD668" i="2" s="1"/>
  <c r="Z669" i="2"/>
  <c r="AD669" i="2" s="1"/>
  <c r="Z670" i="2"/>
  <c r="AD670" i="2" s="1"/>
  <c r="Z671" i="2"/>
  <c r="AD671" i="2" s="1"/>
  <c r="Z672" i="2"/>
  <c r="AD672" i="2" s="1"/>
  <c r="Z673" i="2"/>
  <c r="AD673" i="2" s="1"/>
  <c r="Z674" i="2"/>
  <c r="AD674" i="2" s="1"/>
  <c r="Z675" i="2"/>
  <c r="AD675" i="2" s="1"/>
  <c r="Z676" i="2"/>
  <c r="AD676" i="2" s="1"/>
  <c r="Z677" i="2"/>
  <c r="AD677" i="2" s="1"/>
  <c r="Z678" i="2"/>
  <c r="AD678" i="2" s="1"/>
  <c r="Z679" i="2"/>
  <c r="AD679" i="2" s="1"/>
  <c r="Z680" i="2"/>
  <c r="AD680" i="2" s="1"/>
  <c r="Z681" i="2"/>
  <c r="AD681" i="2" s="1"/>
  <c r="Z682" i="2"/>
  <c r="AD682" i="2" s="1"/>
  <c r="Z683" i="2"/>
  <c r="AD683" i="2" s="1"/>
  <c r="Z684" i="2"/>
  <c r="AD684" i="2" s="1"/>
  <c r="Z685" i="2"/>
  <c r="AD685" i="2" s="1"/>
  <c r="Z686" i="2"/>
  <c r="AD686" i="2" s="1"/>
  <c r="Z687" i="2"/>
  <c r="AD687" i="2" s="1"/>
  <c r="Z688" i="2"/>
  <c r="AD688" i="2" s="1"/>
  <c r="Z689" i="2"/>
  <c r="AD689" i="2" s="1"/>
  <c r="Z690" i="2"/>
  <c r="AD690" i="2" s="1"/>
  <c r="Z691" i="2"/>
  <c r="AD691" i="2" s="1"/>
  <c r="Z692" i="2"/>
  <c r="AD692" i="2" s="1"/>
  <c r="Z693" i="2"/>
  <c r="AD693" i="2" s="1"/>
  <c r="Z694" i="2"/>
  <c r="AD694" i="2" s="1"/>
  <c r="Z695" i="2"/>
  <c r="AD695" i="2" s="1"/>
  <c r="Z696" i="2"/>
  <c r="AD696" i="2" s="1"/>
  <c r="Z697" i="2"/>
  <c r="AD697" i="2" s="1"/>
  <c r="Z698" i="2"/>
  <c r="AD698" i="2" s="1"/>
  <c r="Z699" i="2"/>
  <c r="AD699" i="2" s="1"/>
  <c r="Z700" i="2"/>
  <c r="AD700" i="2" s="1"/>
  <c r="Z701" i="2"/>
  <c r="AD701" i="2" s="1"/>
  <c r="Z702" i="2"/>
  <c r="AD702" i="2" s="1"/>
  <c r="Z703" i="2"/>
  <c r="AD703" i="2" s="1"/>
  <c r="Z704" i="2"/>
  <c r="AD704" i="2" s="1"/>
  <c r="Z705" i="2"/>
  <c r="AD705" i="2" s="1"/>
  <c r="Z706" i="2"/>
  <c r="AD706" i="2" s="1"/>
  <c r="Z707" i="2"/>
  <c r="AD707" i="2" s="1"/>
  <c r="Z708" i="2"/>
  <c r="AD708" i="2" s="1"/>
  <c r="Z709" i="2"/>
  <c r="AD709" i="2" s="1"/>
  <c r="Z710" i="2"/>
  <c r="AD710" i="2" s="1"/>
  <c r="Z711" i="2"/>
  <c r="AD711" i="2" s="1"/>
  <c r="Z712" i="2"/>
  <c r="AD712" i="2" s="1"/>
  <c r="Z713" i="2"/>
  <c r="AD713" i="2" s="1"/>
  <c r="Z714" i="2"/>
  <c r="AD714" i="2" s="1"/>
  <c r="Z715" i="2"/>
  <c r="AD715" i="2" s="1"/>
  <c r="Z716" i="2"/>
  <c r="AD716" i="2" s="1"/>
  <c r="Z717" i="2"/>
  <c r="AD717" i="2" s="1"/>
  <c r="Z718" i="2"/>
  <c r="AD718" i="2" s="1"/>
  <c r="Z719" i="2"/>
  <c r="AD719" i="2" s="1"/>
  <c r="Z720" i="2"/>
  <c r="AD720" i="2" s="1"/>
  <c r="Z721" i="2"/>
  <c r="AD721" i="2" s="1"/>
  <c r="Z722" i="2"/>
  <c r="AD722" i="2" s="1"/>
  <c r="Z723" i="2"/>
  <c r="AD723" i="2" s="1"/>
  <c r="Z724" i="2"/>
  <c r="AD724" i="2" s="1"/>
  <c r="Z725" i="2"/>
  <c r="AD725" i="2" s="1"/>
  <c r="Z726" i="2"/>
  <c r="AD726" i="2" s="1"/>
  <c r="Z727" i="2"/>
  <c r="AD727" i="2" s="1"/>
  <c r="Z728" i="2"/>
  <c r="AD728" i="2" s="1"/>
  <c r="Z729" i="2"/>
  <c r="AD729" i="2" s="1"/>
  <c r="Z730" i="2"/>
  <c r="AD730" i="2" s="1"/>
  <c r="Z731" i="2"/>
  <c r="AD731" i="2" s="1"/>
  <c r="Z732" i="2"/>
  <c r="AD732" i="2" s="1"/>
  <c r="Z733" i="2"/>
  <c r="AD733" i="2" s="1"/>
  <c r="Z734" i="2"/>
  <c r="AD734" i="2" s="1"/>
  <c r="Z735" i="2"/>
  <c r="AD735" i="2" s="1"/>
  <c r="Z736" i="2"/>
  <c r="AD736" i="2" s="1"/>
  <c r="Z737" i="2"/>
  <c r="AD737" i="2" s="1"/>
  <c r="Z738" i="2"/>
  <c r="AD738" i="2" s="1"/>
  <c r="Z739" i="2"/>
  <c r="AD739" i="2" s="1"/>
  <c r="Z740" i="2"/>
  <c r="AD740" i="2" s="1"/>
  <c r="Z741" i="2"/>
  <c r="AD741" i="2" s="1"/>
  <c r="Z742" i="2"/>
  <c r="AD742" i="2" s="1"/>
  <c r="Z743" i="2"/>
  <c r="AD743" i="2" s="1"/>
  <c r="Z744" i="2"/>
  <c r="AD744" i="2" s="1"/>
  <c r="Z745" i="2"/>
  <c r="AD745" i="2" s="1"/>
  <c r="Z746" i="2"/>
  <c r="AD746" i="2" s="1"/>
  <c r="Z747" i="2"/>
  <c r="AD747" i="2" s="1"/>
  <c r="Z748" i="2"/>
  <c r="AD748" i="2" s="1"/>
  <c r="Z749" i="2"/>
  <c r="AD749" i="2" s="1"/>
  <c r="Z750" i="2"/>
  <c r="AD750" i="2" s="1"/>
  <c r="Z751" i="2"/>
  <c r="AD751" i="2" s="1"/>
  <c r="Z752" i="2"/>
  <c r="AD752" i="2" s="1"/>
  <c r="Z753" i="2"/>
  <c r="AD753" i="2" s="1"/>
  <c r="Z754" i="2"/>
  <c r="AD754" i="2" s="1"/>
  <c r="Z755" i="2"/>
  <c r="AD755" i="2" s="1"/>
  <c r="Z756" i="2"/>
  <c r="AD756" i="2" s="1"/>
  <c r="Z757" i="2"/>
  <c r="AD757" i="2" s="1"/>
  <c r="Z758" i="2"/>
  <c r="AD758" i="2" s="1"/>
  <c r="Z759" i="2"/>
  <c r="AD759" i="2" s="1"/>
  <c r="Z760" i="2"/>
  <c r="AD760" i="2" s="1"/>
  <c r="Z761" i="2"/>
  <c r="AD761" i="2" s="1"/>
  <c r="Z762" i="2"/>
  <c r="AD762" i="2" s="1"/>
  <c r="Z763" i="2"/>
  <c r="AD763" i="2" s="1"/>
  <c r="Z764" i="2"/>
  <c r="AD764" i="2" s="1"/>
  <c r="Z765" i="2"/>
  <c r="AD765" i="2" s="1"/>
  <c r="Z766" i="2"/>
  <c r="AD766" i="2" s="1"/>
  <c r="Z767" i="2"/>
  <c r="AD767" i="2" s="1"/>
  <c r="Z768" i="2"/>
  <c r="AD768" i="2" s="1"/>
  <c r="Z769" i="2"/>
  <c r="AD769" i="2" s="1"/>
  <c r="Z770" i="2"/>
  <c r="AD770" i="2" s="1"/>
  <c r="Z771" i="2"/>
  <c r="AD771" i="2" s="1"/>
  <c r="Z772" i="2"/>
  <c r="AD772" i="2" s="1"/>
  <c r="Z773" i="2"/>
  <c r="AD773" i="2" s="1"/>
  <c r="Z774" i="2"/>
  <c r="AD774" i="2" s="1"/>
  <c r="Z775" i="2"/>
  <c r="AD775" i="2" s="1"/>
  <c r="Z776" i="2"/>
  <c r="AD776" i="2" s="1"/>
  <c r="Z777" i="2"/>
  <c r="AD777" i="2" s="1"/>
  <c r="Z778" i="2"/>
  <c r="AD778" i="2" s="1"/>
  <c r="Z779" i="2"/>
  <c r="AD779" i="2" s="1"/>
  <c r="Z780" i="2"/>
  <c r="AD780" i="2" s="1"/>
  <c r="Z781" i="2"/>
  <c r="AD781" i="2" s="1"/>
  <c r="Z782" i="2"/>
  <c r="AD782" i="2" s="1"/>
  <c r="Z783" i="2"/>
  <c r="AD783" i="2" s="1"/>
  <c r="Z784" i="2"/>
  <c r="AD784" i="2" s="1"/>
  <c r="Z785" i="2"/>
  <c r="AD785" i="2" s="1"/>
  <c r="Z786" i="2"/>
  <c r="AD786" i="2" s="1"/>
  <c r="Z787" i="2"/>
  <c r="AD787" i="2" s="1"/>
  <c r="Z788" i="2"/>
  <c r="AD788" i="2" s="1"/>
  <c r="Z789" i="2"/>
  <c r="AD789" i="2" s="1"/>
  <c r="Z790" i="2"/>
  <c r="AD790" i="2" s="1"/>
  <c r="Z791" i="2"/>
  <c r="AD791" i="2" s="1"/>
  <c r="Z792" i="2"/>
  <c r="AD792" i="2" s="1"/>
  <c r="Z793" i="2"/>
  <c r="AD793" i="2" s="1"/>
  <c r="Z794" i="2"/>
  <c r="AD794" i="2" s="1"/>
  <c r="Z795" i="2"/>
  <c r="AD795" i="2" s="1"/>
  <c r="Z796" i="2"/>
  <c r="AD796" i="2" s="1"/>
  <c r="Z797" i="2"/>
  <c r="AD797" i="2" s="1"/>
  <c r="Z798" i="2"/>
  <c r="AD798" i="2" s="1"/>
  <c r="Z799" i="2"/>
  <c r="AD799" i="2" s="1"/>
  <c r="Z800" i="2"/>
  <c r="AD800" i="2" s="1"/>
  <c r="Z801" i="2"/>
  <c r="AD801" i="2" s="1"/>
  <c r="Z802" i="2"/>
  <c r="AD802" i="2" s="1"/>
  <c r="Z803" i="2"/>
  <c r="AD803" i="2" s="1"/>
  <c r="Z804" i="2"/>
  <c r="AD804" i="2" s="1"/>
  <c r="Z805" i="2"/>
  <c r="AD805" i="2" s="1"/>
  <c r="Z806" i="2"/>
  <c r="AD806" i="2" s="1"/>
  <c r="Z807" i="2"/>
  <c r="AD807" i="2" s="1"/>
  <c r="Z808" i="2"/>
  <c r="AD808" i="2" s="1"/>
  <c r="Z809" i="2"/>
  <c r="AD809" i="2" s="1"/>
  <c r="Z810" i="2"/>
  <c r="AD810" i="2" s="1"/>
  <c r="Z811" i="2"/>
  <c r="AD811" i="2" s="1"/>
  <c r="Z812" i="2"/>
  <c r="AD812" i="2" s="1"/>
  <c r="Z813" i="2"/>
  <c r="AD813" i="2" s="1"/>
  <c r="Z814" i="2"/>
  <c r="AD814" i="2" s="1"/>
  <c r="Z815" i="2"/>
  <c r="AD815" i="2" s="1"/>
  <c r="Z816" i="2"/>
  <c r="AD816" i="2" s="1"/>
  <c r="Z817" i="2"/>
  <c r="AD817" i="2" s="1"/>
  <c r="Z818" i="2"/>
  <c r="AD818" i="2" s="1"/>
  <c r="Z819" i="2"/>
  <c r="AD819" i="2" s="1"/>
  <c r="Z820" i="2"/>
  <c r="AD820" i="2" s="1"/>
  <c r="Z821" i="2"/>
  <c r="AD821" i="2" s="1"/>
  <c r="Z822" i="2"/>
  <c r="AD822" i="2" s="1"/>
  <c r="Z823" i="2"/>
  <c r="AD823" i="2" s="1"/>
  <c r="Z824" i="2"/>
  <c r="AD824" i="2" s="1"/>
  <c r="Z825" i="2"/>
  <c r="AD825" i="2" s="1"/>
  <c r="Z826" i="2"/>
  <c r="AD826" i="2" s="1"/>
  <c r="Z827" i="2"/>
  <c r="AD827" i="2" s="1"/>
  <c r="Z828" i="2"/>
  <c r="AD828" i="2" s="1"/>
  <c r="Z829" i="2"/>
  <c r="AD829" i="2" s="1"/>
  <c r="Z830" i="2"/>
  <c r="AD830" i="2" s="1"/>
  <c r="Z831" i="2"/>
  <c r="AD831" i="2" s="1"/>
  <c r="Z832" i="2"/>
  <c r="AD832" i="2" s="1"/>
  <c r="Z833" i="2"/>
  <c r="AD833" i="2" s="1"/>
  <c r="Z834" i="2"/>
  <c r="AD834" i="2" s="1"/>
  <c r="Z835" i="2"/>
  <c r="AD835" i="2" s="1"/>
  <c r="Z836" i="2"/>
  <c r="AD836" i="2" s="1"/>
  <c r="Z837" i="2"/>
  <c r="AD837" i="2" s="1"/>
  <c r="Z838" i="2"/>
  <c r="AD838" i="2" s="1"/>
  <c r="Z839" i="2"/>
  <c r="AD839" i="2" s="1"/>
  <c r="Z840" i="2"/>
  <c r="AD840" i="2" s="1"/>
  <c r="Z841" i="2"/>
  <c r="AD841" i="2" s="1"/>
  <c r="Z842" i="2"/>
  <c r="AD842" i="2" s="1"/>
  <c r="Z843" i="2"/>
  <c r="AD843" i="2" s="1"/>
  <c r="Z844" i="2"/>
  <c r="AD844" i="2" s="1"/>
  <c r="Z845" i="2"/>
  <c r="AD845" i="2" s="1"/>
  <c r="Z846" i="2"/>
  <c r="AA846" i="2" s="1"/>
  <c r="Z847" i="2"/>
  <c r="AA847" i="2" s="1"/>
  <c r="Z848" i="2"/>
  <c r="AA848" i="2" s="1"/>
  <c r="Z849" i="2"/>
  <c r="AA849" i="2" s="1"/>
  <c r="Z850" i="2"/>
  <c r="AA850" i="2" s="1"/>
  <c r="Z851" i="2"/>
  <c r="AA851" i="2" s="1"/>
  <c r="Z852" i="2"/>
  <c r="AA852" i="2" s="1"/>
  <c r="Z853" i="2"/>
  <c r="AA853" i="2" s="1"/>
  <c r="Z854" i="2"/>
  <c r="AA854" i="2" s="1"/>
  <c r="Z855" i="2"/>
  <c r="AA855" i="2" s="1"/>
  <c r="Z856" i="2"/>
  <c r="AA856" i="2" s="1"/>
  <c r="Z857" i="2"/>
  <c r="AA857" i="2" s="1"/>
  <c r="Z858" i="2"/>
  <c r="AA858" i="2" s="1"/>
  <c r="Z859" i="2"/>
  <c r="AA859" i="2" s="1"/>
  <c r="Z860" i="2"/>
  <c r="AA860" i="2" s="1"/>
  <c r="Z861" i="2"/>
  <c r="AA861" i="2" s="1"/>
  <c r="Z862" i="2"/>
  <c r="AA862" i="2" s="1"/>
  <c r="Z863" i="2"/>
  <c r="AA863" i="2" s="1"/>
  <c r="Z864" i="2"/>
  <c r="AA864" i="2" s="1"/>
  <c r="Z865" i="2"/>
  <c r="AA865" i="2" s="1"/>
  <c r="Z866" i="2"/>
  <c r="AA866" i="2" s="1"/>
  <c r="Z867" i="2"/>
  <c r="AA867" i="2" s="1"/>
  <c r="Z868" i="2"/>
  <c r="AA868" i="2" s="1"/>
  <c r="Z869" i="2"/>
  <c r="AA869" i="2" s="1"/>
  <c r="Z870" i="2"/>
  <c r="AA870" i="2" s="1"/>
  <c r="Z871" i="2"/>
  <c r="AA871" i="2" s="1"/>
  <c r="Z872" i="2"/>
  <c r="AA872" i="2" s="1"/>
  <c r="Z873" i="2"/>
  <c r="AA873" i="2" s="1"/>
  <c r="Z874" i="2"/>
  <c r="AA874" i="2" s="1"/>
  <c r="Z875" i="2"/>
  <c r="AA875" i="2" s="1"/>
  <c r="Z876" i="2"/>
  <c r="AA876" i="2" s="1"/>
  <c r="Z877" i="2"/>
  <c r="AA877" i="2" s="1"/>
  <c r="Z878" i="2"/>
  <c r="AA878" i="2" s="1"/>
  <c r="Z879" i="2"/>
  <c r="AA879" i="2" s="1"/>
  <c r="Z880" i="2"/>
  <c r="AA880" i="2" s="1"/>
  <c r="Z881" i="2"/>
  <c r="AA881" i="2" s="1"/>
  <c r="Z882" i="2"/>
  <c r="AA882" i="2" s="1"/>
  <c r="Z883" i="2"/>
  <c r="AA883" i="2" s="1"/>
  <c r="Z884" i="2"/>
  <c r="AA884" i="2" s="1"/>
  <c r="Z885" i="2"/>
  <c r="AA885" i="2" s="1"/>
  <c r="Z886" i="2"/>
  <c r="AA886" i="2" s="1"/>
  <c r="Z887" i="2"/>
  <c r="AA887" i="2" s="1"/>
  <c r="Z888" i="2"/>
  <c r="AA888" i="2" s="1"/>
  <c r="Z889" i="2"/>
  <c r="AA889" i="2" s="1"/>
  <c r="Z890" i="2"/>
  <c r="AA890" i="2" s="1"/>
  <c r="Z891" i="2"/>
  <c r="AA891" i="2" s="1"/>
  <c r="Z892" i="2"/>
  <c r="AA892" i="2" s="1"/>
  <c r="Z893" i="2"/>
  <c r="AA893" i="2" s="1"/>
  <c r="Z894" i="2"/>
  <c r="AA894" i="2" s="1"/>
  <c r="Z895" i="2"/>
  <c r="AA895" i="2" s="1"/>
  <c r="Z896" i="2"/>
  <c r="AA896" i="2" s="1"/>
  <c r="Z897" i="2"/>
  <c r="AA897" i="2" s="1"/>
  <c r="Z898" i="2"/>
  <c r="AA898" i="2" s="1"/>
  <c r="Z899" i="2"/>
  <c r="AA899" i="2" s="1"/>
  <c r="Z900" i="2"/>
  <c r="AA900" i="2" s="1"/>
  <c r="Z901" i="2"/>
  <c r="AA901" i="2" s="1"/>
  <c r="Z902" i="2"/>
  <c r="AA902" i="2" s="1"/>
  <c r="Z903" i="2"/>
  <c r="AA903" i="2" s="1"/>
  <c r="Z904" i="2"/>
  <c r="AA904" i="2" s="1"/>
  <c r="Z905" i="2"/>
  <c r="AA905" i="2" s="1"/>
  <c r="Z906" i="2"/>
  <c r="AA906" i="2" s="1"/>
  <c r="Z907" i="2"/>
  <c r="AA907" i="2" s="1"/>
  <c r="Z908" i="2"/>
  <c r="AA908" i="2" s="1"/>
  <c r="Z909" i="2"/>
  <c r="AA909" i="2" s="1"/>
  <c r="Z910" i="2"/>
  <c r="AA910" i="2" s="1"/>
  <c r="Z911" i="2"/>
  <c r="AA911" i="2" s="1"/>
  <c r="Z912" i="2"/>
  <c r="AA912" i="2" s="1"/>
  <c r="Z913" i="2"/>
  <c r="AA913" i="2" s="1"/>
  <c r="Z914" i="2"/>
  <c r="AA914" i="2" s="1"/>
  <c r="Z915" i="2"/>
  <c r="AA915" i="2" s="1"/>
  <c r="Z916" i="2"/>
  <c r="AA916" i="2" s="1"/>
  <c r="Z917" i="2"/>
  <c r="AA917" i="2" s="1"/>
  <c r="Z918" i="2"/>
  <c r="AA918" i="2" s="1"/>
  <c r="Z919" i="2"/>
  <c r="AA919" i="2" s="1"/>
  <c r="Z920" i="2"/>
  <c r="AA920" i="2" s="1"/>
  <c r="Z921" i="2"/>
  <c r="AA921" i="2" s="1"/>
  <c r="Z922" i="2"/>
  <c r="AA922" i="2" s="1"/>
  <c r="Z923" i="2"/>
  <c r="AA923" i="2" s="1"/>
  <c r="Z924" i="2"/>
  <c r="AA924" i="2" s="1"/>
  <c r="Z925" i="2"/>
  <c r="AA925" i="2" s="1"/>
  <c r="Z926" i="2"/>
  <c r="AA926" i="2" s="1"/>
  <c r="Z927" i="2"/>
  <c r="AA927" i="2" s="1"/>
  <c r="Z928" i="2"/>
  <c r="AA928" i="2" s="1"/>
  <c r="Z929" i="2"/>
  <c r="AA929" i="2" s="1"/>
  <c r="Z930" i="2"/>
  <c r="AA930" i="2" s="1"/>
  <c r="Z931" i="2"/>
  <c r="AA931" i="2" s="1"/>
  <c r="Z932" i="2"/>
  <c r="AA932" i="2" s="1"/>
  <c r="Z933" i="2"/>
  <c r="AA933" i="2" s="1"/>
  <c r="Z934" i="2"/>
  <c r="AA934" i="2" s="1"/>
  <c r="Z935" i="2"/>
  <c r="AA935" i="2" s="1"/>
  <c r="Z936" i="2"/>
  <c r="AA936" i="2" s="1"/>
  <c r="Z937" i="2"/>
  <c r="AA937" i="2" s="1"/>
  <c r="Z938" i="2"/>
  <c r="AA938" i="2" s="1"/>
  <c r="Z939" i="2"/>
  <c r="AA939" i="2" s="1"/>
  <c r="Z940" i="2"/>
  <c r="AA940" i="2" s="1"/>
  <c r="Z941" i="2"/>
  <c r="AA941" i="2" s="1"/>
  <c r="Z942" i="2"/>
  <c r="AA942" i="2" s="1"/>
  <c r="Z943" i="2"/>
  <c r="AA943" i="2" s="1"/>
  <c r="Z944" i="2"/>
  <c r="AA944" i="2" s="1"/>
  <c r="Z945" i="2"/>
  <c r="AA945" i="2" s="1"/>
  <c r="Z946" i="2"/>
  <c r="AA946" i="2" s="1"/>
  <c r="Z947" i="2"/>
  <c r="AA947" i="2" s="1"/>
  <c r="Z948" i="2"/>
  <c r="AA948" i="2" s="1"/>
  <c r="Z949" i="2"/>
  <c r="AA949" i="2" s="1"/>
  <c r="Z950" i="2"/>
  <c r="AA950" i="2" s="1"/>
  <c r="Z951" i="2"/>
  <c r="AA951" i="2" s="1"/>
  <c r="Z952" i="2"/>
  <c r="AA952" i="2" s="1"/>
  <c r="Z953" i="2"/>
  <c r="AA953" i="2" s="1"/>
  <c r="Z954" i="2"/>
  <c r="AA954" i="2" s="1"/>
  <c r="Z955" i="2"/>
  <c r="AA955" i="2" s="1"/>
  <c r="Z956" i="2"/>
  <c r="AA956" i="2" s="1"/>
  <c r="Z957" i="2"/>
  <c r="AA957" i="2" s="1"/>
  <c r="Z958" i="2"/>
  <c r="AA958" i="2" s="1"/>
  <c r="Z959" i="2"/>
  <c r="AA959" i="2" s="1"/>
  <c r="Z960" i="2"/>
  <c r="AA960" i="2" s="1"/>
  <c r="Z961" i="2"/>
  <c r="AA961" i="2" s="1"/>
  <c r="Z962" i="2"/>
  <c r="AA962" i="2" s="1"/>
  <c r="Z963" i="2"/>
  <c r="AA963" i="2" s="1"/>
  <c r="Z964" i="2"/>
  <c r="AA964" i="2" s="1"/>
  <c r="Z965" i="2"/>
  <c r="AA965" i="2" s="1"/>
  <c r="Z966" i="2"/>
  <c r="AA966" i="2" s="1"/>
  <c r="Z967" i="2"/>
  <c r="AA967" i="2" s="1"/>
  <c r="Z968" i="2"/>
  <c r="AA968" i="2" s="1"/>
  <c r="Z969" i="2"/>
  <c r="AA969" i="2" s="1"/>
  <c r="Z970" i="2"/>
  <c r="AA970" i="2" s="1"/>
  <c r="Z971" i="2"/>
  <c r="AA971" i="2" s="1"/>
  <c r="Z972" i="2"/>
  <c r="AA972" i="2" s="1"/>
  <c r="Z973" i="2"/>
  <c r="AA973" i="2" s="1"/>
  <c r="Z974" i="2"/>
  <c r="AA974" i="2" s="1"/>
  <c r="Z975" i="2"/>
  <c r="AA975" i="2" s="1"/>
  <c r="Z976" i="2"/>
  <c r="AA976" i="2" s="1"/>
  <c r="Z977" i="2"/>
  <c r="AA977" i="2" s="1"/>
  <c r="Z978" i="2"/>
  <c r="AA978" i="2" s="1"/>
  <c r="Z979" i="2"/>
  <c r="AA979" i="2" s="1"/>
  <c r="Z980" i="2"/>
  <c r="AA980" i="2" s="1"/>
  <c r="Z981" i="2"/>
  <c r="AA981" i="2" s="1"/>
  <c r="Z982" i="2"/>
  <c r="AA982" i="2" s="1"/>
  <c r="Z983" i="2"/>
  <c r="AA983" i="2" s="1"/>
  <c r="Z984" i="2"/>
  <c r="AA984" i="2" s="1"/>
  <c r="Z985" i="2"/>
  <c r="AA985" i="2" s="1"/>
  <c r="Z986" i="2"/>
  <c r="AA986" i="2" s="1"/>
  <c r="Z987" i="2"/>
  <c r="AA987" i="2" s="1"/>
  <c r="Z988" i="2"/>
  <c r="AA988" i="2" s="1"/>
  <c r="Z989" i="2"/>
  <c r="AA989" i="2" s="1"/>
  <c r="Z990" i="2"/>
  <c r="AA990" i="2" s="1"/>
  <c r="Z991" i="2"/>
  <c r="AA991" i="2" s="1"/>
  <c r="Z992" i="2"/>
  <c r="AA992" i="2" s="1"/>
  <c r="Z993" i="2"/>
  <c r="AA993" i="2" s="1"/>
  <c r="Z994" i="2"/>
  <c r="AA994" i="2" s="1"/>
  <c r="Z995" i="2"/>
  <c r="AA995" i="2" s="1"/>
  <c r="Z996" i="2"/>
  <c r="AA996" i="2" s="1"/>
  <c r="Z997" i="2"/>
  <c r="AA997" i="2" s="1"/>
  <c r="Z998" i="2"/>
  <c r="AA998" i="2" s="1"/>
  <c r="Z999" i="2"/>
  <c r="AA999" i="2" s="1"/>
  <c r="Z1000" i="2"/>
  <c r="AA1000" i="2" s="1"/>
  <c r="Z1001" i="2"/>
  <c r="AA1001" i="2" s="1"/>
  <c r="Z1002" i="2"/>
  <c r="AA1002" i="2" s="1"/>
  <c r="Z1003" i="2"/>
  <c r="AA1003" i="2" s="1"/>
  <c r="Z1004" i="2"/>
  <c r="AA1004" i="2" s="1"/>
  <c r="Z1005" i="2"/>
  <c r="AA1005" i="2" s="1"/>
  <c r="Z1006" i="2"/>
  <c r="AA1006" i="2" s="1"/>
  <c r="Z1007" i="2"/>
  <c r="AA1007" i="2" s="1"/>
  <c r="Z1008" i="2"/>
  <c r="AA1008" i="2" s="1"/>
  <c r="Z1009" i="2"/>
  <c r="AA1009" i="2" s="1"/>
  <c r="Z1010" i="2"/>
  <c r="AA1010" i="2" s="1"/>
  <c r="Z1011" i="2"/>
  <c r="AA1011" i="2" s="1"/>
  <c r="Z1012" i="2"/>
  <c r="AA1012" i="2" s="1"/>
  <c r="Z1013" i="2"/>
  <c r="AA1013" i="2" s="1"/>
  <c r="Z1014" i="2"/>
  <c r="AA1014" i="2" s="1"/>
  <c r="Z1015" i="2"/>
  <c r="AA1015" i="2" s="1"/>
  <c r="Z1016" i="2"/>
  <c r="AA1016" i="2" s="1"/>
  <c r="Z1017" i="2"/>
  <c r="AA1017" i="2" s="1"/>
  <c r="Z1018" i="2"/>
  <c r="AA1018" i="2" s="1"/>
  <c r="Z1019" i="2"/>
  <c r="AA1019" i="2" s="1"/>
  <c r="Z1020" i="2"/>
  <c r="AA1020" i="2" s="1"/>
  <c r="Z1021" i="2"/>
  <c r="AA1021" i="2" s="1"/>
  <c r="Z1022" i="2"/>
  <c r="AA1022" i="2" s="1"/>
  <c r="Z1023" i="2"/>
  <c r="AA1023" i="2" s="1"/>
  <c r="Z1024" i="2"/>
  <c r="AA1024" i="2" s="1"/>
  <c r="Z1025" i="2"/>
  <c r="AA1025" i="2" s="1"/>
  <c r="Z1026" i="2"/>
  <c r="AA1026" i="2" s="1"/>
  <c r="Z1027" i="2"/>
  <c r="AA1027" i="2" s="1"/>
  <c r="Z1028" i="2"/>
  <c r="AA1028" i="2" s="1"/>
  <c r="Z1029" i="2"/>
  <c r="AA1029" i="2" s="1"/>
  <c r="Z1030" i="2"/>
  <c r="AA1030" i="2" s="1"/>
  <c r="Z1031" i="2"/>
  <c r="AA1031" i="2" s="1"/>
  <c r="Z1032" i="2"/>
  <c r="AA1032" i="2" s="1"/>
  <c r="Z1033" i="2"/>
  <c r="AA1033" i="2" s="1"/>
  <c r="Z1034" i="2"/>
  <c r="AA1034" i="2" s="1"/>
  <c r="Z1035" i="2"/>
  <c r="AA1035" i="2" s="1"/>
  <c r="Z1036" i="2"/>
  <c r="AA1036" i="2" s="1"/>
  <c r="Z1037" i="2"/>
  <c r="AA1037" i="2" s="1"/>
  <c r="Z1038" i="2"/>
  <c r="AA1038" i="2" s="1"/>
  <c r="Z1039" i="2"/>
  <c r="AA1039" i="2" s="1"/>
  <c r="Z1040" i="2"/>
  <c r="AA1040" i="2" s="1"/>
  <c r="Z1041" i="2"/>
  <c r="AA1041" i="2" s="1"/>
  <c r="Z1042" i="2"/>
  <c r="AA1042" i="2" s="1"/>
  <c r="Z1043" i="2"/>
  <c r="AA1043" i="2" s="1"/>
  <c r="Z1044" i="2"/>
  <c r="AA1044" i="2" s="1"/>
  <c r="Z1045" i="2"/>
  <c r="AA1045" i="2" s="1"/>
  <c r="Z1046" i="2"/>
  <c r="AA1046" i="2" s="1"/>
  <c r="Z1047" i="2"/>
  <c r="AA1047" i="2" s="1"/>
  <c r="Z1048" i="2"/>
  <c r="AA1048" i="2" s="1"/>
  <c r="Z1049" i="2"/>
  <c r="AA1049" i="2" s="1"/>
  <c r="Z1050" i="2"/>
  <c r="AA1050" i="2" s="1"/>
  <c r="Z1051" i="2"/>
  <c r="AA1051" i="2" s="1"/>
  <c r="Z1052" i="2"/>
  <c r="AA1052" i="2" s="1"/>
  <c r="Z1053" i="2"/>
  <c r="AA1053" i="2" s="1"/>
  <c r="Z1054" i="2"/>
  <c r="AA1054" i="2" s="1"/>
  <c r="Z1055" i="2"/>
  <c r="AA1055" i="2" s="1"/>
  <c r="Z1056" i="2"/>
  <c r="AA1056" i="2" s="1"/>
  <c r="Z1057" i="2"/>
  <c r="AA1057" i="2" s="1"/>
  <c r="Z1058" i="2"/>
  <c r="AA1058" i="2" s="1"/>
  <c r="Z1059" i="2"/>
  <c r="AA1059" i="2" s="1"/>
  <c r="Z1060" i="2"/>
  <c r="AA1060" i="2" s="1"/>
  <c r="Z1061" i="2"/>
  <c r="AA1061" i="2" s="1"/>
  <c r="Z1062" i="2"/>
  <c r="AA1062" i="2" s="1"/>
  <c r="Z1063" i="2"/>
  <c r="AA1063" i="2" s="1"/>
  <c r="Z1064" i="2"/>
  <c r="AA1064" i="2" s="1"/>
  <c r="Z1065" i="2"/>
  <c r="AA1065" i="2" s="1"/>
  <c r="Z1066" i="2"/>
  <c r="AA1066" i="2" s="1"/>
  <c r="Z1067" i="2"/>
  <c r="AA1067" i="2" s="1"/>
  <c r="Z1068" i="2"/>
  <c r="AA1068" i="2" s="1"/>
  <c r="Z1069" i="2"/>
  <c r="AA1069" i="2" s="1"/>
  <c r="Z1070" i="2"/>
  <c r="AA1070" i="2" s="1"/>
  <c r="Z1071" i="2"/>
  <c r="AA1071" i="2" s="1"/>
  <c r="Z1072" i="2"/>
  <c r="AA1072" i="2" s="1"/>
  <c r="Z1073" i="2"/>
  <c r="AA1073" i="2" s="1"/>
  <c r="Z1074" i="2"/>
  <c r="AA1074" i="2" s="1"/>
  <c r="Z1075" i="2"/>
  <c r="AA1075" i="2" s="1"/>
  <c r="Z1076" i="2"/>
  <c r="AA1076" i="2" s="1"/>
  <c r="Z1077" i="2"/>
  <c r="AA1077" i="2" s="1"/>
  <c r="Z1078" i="2"/>
  <c r="AA1078" i="2" s="1"/>
  <c r="Z1079" i="2"/>
  <c r="AA1079" i="2" s="1"/>
  <c r="Z1080" i="2"/>
  <c r="AA1080" i="2" s="1"/>
  <c r="Z1081" i="2"/>
  <c r="AA1081" i="2" s="1"/>
  <c r="Z1082" i="2"/>
  <c r="AA1082" i="2" s="1"/>
  <c r="Z1083" i="2"/>
  <c r="AA1083" i="2" s="1"/>
  <c r="Z1084" i="2"/>
  <c r="AA1084" i="2" s="1"/>
  <c r="Z1085" i="2"/>
  <c r="AA1085" i="2" s="1"/>
  <c r="Z1086" i="2"/>
  <c r="AA1086" i="2" s="1"/>
  <c r="Z1087" i="2"/>
  <c r="AA1087" i="2" s="1"/>
  <c r="Z1088" i="2"/>
  <c r="AA1088" i="2" s="1"/>
  <c r="Z1089" i="2"/>
  <c r="AA1089" i="2" s="1"/>
  <c r="Z1090" i="2"/>
  <c r="AA1090" i="2" s="1"/>
  <c r="Z1091" i="2"/>
  <c r="AA1091" i="2" s="1"/>
  <c r="Z1092" i="2"/>
  <c r="AA1092" i="2" s="1"/>
  <c r="Z1093" i="2"/>
  <c r="AA1093" i="2" s="1"/>
  <c r="Z1094" i="2"/>
  <c r="AA1094" i="2" s="1"/>
  <c r="Z1095" i="2"/>
  <c r="AA1095" i="2" s="1"/>
  <c r="Z1096" i="2"/>
  <c r="AA1096" i="2" s="1"/>
  <c r="Z1097" i="2"/>
  <c r="AA1097" i="2" s="1"/>
  <c r="Z1098" i="2"/>
  <c r="AA1098" i="2" s="1"/>
  <c r="Z1099" i="2"/>
  <c r="AA1099" i="2" s="1"/>
  <c r="Z1100" i="2"/>
  <c r="AA1100" i="2" s="1"/>
  <c r="Z1101" i="2"/>
  <c r="AA1101" i="2" s="1"/>
  <c r="Z1102" i="2"/>
  <c r="AA1102" i="2" s="1"/>
  <c r="Z1103" i="2"/>
  <c r="AA1103" i="2" s="1"/>
  <c r="Z1104" i="2"/>
  <c r="AA1104" i="2" s="1"/>
  <c r="Z1105" i="2"/>
  <c r="AA1105" i="2" s="1"/>
  <c r="Z1106" i="2"/>
  <c r="AA1106" i="2" s="1"/>
  <c r="Z1107" i="2"/>
  <c r="AA1107" i="2" s="1"/>
  <c r="Z1108" i="2"/>
  <c r="AA1108" i="2" s="1"/>
  <c r="Z1109" i="2"/>
  <c r="AA1109" i="2" s="1"/>
  <c r="Z1110" i="2"/>
  <c r="AA1110" i="2" s="1"/>
  <c r="Z1111" i="2"/>
  <c r="AA1111" i="2" s="1"/>
  <c r="Z1112" i="2"/>
  <c r="AA1112" i="2" s="1"/>
  <c r="Z2" i="2"/>
  <c r="AD2" i="2" s="1"/>
  <c r="U2" i="2"/>
  <c r="AC2" i="2" s="1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2" i="28"/>
  <c r="AC1080" i="2" l="1"/>
  <c r="AD1080" i="2"/>
  <c r="AD1069" i="2"/>
  <c r="AD1068" i="2"/>
  <c r="AD1067" i="2"/>
  <c r="AD1066" i="2"/>
  <c r="AD1063" i="2"/>
  <c r="AD1062" i="2"/>
  <c r="AD1061" i="2"/>
  <c r="AD939" i="2"/>
  <c r="AD938" i="2"/>
  <c r="AD937" i="2"/>
  <c r="AD506" i="2"/>
  <c r="AC1068" i="2"/>
  <c r="AC938" i="2"/>
  <c r="AC1062" i="2"/>
  <c r="AC1066" i="2"/>
  <c r="AC1069" i="2"/>
  <c r="AC1067" i="2"/>
  <c r="AC1063" i="2"/>
  <c r="AC1061" i="2"/>
  <c r="AC939" i="2"/>
  <c r="AC937" i="2"/>
  <c r="AA842" i="2"/>
  <c r="AA830" i="2"/>
  <c r="AA818" i="2"/>
  <c r="AA806" i="2"/>
  <c r="AA802" i="2"/>
  <c r="AA790" i="2"/>
  <c r="AA786" i="2"/>
  <c r="AA782" i="2"/>
  <c r="AA778" i="2"/>
  <c r="AA774" i="2"/>
  <c r="AA770" i="2"/>
  <c r="AA766" i="2"/>
  <c r="AA762" i="2"/>
  <c r="AA758" i="2"/>
  <c r="AA754" i="2"/>
  <c r="AA750" i="2"/>
  <c r="AA746" i="2"/>
  <c r="AA742" i="2"/>
  <c r="AA738" i="2"/>
  <c r="AA734" i="2"/>
  <c r="AA730" i="2"/>
  <c r="AA726" i="2"/>
  <c r="AA722" i="2"/>
  <c r="AA718" i="2"/>
  <c r="AA714" i="2"/>
  <c r="AA710" i="2"/>
  <c r="AA706" i="2"/>
  <c r="AA694" i="2"/>
  <c r="AA690" i="2"/>
  <c r="AA686" i="2"/>
  <c r="AA682" i="2"/>
  <c r="AA678" i="2"/>
  <c r="AA674" i="2"/>
  <c r="AA670" i="2"/>
  <c r="AA666" i="2"/>
  <c r="AA662" i="2"/>
  <c r="AA658" i="2"/>
  <c r="AA654" i="2"/>
  <c r="AA650" i="2"/>
  <c r="AA646" i="2"/>
  <c r="AA386" i="2"/>
  <c r="AA382" i="2"/>
  <c r="AA378" i="2"/>
  <c r="AA342" i="2"/>
  <c r="AA338" i="2"/>
  <c r="AA334" i="2"/>
  <c r="AA330" i="2"/>
  <c r="AA326" i="2"/>
  <c r="AA322" i="2"/>
  <c r="AA318" i="2"/>
  <c r="AA314" i="2"/>
  <c r="AA310" i="2"/>
  <c r="AA306" i="2"/>
  <c r="AA194" i="2"/>
  <c r="AA190" i="2"/>
  <c r="AA186" i="2"/>
  <c r="AA182" i="2"/>
  <c r="AA178" i="2"/>
  <c r="AA174" i="2"/>
  <c r="AA170" i="2"/>
  <c r="AA166" i="2"/>
  <c r="AA162" i="2"/>
  <c r="AA106" i="2"/>
  <c r="AA102" i="2"/>
  <c r="AA98" i="2"/>
  <c r="AA94" i="2"/>
  <c r="AA90" i="2"/>
  <c r="AA86" i="2"/>
  <c r="AA82" i="2"/>
  <c r="AA26" i="2"/>
  <c r="AA22" i="2"/>
  <c r="AA18" i="2"/>
  <c r="AA14" i="2"/>
  <c r="AA10" i="2"/>
  <c r="AA6" i="2"/>
  <c r="V844" i="2"/>
  <c r="V840" i="2"/>
  <c r="V836" i="2"/>
  <c r="V832" i="2"/>
  <c r="V828" i="2"/>
  <c r="V824" i="2"/>
  <c r="V820" i="2"/>
  <c r="V816" i="2"/>
  <c r="V812" i="2"/>
  <c r="V808" i="2"/>
  <c r="V804" i="2"/>
  <c r="V800" i="2"/>
  <c r="V796" i="2"/>
  <c r="V792" i="2"/>
  <c r="V788" i="2"/>
  <c r="V784" i="2"/>
  <c r="V780" i="2"/>
  <c r="V776" i="2"/>
  <c r="V772" i="2"/>
  <c r="V768" i="2"/>
  <c r="V764" i="2"/>
  <c r="V760" i="2"/>
  <c r="V756" i="2"/>
  <c r="V752" i="2"/>
  <c r="V748" i="2"/>
  <c r="V744" i="2"/>
  <c r="V740" i="2"/>
  <c r="V736" i="2"/>
  <c r="V732" i="2"/>
  <c r="V728" i="2"/>
  <c r="V724" i="2"/>
  <c r="V720" i="2"/>
  <c r="V716" i="2"/>
  <c r="V712" i="2"/>
  <c r="V708" i="2"/>
  <c r="V704" i="2"/>
  <c r="V700" i="2"/>
  <c r="V696" i="2"/>
  <c r="V692" i="2"/>
  <c r="V688" i="2"/>
  <c r="V684" i="2"/>
  <c r="V680" i="2"/>
  <c r="V676" i="2"/>
  <c r="V672" i="2"/>
  <c r="V668" i="2"/>
  <c r="V664" i="2"/>
  <c r="V660" i="2"/>
  <c r="V656" i="2"/>
  <c r="V652" i="2"/>
  <c r="V2" i="2"/>
  <c r="AA838" i="2"/>
  <c r="AA826" i="2"/>
  <c r="AA810" i="2"/>
  <c r="AA794" i="2"/>
  <c r="AA698" i="2"/>
  <c r="AA2" i="2"/>
  <c r="AA845" i="2"/>
  <c r="AA841" i="2"/>
  <c r="AA837" i="2"/>
  <c r="AA833" i="2"/>
  <c r="AA829" i="2"/>
  <c r="AA825" i="2"/>
  <c r="AA821" i="2"/>
  <c r="AA817" i="2"/>
  <c r="AA813" i="2"/>
  <c r="AA809" i="2"/>
  <c r="AA805" i="2"/>
  <c r="AA801" i="2"/>
  <c r="AA797" i="2"/>
  <c r="AA793" i="2"/>
  <c r="AA789" i="2"/>
  <c r="AA785" i="2"/>
  <c r="AA781" i="2"/>
  <c r="AA777" i="2"/>
  <c r="AA773" i="2"/>
  <c r="AA769" i="2"/>
  <c r="AA765" i="2"/>
  <c r="AA761" i="2"/>
  <c r="AA757" i="2"/>
  <c r="AA753" i="2"/>
  <c r="AA749" i="2"/>
  <c r="AA745" i="2"/>
  <c r="AA741" i="2"/>
  <c r="AA737" i="2"/>
  <c r="AA733" i="2"/>
  <c r="AA729" i="2"/>
  <c r="AA725" i="2"/>
  <c r="AA721" i="2"/>
  <c r="AA717" i="2"/>
  <c r="AA713" i="2"/>
  <c r="AA709" i="2"/>
  <c r="AA705" i="2"/>
  <c r="AA701" i="2"/>
  <c r="AA697" i="2"/>
  <c r="AA693" i="2"/>
  <c r="AA689" i="2"/>
  <c r="AA685" i="2"/>
  <c r="AA681" i="2"/>
  <c r="AA677" i="2"/>
  <c r="AA673" i="2"/>
  <c r="AA669" i="2"/>
  <c r="AA665" i="2"/>
  <c r="AA661" i="2"/>
  <c r="AA657" i="2"/>
  <c r="AA653" i="2"/>
  <c r="AA649" i="2"/>
  <c r="AA645" i="2"/>
  <c r="AA385" i="2"/>
  <c r="AA381" i="2"/>
  <c r="AA345" i="2"/>
  <c r="AA341" i="2"/>
  <c r="AA337" i="2"/>
  <c r="AA333" i="2"/>
  <c r="AA329" i="2"/>
  <c r="AA325" i="2"/>
  <c r="AA321" i="2"/>
  <c r="AA317" i="2"/>
  <c r="AA313" i="2"/>
  <c r="AA309" i="2"/>
  <c r="AA305" i="2"/>
  <c r="AA197" i="2"/>
  <c r="AA193" i="2"/>
  <c r="AA189" i="2"/>
  <c r="AA185" i="2"/>
  <c r="AA181" i="2"/>
  <c r="AA177" i="2"/>
  <c r="AA173" i="2"/>
  <c r="AA169" i="2"/>
  <c r="AA165" i="2"/>
  <c r="AA161" i="2"/>
  <c r="AA109" i="2"/>
  <c r="AA105" i="2"/>
  <c r="AA101" i="2"/>
  <c r="AA97" i="2"/>
  <c r="AA93" i="2"/>
  <c r="AA89" i="2"/>
  <c r="AA85" i="2"/>
  <c r="AA81" i="2"/>
  <c r="AA834" i="2"/>
  <c r="AA822" i="2"/>
  <c r="AA814" i="2"/>
  <c r="AA798" i="2"/>
  <c r="AA702" i="2"/>
  <c r="AA844" i="2"/>
  <c r="AA840" i="2"/>
  <c r="AA836" i="2"/>
  <c r="AA832" i="2"/>
  <c r="AA828" i="2"/>
  <c r="AA824" i="2"/>
  <c r="AA820" i="2"/>
  <c r="AA816" i="2"/>
  <c r="AA812" i="2"/>
  <c r="AA808" i="2"/>
  <c r="AA804" i="2"/>
  <c r="AA800" i="2"/>
  <c r="AA796" i="2"/>
  <c r="AA792" i="2"/>
  <c r="AA788" i="2"/>
  <c r="AA784" i="2"/>
  <c r="AA780" i="2"/>
  <c r="AA776" i="2"/>
  <c r="AA772" i="2"/>
  <c r="AA768" i="2"/>
  <c r="AA764" i="2"/>
  <c r="AA760" i="2"/>
  <c r="AA756" i="2"/>
  <c r="AA752" i="2"/>
  <c r="AA748" i="2"/>
  <c r="AA744" i="2"/>
  <c r="AA740" i="2"/>
  <c r="AA736" i="2"/>
  <c r="AA732" i="2"/>
  <c r="AA728" i="2"/>
  <c r="AA724" i="2"/>
  <c r="AA720" i="2"/>
  <c r="AA716" i="2"/>
  <c r="AA712" i="2"/>
  <c r="AA708" i="2"/>
  <c r="AA704" i="2"/>
  <c r="AA700" i="2"/>
  <c r="AA696" i="2"/>
  <c r="AA692" i="2"/>
  <c r="AA688" i="2"/>
  <c r="AA684" i="2"/>
  <c r="AA680" i="2"/>
  <c r="AA676" i="2"/>
  <c r="AA672" i="2"/>
  <c r="AA668" i="2"/>
  <c r="AA664" i="2"/>
  <c r="AA660" i="2"/>
  <c r="AA656" i="2"/>
  <c r="AA652" i="2"/>
  <c r="AA648" i="2"/>
  <c r="AA384" i="2"/>
  <c r="AA380" i="2"/>
  <c r="AA344" i="2"/>
  <c r="AA340" i="2"/>
  <c r="AA336" i="2"/>
  <c r="AA332" i="2"/>
  <c r="AA328" i="2"/>
  <c r="AA324" i="2"/>
  <c r="AA320" i="2"/>
  <c r="AA316" i="2"/>
  <c r="AA312" i="2"/>
  <c r="AA308" i="2"/>
  <c r="AA304" i="2"/>
  <c r="AA196" i="2"/>
  <c r="AA192" i="2"/>
  <c r="AA188" i="2"/>
  <c r="AA184" i="2"/>
  <c r="AA180" i="2"/>
  <c r="AA176" i="2"/>
  <c r="AA172" i="2"/>
  <c r="AA168" i="2"/>
  <c r="AA164" i="2"/>
  <c r="AA160" i="2"/>
  <c r="AA108" i="2"/>
  <c r="AA104" i="2"/>
  <c r="AA100" i="2"/>
  <c r="AA96" i="2"/>
  <c r="AA92" i="2"/>
  <c r="AA88" i="2"/>
  <c r="AA84" i="2"/>
  <c r="AA843" i="2"/>
  <c r="AA839" i="2"/>
  <c r="AA835" i="2"/>
  <c r="AA831" i="2"/>
  <c r="AA827" i="2"/>
  <c r="AA823" i="2"/>
  <c r="AA819" i="2"/>
  <c r="AA815" i="2"/>
  <c r="AA811" i="2"/>
  <c r="AA807" i="2"/>
  <c r="AA803" i="2"/>
  <c r="AA799" i="2"/>
  <c r="AA795" i="2"/>
  <c r="AA791" i="2"/>
  <c r="AA787" i="2"/>
  <c r="AA783" i="2"/>
  <c r="AA779" i="2"/>
  <c r="AA775" i="2"/>
  <c r="AA771" i="2"/>
  <c r="AA767" i="2"/>
  <c r="AA763" i="2"/>
  <c r="AA759" i="2"/>
  <c r="AA755" i="2"/>
  <c r="AA751" i="2"/>
  <c r="AA747" i="2"/>
  <c r="AA743" i="2"/>
  <c r="AA739" i="2"/>
  <c r="AA735" i="2"/>
  <c r="AA731" i="2"/>
  <c r="AA727" i="2"/>
  <c r="AA723" i="2"/>
  <c r="AA719" i="2"/>
  <c r="AA715" i="2"/>
  <c r="AA711" i="2"/>
  <c r="AA707" i="2"/>
  <c r="AA703" i="2"/>
  <c r="AA699" i="2"/>
  <c r="AA695" i="2"/>
  <c r="AA691" i="2"/>
  <c r="AA687" i="2"/>
  <c r="AA683" i="2"/>
  <c r="AA679" i="2"/>
  <c r="AA675" i="2"/>
  <c r="AA671" i="2"/>
  <c r="AA667" i="2"/>
  <c r="AA663" i="2"/>
  <c r="AA659" i="2"/>
  <c r="AA655" i="2"/>
  <c r="AA651" i="2"/>
  <c r="AA647" i="2"/>
  <c r="AA383" i="2"/>
  <c r="AA379" i="2"/>
  <c r="AA343" i="2"/>
  <c r="AA339" i="2"/>
  <c r="AA335" i="2"/>
  <c r="AA331" i="2"/>
  <c r="AA327" i="2"/>
  <c r="AA323" i="2"/>
  <c r="AA319" i="2"/>
  <c r="AA315" i="2"/>
  <c r="AA311" i="2"/>
  <c r="AA307" i="2"/>
  <c r="AA195" i="2"/>
  <c r="AA191" i="2"/>
  <c r="AA187" i="2"/>
  <c r="AA183" i="2"/>
  <c r="AA179" i="2"/>
  <c r="AA175" i="2"/>
  <c r="AA171" i="2"/>
  <c r="AA167" i="2"/>
  <c r="AA163" i="2"/>
  <c r="AA107" i="2"/>
  <c r="AA103" i="2"/>
  <c r="AA99" i="2"/>
  <c r="AA95" i="2"/>
  <c r="AA91" i="2"/>
  <c r="AA87" i="2"/>
  <c r="AA83" i="2"/>
  <c r="AA79" i="2"/>
  <c r="V648" i="2"/>
  <c r="V384" i="2"/>
  <c r="V380" i="2"/>
  <c r="V344" i="2"/>
  <c r="V340" i="2"/>
  <c r="V336" i="2"/>
  <c r="V332" i="2"/>
  <c r="V328" i="2"/>
  <c r="V324" i="2"/>
  <c r="V320" i="2"/>
  <c r="V316" i="2"/>
  <c r="V312" i="2"/>
  <c r="V308" i="2"/>
  <c r="V304" i="2"/>
  <c r="V196" i="2"/>
  <c r="V192" i="2"/>
  <c r="V188" i="2"/>
  <c r="V184" i="2"/>
  <c r="V180" i="2"/>
  <c r="V176" i="2"/>
  <c r="V172" i="2"/>
  <c r="V168" i="2"/>
  <c r="V164" i="2"/>
  <c r="V160" i="2"/>
  <c r="V108" i="2"/>
  <c r="V104" i="2"/>
  <c r="V100" i="2"/>
  <c r="V96" i="2"/>
  <c r="V92" i="2"/>
  <c r="V88" i="2"/>
  <c r="V84" i="2"/>
  <c r="V80" i="2"/>
  <c r="V24" i="2"/>
  <c r="V20" i="2"/>
  <c r="V16" i="2"/>
  <c r="V12" i="2"/>
  <c r="V8" i="2"/>
  <c r="V4" i="2"/>
  <c r="AA25" i="2"/>
  <c r="AA21" i="2"/>
  <c r="AA17" i="2"/>
  <c r="AA13" i="2"/>
  <c r="AA9" i="2"/>
  <c r="AA5" i="2"/>
  <c r="V843" i="2"/>
  <c r="V839" i="2"/>
  <c r="V835" i="2"/>
  <c r="V831" i="2"/>
  <c r="V827" i="2"/>
  <c r="V823" i="2"/>
  <c r="V819" i="2"/>
  <c r="V815" i="2"/>
  <c r="V811" i="2"/>
  <c r="V807" i="2"/>
  <c r="V803" i="2"/>
  <c r="V799" i="2"/>
  <c r="V795" i="2"/>
  <c r="V791" i="2"/>
  <c r="V787" i="2"/>
  <c r="V783" i="2"/>
  <c r="V779" i="2"/>
  <c r="V775" i="2"/>
  <c r="V771" i="2"/>
  <c r="V767" i="2"/>
  <c r="V763" i="2"/>
  <c r="V759" i="2"/>
  <c r="V755" i="2"/>
  <c r="V751" i="2"/>
  <c r="V747" i="2"/>
  <c r="V743" i="2"/>
  <c r="V739" i="2"/>
  <c r="V735" i="2"/>
  <c r="V731" i="2"/>
  <c r="V727" i="2"/>
  <c r="V723" i="2"/>
  <c r="V719" i="2"/>
  <c r="V715" i="2"/>
  <c r="V711" i="2"/>
  <c r="V707" i="2"/>
  <c r="V703" i="2"/>
  <c r="V699" i="2"/>
  <c r="V695" i="2"/>
  <c r="V691" i="2"/>
  <c r="V687" i="2"/>
  <c r="V683" i="2"/>
  <c r="V679" i="2"/>
  <c r="V675" i="2"/>
  <c r="V671" i="2"/>
  <c r="V667" i="2"/>
  <c r="V663" i="2"/>
  <c r="V659" i="2"/>
  <c r="V655" i="2"/>
  <c r="V651" i="2"/>
  <c r="V647" i="2"/>
  <c r="V383" i="2"/>
  <c r="V379" i="2"/>
  <c r="V343" i="2"/>
  <c r="V339" i="2"/>
  <c r="V335" i="2"/>
  <c r="V331" i="2"/>
  <c r="V327" i="2"/>
  <c r="V323" i="2"/>
  <c r="V319" i="2"/>
  <c r="V315" i="2"/>
  <c r="V311" i="2"/>
  <c r="V307" i="2"/>
  <c r="V195" i="2"/>
  <c r="V191" i="2"/>
  <c r="V187" i="2"/>
  <c r="V183" i="2"/>
  <c r="V179" i="2"/>
  <c r="V175" i="2"/>
  <c r="V171" i="2"/>
  <c r="V167" i="2"/>
  <c r="V163" i="2"/>
  <c r="V107" i="2"/>
  <c r="V103" i="2"/>
  <c r="V99" i="2"/>
  <c r="V95" i="2"/>
  <c r="V91" i="2"/>
  <c r="V87" i="2"/>
  <c r="V83" i="2"/>
  <c r="V79" i="2"/>
  <c r="V23" i="2"/>
  <c r="V19" i="2"/>
  <c r="V15" i="2"/>
  <c r="V11" i="2"/>
  <c r="V7" i="2"/>
  <c r="V3" i="2"/>
  <c r="AA80" i="2"/>
  <c r="AA24" i="2"/>
  <c r="AA20" i="2"/>
  <c r="AA16" i="2"/>
  <c r="AA12" i="2"/>
  <c r="AA8" i="2"/>
  <c r="AA4" i="2"/>
  <c r="V842" i="2"/>
  <c r="V838" i="2"/>
  <c r="V834" i="2"/>
  <c r="V830" i="2"/>
  <c r="V826" i="2"/>
  <c r="V822" i="2"/>
  <c r="V818" i="2"/>
  <c r="V814" i="2"/>
  <c r="V810" i="2"/>
  <c r="V806" i="2"/>
  <c r="V802" i="2"/>
  <c r="V798" i="2"/>
  <c r="V790" i="2"/>
  <c r="V786" i="2"/>
  <c r="V782" i="2"/>
  <c r="V778" i="2"/>
  <c r="V774" i="2"/>
  <c r="V770" i="2"/>
  <c r="V766" i="2"/>
  <c r="V762" i="2"/>
  <c r="V758" i="2"/>
  <c r="V754" i="2"/>
  <c r="V750" i="2"/>
  <c r="V746" i="2"/>
  <c r="V742" i="2"/>
  <c r="V738" i="2"/>
  <c r="V734" i="2"/>
  <c r="V730" i="2"/>
  <c r="V726" i="2"/>
  <c r="V722" i="2"/>
  <c r="V718" i="2"/>
  <c r="V714" i="2"/>
  <c r="V710" i="2"/>
  <c r="V706" i="2"/>
  <c r="V702" i="2"/>
  <c r="V698" i="2"/>
  <c r="V694" i="2"/>
  <c r="V690" i="2"/>
  <c r="V686" i="2"/>
  <c r="V682" i="2"/>
  <c r="V678" i="2"/>
  <c r="V674" i="2"/>
  <c r="V670" i="2"/>
  <c r="V666" i="2"/>
  <c r="V662" i="2"/>
  <c r="V658" i="2"/>
  <c r="V654" i="2"/>
  <c r="V650" i="2"/>
  <c r="V646" i="2"/>
  <c r="V386" i="2"/>
  <c r="V382" i="2"/>
  <c r="V378" i="2"/>
  <c r="V342" i="2"/>
  <c r="V338" i="2"/>
  <c r="V334" i="2"/>
  <c r="V330" i="2"/>
  <c r="V326" i="2"/>
  <c r="V322" i="2"/>
  <c r="V318" i="2"/>
  <c r="V314" i="2"/>
  <c r="V310" i="2"/>
  <c r="V306" i="2"/>
  <c r="V194" i="2"/>
  <c r="V190" i="2"/>
  <c r="V186" i="2"/>
  <c r="V182" i="2"/>
  <c r="V178" i="2"/>
  <c r="V174" i="2"/>
  <c r="V170" i="2"/>
  <c r="V166" i="2"/>
  <c r="V162" i="2"/>
  <c r="V106" i="2"/>
  <c r="V102" i="2"/>
  <c r="V98" i="2"/>
  <c r="V94" i="2"/>
  <c r="V90" i="2"/>
  <c r="V86" i="2"/>
  <c r="V82" i="2"/>
  <c r="V26" i="2"/>
  <c r="V22" i="2"/>
  <c r="V18" i="2"/>
  <c r="V14" i="2"/>
  <c r="V10" i="2"/>
  <c r="V6" i="2"/>
  <c r="AA23" i="2"/>
  <c r="AA19" i="2"/>
  <c r="AA15" i="2"/>
  <c r="AA11" i="2"/>
  <c r="AA7" i="2"/>
  <c r="AA3" i="2"/>
  <c r="V845" i="2"/>
  <c r="V841" i="2"/>
  <c r="V837" i="2"/>
  <c r="V833" i="2"/>
  <c r="V829" i="2"/>
  <c r="V825" i="2"/>
  <c r="V821" i="2"/>
  <c r="V817" i="2"/>
  <c r="V813" i="2"/>
  <c r="V809" i="2"/>
  <c r="V805" i="2"/>
  <c r="V801" i="2"/>
  <c r="V797" i="2"/>
  <c r="V793" i="2"/>
  <c r="V789" i="2"/>
  <c r="V785" i="2"/>
  <c r="V781" i="2"/>
  <c r="V777" i="2"/>
  <c r="V773" i="2"/>
  <c r="V769" i="2"/>
  <c r="V765" i="2"/>
  <c r="V761" i="2"/>
  <c r="V757" i="2"/>
  <c r="V753" i="2"/>
  <c r="V749" i="2"/>
  <c r="V745" i="2"/>
  <c r="V741" i="2"/>
  <c r="V737" i="2"/>
  <c r="V733" i="2"/>
  <c r="V729" i="2"/>
  <c r="V725" i="2"/>
  <c r="V721" i="2"/>
  <c r="V717" i="2"/>
  <c r="V713" i="2"/>
  <c r="V709" i="2"/>
  <c r="V705" i="2"/>
  <c r="V701" i="2"/>
  <c r="V697" i="2"/>
  <c r="V693" i="2"/>
  <c r="V689" i="2"/>
  <c r="V685" i="2"/>
  <c r="V681" i="2"/>
  <c r="V677" i="2"/>
  <c r="V673" i="2"/>
  <c r="V669" i="2"/>
  <c r="V665" i="2"/>
  <c r="V661" i="2"/>
  <c r="V657" i="2"/>
  <c r="V653" i="2"/>
  <c r="V649" i="2"/>
  <c r="V645" i="2"/>
  <c r="V385" i="2"/>
  <c r="V381" i="2"/>
  <c r="V345" i="2"/>
  <c r="V341" i="2"/>
  <c r="V337" i="2"/>
  <c r="V333" i="2"/>
  <c r="V329" i="2"/>
  <c r="V325" i="2"/>
  <c r="V321" i="2"/>
  <c r="V317" i="2"/>
  <c r="V313" i="2"/>
  <c r="V309" i="2"/>
  <c r="V305" i="2"/>
  <c r="V197" i="2"/>
  <c r="V193" i="2"/>
  <c r="V189" i="2"/>
  <c r="V185" i="2"/>
  <c r="V181" i="2"/>
  <c r="V177" i="2"/>
  <c r="V173" i="2"/>
  <c r="V169" i="2"/>
  <c r="V165" i="2"/>
  <c r="V161" i="2"/>
  <c r="V109" i="2"/>
  <c r="V105" i="2"/>
  <c r="V101" i="2"/>
  <c r="V97" i="2"/>
  <c r="V93" i="2"/>
  <c r="V89" i="2"/>
  <c r="V85" i="2"/>
  <c r="V81" i="2"/>
  <c r="V25" i="2"/>
  <c r="V21" i="2"/>
  <c r="V17" i="2"/>
  <c r="V13" i="2"/>
  <c r="V9" i="2"/>
  <c r="V5" i="2"/>
  <c r="V794" i="2"/>
  <c r="L3" i="2"/>
  <c r="M3" i="2"/>
  <c r="L4" i="2"/>
  <c r="M4" i="2"/>
  <c r="L5" i="2"/>
  <c r="M5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105" i="2"/>
  <c r="M105" i="2"/>
  <c r="L106" i="2"/>
  <c r="M106" i="2"/>
  <c r="L107" i="2"/>
  <c r="M107" i="2"/>
  <c r="L108" i="2"/>
  <c r="M108" i="2"/>
  <c r="L109" i="2"/>
  <c r="M109" i="2"/>
  <c r="L110" i="2"/>
  <c r="M110" i="2"/>
  <c r="L111" i="2"/>
  <c r="M111" i="2"/>
  <c r="L112" i="2"/>
  <c r="M112" i="2"/>
  <c r="L113" i="2"/>
  <c r="M113" i="2"/>
  <c r="L114" i="2"/>
  <c r="M114" i="2"/>
  <c r="L115" i="2"/>
  <c r="M115" i="2"/>
  <c r="L116" i="2"/>
  <c r="M116" i="2"/>
  <c r="L117" i="2"/>
  <c r="M117" i="2"/>
  <c r="L118" i="2"/>
  <c r="M118" i="2"/>
  <c r="L119" i="2"/>
  <c r="M119" i="2"/>
  <c r="L120" i="2"/>
  <c r="M120" i="2"/>
  <c r="L121" i="2"/>
  <c r="M121" i="2"/>
  <c r="L122" i="2"/>
  <c r="M122" i="2"/>
  <c r="L123" i="2"/>
  <c r="M123" i="2"/>
  <c r="L124" i="2"/>
  <c r="M124" i="2"/>
  <c r="L125" i="2"/>
  <c r="M125" i="2"/>
  <c r="L126" i="2"/>
  <c r="M126" i="2"/>
  <c r="L127" i="2"/>
  <c r="M127" i="2"/>
  <c r="L128" i="2"/>
  <c r="M128" i="2"/>
  <c r="L129" i="2"/>
  <c r="M129" i="2"/>
  <c r="L130" i="2"/>
  <c r="M130" i="2"/>
  <c r="L131" i="2"/>
  <c r="M131" i="2"/>
  <c r="L132" i="2"/>
  <c r="M132" i="2"/>
  <c r="L133" i="2"/>
  <c r="M133" i="2"/>
  <c r="L134" i="2"/>
  <c r="M134" i="2"/>
  <c r="L135" i="2"/>
  <c r="M135" i="2"/>
  <c r="L136" i="2"/>
  <c r="M136" i="2"/>
  <c r="L137" i="2"/>
  <c r="M137" i="2"/>
  <c r="L138" i="2"/>
  <c r="M138" i="2"/>
  <c r="L139" i="2"/>
  <c r="M139" i="2"/>
  <c r="L140" i="2"/>
  <c r="M140" i="2"/>
  <c r="L141" i="2"/>
  <c r="M141" i="2"/>
  <c r="L142" i="2"/>
  <c r="M142" i="2"/>
  <c r="L143" i="2"/>
  <c r="M143" i="2"/>
  <c r="L144" i="2"/>
  <c r="M144" i="2"/>
  <c r="L145" i="2"/>
  <c r="M145" i="2"/>
  <c r="L146" i="2"/>
  <c r="M146" i="2"/>
  <c r="L147" i="2"/>
  <c r="M147" i="2"/>
  <c r="L148" i="2"/>
  <c r="M148" i="2"/>
  <c r="L149" i="2"/>
  <c r="M149" i="2"/>
  <c r="L150" i="2"/>
  <c r="M150" i="2"/>
  <c r="L151" i="2"/>
  <c r="M151" i="2"/>
  <c r="L152" i="2"/>
  <c r="M152" i="2"/>
  <c r="L153" i="2"/>
  <c r="M153" i="2"/>
  <c r="L154" i="2"/>
  <c r="M154" i="2"/>
  <c r="L155" i="2"/>
  <c r="M155" i="2"/>
  <c r="L156" i="2"/>
  <c r="M156" i="2"/>
  <c r="L157" i="2"/>
  <c r="M157" i="2"/>
  <c r="L158" i="2"/>
  <c r="M158" i="2"/>
  <c r="L159" i="2"/>
  <c r="M159" i="2"/>
  <c r="L160" i="2"/>
  <c r="M160" i="2"/>
  <c r="L161" i="2"/>
  <c r="M161" i="2"/>
  <c r="L162" i="2"/>
  <c r="M162" i="2"/>
  <c r="L163" i="2"/>
  <c r="M163" i="2"/>
  <c r="L164" i="2"/>
  <c r="M164" i="2"/>
  <c r="L165" i="2"/>
  <c r="M165" i="2"/>
  <c r="L166" i="2"/>
  <c r="M166" i="2"/>
  <c r="L167" i="2"/>
  <c r="M167" i="2"/>
  <c r="L168" i="2"/>
  <c r="M168" i="2"/>
  <c r="L169" i="2"/>
  <c r="M169" i="2"/>
  <c r="L170" i="2"/>
  <c r="M170" i="2"/>
  <c r="L171" i="2"/>
  <c r="M171" i="2"/>
  <c r="L172" i="2"/>
  <c r="M172" i="2"/>
  <c r="L173" i="2"/>
  <c r="M173" i="2"/>
  <c r="L174" i="2"/>
  <c r="M174" i="2"/>
  <c r="L175" i="2"/>
  <c r="M175" i="2"/>
  <c r="L176" i="2"/>
  <c r="M176" i="2"/>
  <c r="L177" i="2"/>
  <c r="M177" i="2"/>
  <c r="L178" i="2"/>
  <c r="M178" i="2"/>
  <c r="L179" i="2"/>
  <c r="M179" i="2"/>
  <c r="L180" i="2"/>
  <c r="M180" i="2"/>
  <c r="L181" i="2"/>
  <c r="M181" i="2"/>
  <c r="L182" i="2"/>
  <c r="M182" i="2"/>
  <c r="L183" i="2"/>
  <c r="M183" i="2"/>
  <c r="L184" i="2"/>
  <c r="M184" i="2"/>
  <c r="L185" i="2"/>
  <c r="M185" i="2"/>
  <c r="L186" i="2"/>
  <c r="M186" i="2"/>
  <c r="L187" i="2"/>
  <c r="M187" i="2"/>
  <c r="L188" i="2"/>
  <c r="M188" i="2"/>
  <c r="L189" i="2"/>
  <c r="M189" i="2"/>
  <c r="L190" i="2"/>
  <c r="M190" i="2"/>
  <c r="L191" i="2"/>
  <c r="M191" i="2"/>
  <c r="L192" i="2"/>
  <c r="M192" i="2"/>
  <c r="L193" i="2"/>
  <c r="M193" i="2"/>
  <c r="L194" i="2"/>
  <c r="M194" i="2"/>
  <c r="L195" i="2"/>
  <c r="M195" i="2"/>
  <c r="L196" i="2"/>
  <c r="M196" i="2"/>
  <c r="L197" i="2"/>
  <c r="M197" i="2"/>
  <c r="L198" i="2"/>
  <c r="M198" i="2"/>
  <c r="L199" i="2"/>
  <c r="M199" i="2"/>
  <c r="L200" i="2"/>
  <c r="M200" i="2"/>
  <c r="L201" i="2"/>
  <c r="M201" i="2"/>
  <c r="L202" i="2"/>
  <c r="M202" i="2"/>
  <c r="L203" i="2"/>
  <c r="M203" i="2"/>
  <c r="L204" i="2"/>
  <c r="M204" i="2"/>
  <c r="L205" i="2"/>
  <c r="M205" i="2"/>
  <c r="L206" i="2"/>
  <c r="M206" i="2"/>
  <c r="L207" i="2"/>
  <c r="M207" i="2"/>
  <c r="L208" i="2"/>
  <c r="M208" i="2"/>
  <c r="L209" i="2"/>
  <c r="M209" i="2"/>
  <c r="L210" i="2"/>
  <c r="M210" i="2"/>
  <c r="L211" i="2"/>
  <c r="M211" i="2"/>
  <c r="L212" i="2"/>
  <c r="M212" i="2"/>
  <c r="L213" i="2"/>
  <c r="M213" i="2"/>
  <c r="L214" i="2"/>
  <c r="M214" i="2"/>
  <c r="L215" i="2"/>
  <c r="M215" i="2"/>
  <c r="L216" i="2"/>
  <c r="M216" i="2"/>
  <c r="L217" i="2"/>
  <c r="M217" i="2"/>
  <c r="L218" i="2"/>
  <c r="M218" i="2"/>
  <c r="L219" i="2"/>
  <c r="M219" i="2"/>
  <c r="L220" i="2"/>
  <c r="M220" i="2"/>
  <c r="L221" i="2"/>
  <c r="M221" i="2"/>
  <c r="L222" i="2"/>
  <c r="M222" i="2"/>
  <c r="L223" i="2"/>
  <c r="M223" i="2"/>
  <c r="L224" i="2"/>
  <c r="M224" i="2"/>
  <c r="L225" i="2"/>
  <c r="M225" i="2"/>
  <c r="L226" i="2"/>
  <c r="M226" i="2"/>
  <c r="L227" i="2"/>
  <c r="M227" i="2"/>
  <c r="L228" i="2"/>
  <c r="M228" i="2"/>
  <c r="L229" i="2"/>
  <c r="M229" i="2"/>
  <c r="L230" i="2"/>
  <c r="M230" i="2"/>
  <c r="L231" i="2"/>
  <c r="M231" i="2"/>
  <c r="L232" i="2"/>
  <c r="M232" i="2"/>
  <c r="L233" i="2"/>
  <c r="M233" i="2"/>
  <c r="L234" i="2"/>
  <c r="M234" i="2"/>
  <c r="L235" i="2"/>
  <c r="M235" i="2"/>
  <c r="L236" i="2"/>
  <c r="M236" i="2"/>
  <c r="L237" i="2"/>
  <c r="M237" i="2"/>
  <c r="L238" i="2"/>
  <c r="M238" i="2"/>
  <c r="L239" i="2"/>
  <c r="M239" i="2"/>
  <c r="L240" i="2"/>
  <c r="M240" i="2"/>
  <c r="L241" i="2"/>
  <c r="M241" i="2"/>
  <c r="L242" i="2"/>
  <c r="M242" i="2"/>
  <c r="L243" i="2"/>
  <c r="M243" i="2"/>
  <c r="L244" i="2"/>
  <c r="M244" i="2"/>
  <c r="L245" i="2"/>
  <c r="M245" i="2"/>
  <c r="L246" i="2"/>
  <c r="M246" i="2"/>
  <c r="L247" i="2"/>
  <c r="M247" i="2"/>
  <c r="L248" i="2"/>
  <c r="M248" i="2"/>
  <c r="L249" i="2"/>
  <c r="M249" i="2"/>
  <c r="L250" i="2"/>
  <c r="M250" i="2"/>
  <c r="L251" i="2"/>
  <c r="M251" i="2"/>
  <c r="L252" i="2"/>
  <c r="M252" i="2"/>
  <c r="L253" i="2"/>
  <c r="M253" i="2"/>
  <c r="L254" i="2"/>
  <c r="M254" i="2"/>
  <c r="L255" i="2"/>
  <c r="M255" i="2"/>
  <c r="L256" i="2"/>
  <c r="M256" i="2"/>
  <c r="L257" i="2"/>
  <c r="M257" i="2"/>
  <c r="L258" i="2"/>
  <c r="M258" i="2"/>
  <c r="L259" i="2"/>
  <c r="M259" i="2"/>
  <c r="L260" i="2"/>
  <c r="M260" i="2"/>
  <c r="L261" i="2"/>
  <c r="M261" i="2"/>
  <c r="L262" i="2"/>
  <c r="M262" i="2"/>
  <c r="L263" i="2"/>
  <c r="M263" i="2"/>
  <c r="L264" i="2"/>
  <c r="M264" i="2"/>
  <c r="L265" i="2"/>
  <c r="M265" i="2"/>
  <c r="L266" i="2"/>
  <c r="M266" i="2"/>
  <c r="L267" i="2"/>
  <c r="M267" i="2"/>
  <c r="L268" i="2"/>
  <c r="M268" i="2"/>
  <c r="L269" i="2"/>
  <c r="M269" i="2"/>
  <c r="L270" i="2"/>
  <c r="M270" i="2"/>
  <c r="L271" i="2"/>
  <c r="M271" i="2"/>
  <c r="L272" i="2"/>
  <c r="M272" i="2"/>
  <c r="L273" i="2"/>
  <c r="M273" i="2"/>
  <c r="L274" i="2"/>
  <c r="M274" i="2"/>
  <c r="L275" i="2"/>
  <c r="M275" i="2"/>
  <c r="L276" i="2"/>
  <c r="M276" i="2"/>
  <c r="L277" i="2"/>
  <c r="M277" i="2"/>
  <c r="L278" i="2"/>
  <c r="M278" i="2"/>
  <c r="L279" i="2"/>
  <c r="M279" i="2"/>
  <c r="L280" i="2"/>
  <c r="M280" i="2"/>
  <c r="L281" i="2"/>
  <c r="M281" i="2"/>
  <c r="L282" i="2"/>
  <c r="M282" i="2"/>
  <c r="L283" i="2"/>
  <c r="M283" i="2"/>
  <c r="L284" i="2"/>
  <c r="M284" i="2"/>
  <c r="L285" i="2"/>
  <c r="M285" i="2"/>
  <c r="L286" i="2"/>
  <c r="M286" i="2"/>
  <c r="L287" i="2"/>
  <c r="M287" i="2"/>
  <c r="L288" i="2"/>
  <c r="M288" i="2"/>
  <c r="L289" i="2"/>
  <c r="M289" i="2"/>
  <c r="L290" i="2"/>
  <c r="M290" i="2"/>
  <c r="L291" i="2"/>
  <c r="M291" i="2"/>
  <c r="L292" i="2"/>
  <c r="M292" i="2"/>
  <c r="L293" i="2"/>
  <c r="M293" i="2"/>
  <c r="L294" i="2"/>
  <c r="M294" i="2"/>
  <c r="L295" i="2"/>
  <c r="M295" i="2"/>
  <c r="L296" i="2"/>
  <c r="M296" i="2"/>
  <c r="L297" i="2"/>
  <c r="M297" i="2"/>
  <c r="L298" i="2"/>
  <c r="M298" i="2"/>
  <c r="L299" i="2"/>
  <c r="M299" i="2"/>
  <c r="L300" i="2"/>
  <c r="M300" i="2"/>
  <c r="L301" i="2"/>
  <c r="M301" i="2"/>
  <c r="L302" i="2"/>
  <c r="M302" i="2"/>
  <c r="L303" i="2"/>
  <c r="M303" i="2"/>
  <c r="L304" i="2"/>
  <c r="M304" i="2"/>
  <c r="L305" i="2"/>
  <c r="M305" i="2"/>
  <c r="L306" i="2"/>
  <c r="M306" i="2"/>
  <c r="L307" i="2"/>
  <c r="M307" i="2"/>
  <c r="L308" i="2"/>
  <c r="M308" i="2"/>
  <c r="L309" i="2"/>
  <c r="M309" i="2"/>
  <c r="L310" i="2"/>
  <c r="M310" i="2"/>
  <c r="L311" i="2"/>
  <c r="M311" i="2"/>
  <c r="L312" i="2"/>
  <c r="M312" i="2"/>
  <c r="L313" i="2"/>
  <c r="M313" i="2"/>
  <c r="L314" i="2"/>
  <c r="M314" i="2"/>
  <c r="L315" i="2"/>
  <c r="M315" i="2"/>
  <c r="L316" i="2"/>
  <c r="M316" i="2"/>
  <c r="L317" i="2"/>
  <c r="M317" i="2"/>
  <c r="L318" i="2"/>
  <c r="M318" i="2"/>
  <c r="L319" i="2"/>
  <c r="M319" i="2"/>
  <c r="L320" i="2"/>
  <c r="M320" i="2"/>
  <c r="L321" i="2"/>
  <c r="M321" i="2"/>
  <c r="L322" i="2"/>
  <c r="M322" i="2"/>
  <c r="L323" i="2"/>
  <c r="M3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M2" i="2"/>
  <c r="L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2" i="2"/>
  <c r="C2" i="26"/>
  <c r="D1" i="26" s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1" i="26"/>
  <c r="E89" i="27" l="1"/>
  <c r="E90" i="27"/>
  <c r="E91" i="27" s="1"/>
  <c r="K38" i="26" s="1"/>
  <c r="E38" i="26" s="1"/>
  <c r="E88" i="27"/>
  <c r="E82" i="27"/>
  <c r="E83" i="27"/>
  <c r="E81" i="27"/>
  <c r="E80" i="27"/>
  <c r="E75" i="27"/>
  <c r="E74" i="27"/>
  <c r="E73" i="27"/>
  <c r="E68" i="27"/>
  <c r="E67" i="27"/>
  <c r="E66" i="27"/>
  <c r="E60" i="27"/>
  <c r="E61" i="27"/>
  <c r="E59" i="27"/>
  <c r="E58" i="27"/>
  <c r="E62" i="27" s="1"/>
  <c r="K33" i="26" s="1"/>
  <c r="E33" i="26" s="1"/>
  <c r="E52" i="27"/>
  <c r="E53" i="27"/>
  <c r="E51" i="27"/>
  <c r="E50" i="27"/>
  <c r="E45" i="27"/>
  <c r="E44" i="27"/>
  <c r="E46" i="27" s="1"/>
  <c r="K30" i="26" s="1"/>
  <c r="E30" i="26" s="1"/>
  <c r="K15" i="26"/>
  <c r="E15" i="26" s="1"/>
  <c r="K12" i="26"/>
  <c r="K9" i="26"/>
  <c r="E9" i="26" s="1"/>
  <c r="K8" i="26"/>
  <c r="E8" i="26" s="1"/>
  <c r="E12" i="26"/>
  <c r="E39" i="27"/>
  <c r="E38" i="27"/>
  <c r="E33" i="27"/>
  <c r="E32" i="27"/>
  <c r="E31" i="27"/>
  <c r="E30" i="27"/>
  <c r="E29" i="27"/>
  <c r="E28" i="27"/>
  <c r="E23" i="27"/>
  <c r="E22" i="27"/>
  <c r="E21" i="27"/>
  <c r="E20" i="27"/>
  <c r="E15" i="27"/>
  <c r="E14" i="27"/>
  <c r="E13" i="27"/>
  <c r="E12" i="27"/>
  <c r="E11" i="27"/>
  <c r="E5" i="27"/>
  <c r="E6" i="27"/>
  <c r="E4" i="27"/>
  <c r="E3" i="27"/>
  <c r="K201" i="2" l="1"/>
  <c r="K205" i="2"/>
  <c r="K198" i="2"/>
  <c r="K202" i="2"/>
  <c r="K199" i="2"/>
  <c r="K203" i="2"/>
  <c r="K204" i="2"/>
  <c r="K200" i="2"/>
  <c r="K1077" i="2"/>
  <c r="K1081" i="2"/>
  <c r="K1085" i="2"/>
  <c r="K1089" i="2"/>
  <c r="K1093" i="2"/>
  <c r="K1097" i="2"/>
  <c r="K1101" i="2"/>
  <c r="K1084" i="2"/>
  <c r="K1092" i="2"/>
  <c r="K1100" i="2"/>
  <c r="K1078" i="2"/>
  <c r="K1082" i="2"/>
  <c r="K1086" i="2"/>
  <c r="K1090" i="2"/>
  <c r="K1094" i="2"/>
  <c r="K1098" i="2"/>
  <c r="K1079" i="2"/>
  <c r="K1083" i="2"/>
  <c r="K1087" i="2"/>
  <c r="K1091" i="2"/>
  <c r="K1095" i="2"/>
  <c r="K1099" i="2"/>
  <c r="K1080" i="2"/>
  <c r="K1088" i="2"/>
  <c r="K1096" i="2"/>
  <c r="K822" i="2"/>
  <c r="K826" i="2"/>
  <c r="K830" i="2"/>
  <c r="K834" i="2"/>
  <c r="K838" i="2"/>
  <c r="K823" i="2"/>
  <c r="K827" i="2"/>
  <c r="K831" i="2"/>
  <c r="K835" i="2"/>
  <c r="K824" i="2"/>
  <c r="K828" i="2"/>
  <c r="K832" i="2"/>
  <c r="K836" i="2"/>
  <c r="K833" i="2"/>
  <c r="K837" i="2"/>
  <c r="K825" i="2"/>
  <c r="K829" i="2"/>
  <c r="K161" i="2"/>
  <c r="K165" i="2"/>
  <c r="K169" i="2"/>
  <c r="K173" i="2"/>
  <c r="K177" i="2"/>
  <c r="K181" i="2"/>
  <c r="K185" i="2"/>
  <c r="K189" i="2"/>
  <c r="K193" i="2"/>
  <c r="K197" i="2"/>
  <c r="K162" i="2"/>
  <c r="K166" i="2"/>
  <c r="K170" i="2"/>
  <c r="K174" i="2"/>
  <c r="K178" i="2"/>
  <c r="K182" i="2"/>
  <c r="K186" i="2"/>
  <c r="K190" i="2"/>
  <c r="K194" i="2"/>
  <c r="K163" i="2"/>
  <c r="K167" i="2"/>
  <c r="K171" i="2"/>
  <c r="K175" i="2"/>
  <c r="K179" i="2"/>
  <c r="K183" i="2"/>
  <c r="K187" i="2"/>
  <c r="K191" i="2"/>
  <c r="K195" i="2"/>
  <c r="K172" i="2"/>
  <c r="K188" i="2"/>
  <c r="K160" i="2"/>
  <c r="K176" i="2"/>
  <c r="K192" i="2"/>
  <c r="K164" i="2"/>
  <c r="K180" i="2"/>
  <c r="K196" i="2"/>
  <c r="K168" i="2"/>
  <c r="K184" i="2"/>
  <c r="K897" i="2"/>
  <c r="K901" i="2"/>
  <c r="K905" i="2"/>
  <c r="K909" i="2"/>
  <c r="K913" i="2"/>
  <c r="K917" i="2"/>
  <c r="K921" i="2"/>
  <c r="K925" i="2"/>
  <c r="K929" i="2"/>
  <c r="K933" i="2"/>
  <c r="K937" i="2"/>
  <c r="K941" i="2"/>
  <c r="K945" i="2"/>
  <c r="K900" i="2"/>
  <c r="K904" i="2"/>
  <c r="K912" i="2"/>
  <c r="K920" i="2"/>
  <c r="K928" i="2"/>
  <c r="K932" i="2"/>
  <c r="K940" i="2"/>
  <c r="K944" i="2"/>
  <c r="K898" i="2"/>
  <c r="K902" i="2"/>
  <c r="K906" i="2"/>
  <c r="K910" i="2"/>
  <c r="K914" i="2"/>
  <c r="K918" i="2"/>
  <c r="K922" i="2"/>
  <c r="K926" i="2"/>
  <c r="K930" i="2"/>
  <c r="K934" i="2"/>
  <c r="K938" i="2"/>
  <c r="K942" i="2"/>
  <c r="K946" i="2"/>
  <c r="K899" i="2"/>
  <c r="K903" i="2"/>
  <c r="K907" i="2"/>
  <c r="K911" i="2"/>
  <c r="K915" i="2"/>
  <c r="K919" i="2"/>
  <c r="K923" i="2"/>
  <c r="K927" i="2"/>
  <c r="K931" i="2"/>
  <c r="K935" i="2"/>
  <c r="K939" i="2"/>
  <c r="K943" i="2"/>
  <c r="K947" i="2"/>
  <c r="K896" i="2"/>
  <c r="K908" i="2"/>
  <c r="K916" i="2"/>
  <c r="K924" i="2"/>
  <c r="K936" i="2"/>
  <c r="K281" i="2"/>
  <c r="K285" i="2"/>
  <c r="K289" i="2"/>
  <c r="K293" i="2"/>
  <c r="K297" i="2"/>
  <c r="K301" i="2"/>
  <c r="K282" i="2"/>
  <c r="K286" i="2"/>
  <c r="K290" i="2"/>
  <c r="K294" i="2"/>
  <c r="K298" i="2"/>
  <c r="K302" i="2"/>
  <c r="K283" i="2"/>
  <c r="K287" i="2"/>
  <c r="K291" i="2"/>
  <c r="K295" i="2"/>
  <c r="K299" i="2"/>
  <c r="K303" i="2"/>
  <c r="K284" i="2"/>
  <c r="K300" i="2"/>
  <c r="K288" i="2"/>
  <c r="K292" i="2"/>
  <c r="K296" i="2"/>
  <c r="K348" i="2"/>
  <c r="K352" i="2"/>
  <c r="K356" i="2"/>
  <c r="K360" i="2"/>
  <c r="K364" i="2"/>
  <c r="K368" i="2"/>
  <c r="K372" i="2"/>
  <c r="K376" i="2"/>
  <c r="K349" i="2"/>
  <c r="K353" i="2"/>
  <c r="K357" i="2"/>
  <c r="K361" i="2"/>
  <c r="K365" i="2"/>
  <c r="K369" i="2"/>
  <c r="K373" i="2"/>
  <c r="K377" i="2"/>
  <c r="K346" i="2"/>
  <c r="K350" i="2"/>
  <c r="K354" i="2"/>
  <c r="K358" i="2"/>
  <c r="K362" i="2"/>
  <c r="K366" i="2"/>
  <c r="K370" i="2"/>
  <c r="K374" i="2"/>
  <c r="K355" i="2"/>
  <c r="K371" i="2"/>
  <c r="K359" i="2"/>
  <c r="K375" i="2"/>
  <c r="K347" i="2"/>
  <c r="K363" i="2"/>
  <c r="K351" i="2"/>
  <c r="K367" i="2"/>
  <c r="E69" i="27"/>
  <c r="K35" i="26" s="1"/>
  <c r="E35" i="26" s="1"/>
  <c r="E84" i="27"/>
  <c r="K37" i="26" s="1"/>
  <c r="E37" i="26" s="1"/>
  <c r="E76" i="27"/>
  <c r="K36" i="26" s="1"/>
  <c r="E36" i="26" s="1"/>
  <c r="E54" i="27"/>
  <c r="K32" i="26" s="1"/>
  <c r="E32" i="26" s="1"/>
  <c r="E40" i="27"/>
  <c r="K21" i="26" s="1"/>
  <c r="E21" i="26" s="1"/>
  <c r="E7" i="27"/>
  <c r="K17" i="26" s="1"/>
  <c r="E17" i="26" s="1"/>
  <c r="E24" i="27"/>
  <c r="K19" i="26" s="1"/>
  <c r="E19" i="26" s="1"/>
  <c r="E16" i="27"/>
  <c r="K18" i="26" s="1"/>
  <c r="E18" i="26" s="1"/>
  <c r="E34" i="27"/>
  <c r="K20" i="26" s="1"/>
  <c r="E20" i="26" s="1"/>
  <c r="K34" i="26"/>
  <c r="E34" i="26" s="1"/>
  <c r="K39" i="26"/>
  <c r="E39" i="26" s="1"/>
  <c r="K10" i="26"/>
  <c r="E10" i="26" s="1"/>
  <c r="K11" i="26"/>
  <c r="E11" i="26" s="1"/>
  <c r="K13" i="26"/>
  <c r="E13" i="26" s="1"/>
  <c r="K14" i="26"/>
  <c r="E14" i="26" s="1"/>
  <c r="K16" i="26"/>
  <c r="E16" i="26" s="1"/>
  <c r="K22" i="26"/>
  <c r="E22" i="26" s="1"/>
  <c r="K23" i="26"/>
  <c r="E23" i="26" s="1"/>
  <c r="K24" i="26"/>
  <c r="E24" i="26" s="1"/>
  <c r="K25" i="26"/>
  <c r="E25" i="26" s="1"/>
  <c r="K26" i="26"/>
  <c r="E26" i="26" s="1"/>
  <c r="K27" i="26"/>
  <c r="E27" i="26" s="1"/>
  <c r="K28" i="26"/>
  <c r="E28" i="26" s="1"/>
  <c r="K29" i="26"/>
  <c r="E29" i="26" s="1"/>
  <c r="K31" i="26"/>
  <c r="E31" i="26" s="1"/>
  <c r="K3" i="26"/>
  <c r="E3" i="26" s="1"/>
  <c r="K4" i="26"/>
  <c r="E4" i="26" s="1"/>
  <c r="K5" i="26"/>
  <c r="E5" i="26" s="1"/>
  <c r="K6" i="26"/>
  <c r="E6" i="26" s="1"/>
  <c r="K7" i="26"/>
  <c r="E7" i="26" s="1"/>
  <c r="K1" i="26"/>
  <c r="E1" i="26" s="1"/>
  <c r="K2" i="26"/>
  <c r="E2" i="26" s="1"/>
  <c r="D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K81" i="2" l="1"/>
  <c r="K82" i="2"/>
  <c r="K79" i="2"/>
  <c r="K80" i="2"/>
  <c r="K706" i="2"/>
  <c r="K710" i="2"/>
  <c r="K714" i="2"/>
  <c r="K718" i="2"/>
  <c r="K722" i="2"/>
  <c r="K726" i="2"/>
  <c r="K707" i="2"/>
  <c r="K711" i="2"/>
  <c r="K715" i="2"/>
  <c r="K719" i="2"/>
  <c r="K723" i="2"/>
  <c r="K727" i="2"/>
  <c r="K708" i="2"/>
  <c r="K712" i="2"/>
  <c r="K716" i="2"/>
  <c r="K720" i="2"/>
  <c r="K724" i="2"/>
  <c r="K728" i="2"/>
  <c r="K705" i="2"/>
  <c r="K721" i="2"/>
  <c r="K709" i="2"/>
  <c r="K725" i="2"/>
  <c r="K713" i="2"/>
  <c r="K729" i="2"/>
  <c r="K717" i="2"/>
  <c r="K318" i="2"/>
  <c r="K322" i="2"/>
  <c r="K326" i="2"/>
  <c r="K330" i="2"/>
  <c r="K334" i="2"/>
  <c r="K338" i="2"/>
  <c r="K342" i="2"/>
  <c r="K319" i="2"/>
  <c r="K323" i="2"/>
  <c r="K327" i="2"/>
  <c r="K331" i="2"/>
  <c r="K335" i="2"/>
  <c r="K339" i="2"/>
  <c r="K321" i="2"/>
  <c r="K329" i="2"/>
  <c r="K337" i="2"/>
  <c r="K344" i="2"/>
  <c r="K324" i="2"/>
  <c r="K332" i="2"/>
  <c r="K340" i="2"/>
  <c r="K345" i="2"/>
  <c r="K317" i="2"/>
  <c r="K325" i="2"/>
  <c r="K333" i="2"/>
  <c r="K341" i="2"/>
  <c r="K336" i="2"/>
  <c r="K343" i="2"/>
  <c r="K320" i="2"/>
  <c r="K328" i="2"/>
  <c r="K1105" i="2"/>
  <c r="K1109" i="2"/>
  <c r="K1108" i="2"/>
  <c r="K1102" i="2"/>
  <c r="K1106" i="2"/>
  <c r="K1110" i="2"/>
  <c r="K1103" i="2"/>
  <c r="K1107" i="2"/>
  <c r="K1111" i="2"/>
  <c r="K1104" i="2"/>
  <c r="K1112" i="2"/>
  <c r="K133" i="2"/>
  <c r="K137" i="2"/>
  <c r="K141" i="2"/>
  <c r="K145" i="2"/>
  <c r="K149" i="2"/>
  <c r="K153" i="2"/>
  <c r="K157" i="2"/>
  <c r="K134" i="2"/>
  <c r="K138" i="2"/>
  <c r="K142" i="2"/>
  <c r="K146" i="2"/>
  <c r="K150" i="2"/>
  <c r="K154" i="2"/>
  <c r="K158" i="2"/>
  <c r="K135" i="2"/>
  <c r="K139" i="2"/>
  <c r="K143" i="2"/>
  <c r="K147" i="2"/>
  <c r="K151" i="2"/>
  <c r="K155" i="2"/>
  <c r="K159" i="2"/>
  <c r="K140" i="2"/>
  <c r="K156" i="2"/>
  <c r="K144" i="2"/>
  <c r="K132" i="2"/>
  <c r="K148" i="2"/>
  <c r="K136" i="2"/>
  <c r="K152" i="2"/>
  <c r="K770" i="2"/>
  <c r="K774" i="2"/>
  <c r="K778" i="2"/>
  <c r="K782" i="2"/>
  <c r="K767" i="2"/>
  <c r="K771" i="2"/>
  <c r="K775" i="2"/>
  <c r="K779" i="2"/>
  <c r="K768" i="2"/>
  <c r="K772" i="2"/>
  <c r="K776" i="2"/>
  <c r="K780" i="2"/>
  <c r="K769" i="2"/>
  <c r="K781" i="2"/>
  <c r="K773" i="2"/>
  <c r="K777" i="2"/>
  <c r="K682" i="2"/>
  <c r="K686" i="2"/>
  <c r="K690" i="2"/>
  <c r="K694" i="2"/>
  <c r="K698" i="2"/>
  <c r="K702" i="2"/>
  <c r="K683" i="2"/>
  <c r="K687" i="2"/>
  <c r="K691" i="2"/>
  <c r="K695" i="2"/>
  <c r="K699" i="2"/>
  <c r="K703" i="2"/>
  <c r="K684" i="2"/>
  <c r="K688" i="2"/>
  <c r="K692" i="2"/>
  <c r="K696" i="2"/>
  <c r="K700" i="2"/>
  <c r="K704" i="2"/>
  <c r="K689" i="2"/>
  <c r="K701" i="2"/>
  <c r="K693" i="2"/>
  <c r="K681" i="2"/>
  <c r="K697" i="2"/>
  <c r="K685" i="2"/>
  <c r="K305" i="2"/>
  <c r="K309" i="2"/>
  <c r="K306" i="2"/>
  <c r="K310" i="2"/>
  <c r="K314" i="2"/>
  <c r="K307" i="2"/>
  <c r="K311" i="2"/>
  <c r="K315" i="2"/>
  <c r="K313" i="2"/>
  <c r="K304" i="2"/>
  <c r="K316" i="2"/>
  <c r="K308" i="2"/>
  <c r="K312" i="2"/>
  <c r="K949" i="2"/>
  <c r="K953" i="2"/>
  <c r="K957" i="2"/>
  <c r="K952" i="2"/>
  <c r="K956" i="2"/>
  <c r="K950" i="2"/>
  <c r="K954" i="2"/>
  <c r="K951" i="2"/>
  <c r="K955" i="2"/>
  <c r="K948" i="2"/>
  <c r="K113" i="2"/>
  <c r="K117" i="2"/>
  <c r="K121" i="2"/>
  <c r="K125" i="2"/>
  <c r="K129" i="2"/>
  <c r="K110" i="2"/>
  <c r="K114" i="2"/>
  <c r="K118" i="2"/>
  <c r="K122" i="2"/>
  <c r="K126" i="2"/>
  <c r="K130" i="2"/>
  <c r="K111" i="2"/>
  <c r="K115" i="2"/>
  <c r="K119" i="2"/>
  <c r="K123" i="2"/>
  <c r="K127" i="2"/>
  <c r="K131" i="2"/>
  <c r="K124" i="2"/>
  <c r="K112" i="2"/>
  <c r="K128" i="2"/>
  <c r="K116" i="2"/>
  <c r="K120" i="2"/>
  <c r="K842" i="2"/>
  <c r="K839" i="2"/>
  <c r="K843" i="2"/>
  <c r="K840" i="2"/>
  <c r="K844" i="2"/>
  <c r="K845" i="2"/>
  <c r="K841" i="2"/>
  <c r="K758" i="2"/>
  <c r="K762" i="2"/>
  <c r="K766" i="2"/>
  <c r="K759" i="2"/>
  <c r="K763" i="2"/>
  <c r="K756" i="2"/>
  <c r="K760" i="2"/>
  <c r="K764" i="2"/>
  <c r="K757" i="2"/>
  <c r="K761" i="2"/>
  <c r="K765" i="2"/>
  <c r="K646" i="2"/>
  <c r="K650" i="2"/>
  <c r="K654" i="2"/>
  <c r="K658" i="2"/>
  <c r="K662" i="2"/>
  <c r="K666" i="2"/>
  <c r="K670" i="2"/>
  <c r="K674" i="2"/>
  <c r="K678" i="2"/>
  <c r="K647" i="2"/>
  <c r="K651" i="2"/>
  <c r="K655" i="2"/>
  <c r="K659" i="2"/>
  <c r="K663" i="2"/>
  <c r="K667" i="2"/>
  <c r="K671" i="2"/>
  <c r="K675" i="2"/>
  <c r="K679" i="2"/>
  <c r="K648" i="2"/>
  <c r="K652" i="2"/>
  <c r="K656" i="2"/>
  <c r="K660" i="2"/>
  <c r="K664" i="2"/>
  <c r="K668" i="2"/>
  <c r="K672" i="2"/>
  <c r="K676" i="2"/>
  <c r="K680" i="2"/>
  <c r="K657" i="2"/>
  <c r="K673" i="2"/>
  <c r="K653" i="2"/>
  <c r="K645" i="2"/>
  <c r="K661" i="2"/>
  <c r="K677" i="2"/>
  <c r="K649" i="2"/>
  <c r="K665" i="2"/>
  <c r="K669" i="2"/>
  <c r="K245" i="2"/>
  <c r="K249" i="2"/>
  <c r="K253" i="2"/>
  <c r="K257" i="2"/>
  <c r="K261" i="2"/>
  <c r="K265" i="2"/>
  <c r="K269" i="2"/>
  <c r="K273" i="2"/>
  <c r="K277" i="2"/>
  <c r="K246" i="2"/>
  <c r="K250" i="2"/>
  <c r="K254" i="2"/>
  <c r="K258" i="2"/>
  <c r="K262" i="2"/>
  <c r="K266" i="2"/>
  <c r="K270" i="2"/>
  <c r="K274" i="2"/>
  <c r="K278" i="2"/>
  <c r="K247" i="2"/>
  <c r="K251" i="2"/>
  <c r="K255" i="2"/>
  <c r="K259" i="2"/>
  <c r="K263" i="2"/>
  <c r="K267" i="2"/>
  <c r="K271" i="2"/>
  <c r="K275" i="2"/>
  <c r="K279" i="2"/>
  <c r="K252" i="2"/>
  <c r="K268" i="2"/>
  <c r="K256" i="2"/>
  <c r="K272" i="2"/>
  <c r="K244" i="2"/>
  <c r="K260" i="2"/>
  <c r="K276" i="2"/>
  <c r="K248" i="2"/>
  <c r="K264" i="2"/>
  <c r="K280" i="2"/>
  <c r="K564" i="2"/>
  <c r="K568" i="2"/>
  <c r="K572" i="2"/>
  <c r="K576" i="2"/>
  <c r="K580" i="2"/>
  <c r="K584" i="2"/>
  <c r="K588" i="2"/>
  <c r="K565" i="2"/>
  <c r="K569" i="2"/>
  <c r="K573" i="2"/>
  <c r="K577" i="2"/>
  <c r="K581" i="2"/>
  <c r="K585" i="2"/>
  <c r="K566" i="2"/>
  <c r="K570" i="2"/>
  <c r="K574" i="2"/>
  <c r="K578" i="2"/>
  <c r="K582" i="2"/>
  <c r="K586" i="2"/>
  <c r="K579" i="2"/>
  <c r="K590" i="2"/>
  <c r="K594" i="2"/>
  <c r="K598" i="2"/>
  <c r="K602" i="2"/>
  <c r="K606" i="2"/>
  <c r="K610" i="2"/>
  <c r="K614" i="2"/>
  <c r="K618" i="2"/>
  <c r="K622" i="2"/>
  <c r="K567" i="2"/>
  <c r="K583" i="2"/>
  <c r="K591" i="2"/>
  <c r="K595" i="2"/>
  <c r="K599" i="2"/>
  <c r="K603" i="2"/>
  <c r="K607" i="2"/>
  <c r="K611" i="2"/>
  <c r="K615" i="2"/>
  <c r="K619" i="2"/>
  <c r="K571" i="2"/>
  <c r="K587" i="2"/>
  <c r="K592" i="2"/>
  <c r="K596" i="2"/>
  <c r="K600" i="2"/>
  <c r="K604" i="2"/>
  <c r="K608" i="2"/>
  <c r="K612" i="2"/>
  <c r="K616" i="2"/>
  <c r="K620" i="2"/>
  <c r="K593" i="2"/>
  <c r="K609" i="2"/>
  <c r="K621" i="2"/>
  <c r="K597" i="2"/>
  <c r="K613" i="2"/>
  <c r="K575" i="2"/>
  <c r="K601" i="2"/>
  <c r="K617" i="2"/>
  <c r="K589" i="2"/>
  <c r="K605" i="2"/>
  <c r="K626" i="2"/>
  <c r="K630" i="2"/>
  <c r="K634" i="2"/>
  <c r="K638" i="2"/>
  <c r="K642" i="2"/>
  <c r="K623" i="2"/>
  <c r="K627" i="2"/>
  <c r="K631" i="2"/>
  <c r="K635" i="2"/>
  <c r="K639" i="2"/>
  <c r="K643" i="2"/>
  <c r="K624" i="2"/>
  <c r="K628" i="2"/>
  <c r="K632" i="2"/>
  <c r="K636" i="2"/>
  <c r="K640" i="2"/>
  <c r="K644" i="2"/>
  <c r="K625" i="2"/>
  <c r="K641" i="2"/>
  <c r="K629" i="2"/>
  <c r="K633" i="2"/>
  <c r="K637" i="2"/>
  <c r="K961" i="2"/>
  <c r="K965" i="2"/>
  <c r="K969" i="2"/>
  <c r="K973" i="2"/>
  <c r="K977" i="2"/>
  <c r="K981" i="2"/>
  <c r="K985" i="2"/>
  <c r="K989" i="2"/>
  <c r="K993" i="2"/>
  <c r="K997" i="2"/>
  <c r="K964" i="2"/>
  <c r="K972" i="2"/>
  <c r="K980" i="2"/>
  <c r="K988" i="2"/>
  <c r="K996" i="2"/>
  <c r="K958" i="2"/>
  <c r="K962" i="2"/>
  <c r="K966" i="2"/>
  <c r="K970" i="2"/>
  <c r="K974" i="2"/>
  <c r="K978" i="2"/>
  <c r="K982" i="2"/>
  <c r="K986" i="2"/>
  <c r="K990" i="2"/>
  <c r="K994" i="2"/>
  <c r="K959" i="2"/>
  <c r="K963" i="2"/>
  <c r="K967" i="2"/>
  <c r="K971" i="2"/>
  <c r="K975" i="2"/>
  <c r="K979" i="2"/>
  <c r="K983" i="2"/>
  <c r="K987" i="2"/>
  <c r="K991" i="2"/>
  <c r="K995" i="2"/>
  <c r="K960" i="2"/>
  <c r="K968" i="2"/>
  <c r="K976" i="2"/>
  <c r="K984" i="2"/>
  <c r="K992" i="2"/>
  <c r="K5" i="2"/>
  <c r="K9" i="2"/>
  <c r="K13" i="2"/>
  <c r="K17" i="2"/>
  <c r="K21" i="2"/>
  <c r="K25" i="2"/>
  <c r="K6" i="2"/>
  <c r="K10" i="2"/>
  <c r="K14" i="2"/>
  <c r="K18" i="2"/>
  <c r="K22" i="2"/>
  <c r="K26" i="2"/>
  <c r="K3" i="2"/>
  <c r="K7" i="2"/>
  <c r="K11" i="2"/>
  <c r="K15" i="2"/>
  <c r="K19" i="2"/>
  <c r="K23" i="2"/>
  <c r="K12" i="2"/>
  <c r="K16" i="2"/>
  <c r="K4" i="2"/>
  <c r="K20" i="2"/>
  <c r="K8" i="2"/>
  <c r="K2" i="2"/>
  <c r="K24" i="2"/>
  <c r="K480" i="2"/>
  <c r="K484" i="2"/>
  <c r="K488" i="2"/>
  <c r="K492" i="2"/>
  <c r="K496" i="2"/>
  <c r="K500" i="2"/>
  <c r="K504" i="2"/>
  <c r="K508" i="2"/>
  <c r="K512" i="2"/>
  <c r="K516" i="2"/>
  <c r="K520" i="2"/>
  <c r="K524" i="2"/>
  <c r="K528" i="2"/>
  <c r="K532" i="2"/>
  <c r="K536" i="2"/>
  <c r="K540" i="2"/>
  <c r="K544" i="2"/>
  <c r="K548" i="2"/>
  <c r="K552" i="2"/>
  <c r="K556" i="2"/>
  <c r="K560" i="2"/>
  <c r="K481" i="2"/>
  <c r="K485" i="2"/>
  <c r="K489" i="2"/>
  <c r="K493" i="2"/>
  <c r="K497" i="2"/>
  <c r="K501" i="2"/>
  <c r="K505" i="2"/>
  <c r="K509" i="2"/>
  <c r="K513" i="2"/>
  <c r="K517" i="2"/>
  <c r="K521" i="2"/>
  <c r="K525" i="2"/>
  <c r="K529" i="2"/>
  <c r="K533" i="2"/>
  <c r="K537" i="2"/>
  <c r="K541" i="2"/>
  <c r="K545" i="2"/>
  <c r="K549" i="2"/>
  <c r="K553" i="2"/>
  <c r="K557" i="2"/>
  <c r="K561" i="2"/>
  <c r="K482" i="2"/>
  <c r="K486" i="2"/>
  <c r="K490" i="2"/>
  <c r="K494" i="2"/>
  <c r="K498" i="2"/>
  <c r="K502" i="2"/>
  <c r="K506" i="2"/>
  <c r="K510" i="2"/>
  <c r="K514" i="2"/>
  <c r="K518" i="2"/>
  <c r="K522" i="2"/>
  <c r="K526" i="2"/>
  <c r="K530" i="2"/>
  <c r="K534" i="2"/>
  <c r="K538" i="2"/>
  <c r="K542" i="2"/>
  <c r="K546" i="2"/>
  <c r="K550" i="2"/>
  <c r="K554" i="2"/>
  <c r="K558" i="2"/>
  <c r="K562" i="2"/>
  <c r="K483" i="2"/>
  <c r="K499" i="2"/>
  <c r="K515" i="2"/>
  <c r="K531" i="2"/>
  <c r="K547" i="2"/>
  <c r="K563" i="2"/>
  <c r="K487" i="2"/>
  <c r="K503" i="2"/>
  <c r="K519" i="2"/>
  <c r="K535" i="2"/>
  <c r="K551" i="2"/>
  <c r="K491" i="2"/>
  <c r="K507" i="2"/>
  <c r="K523" i="2"/>
  <c r="K539" i="2"/>
  <c r="K555" i="2"/>
  <c r="K543" i="2"/>
  <c r="K527" i="2"/>
  <c r="K495" i="2"/>
  <c r="K559" i="2"/>
  <c r="K511" i="2"/>
  <c r="K53" i="2"/>
  <c r="K57" i="2"/>
  <c r="K61" i="2"/>
  <c r="K65" i="2"/>
  <c r="K69" i="2"/>
  <c r="K73" i="2"/>
  <c r="K77" i="2"/>
  <c r="K54" i="2"/>
  <c r="K58" i="2"/>
  <c r="K62" i="2"/>
  <c r="K66" i="2"/>
  <c r="K70" i="2"/>
  <c r="K74" i="2"/>
  <c r="K78" i="2"/>
  <c r="K55" i="2"/>
  <c r="K59" i="2"/>
  <c r="K63" i="2"/>
  <c r="K67" i="2"/>
  <c r="K71" i="2"/>
  <c r="K75" i="2"/>
  <c r="K60" i="2"/>
  <c r="K76" i="2"/>
  <c r="K64" i="2"/>
  <c r="K68" i="2"/>
  <c r="K56" i="2"/>
  <c r="K72" i="2"/>
  <c r="K388" i="2"/>
  <c r="K392" i="2"/>
  <c r="K396" i="2"/>
  <c r="K400" i="2"/>
  <c r="K404" i="2"/>
  <c r="K408" i="2"/>
  <c r="K412" i="2"/>
  <c r="K416" i="2"/>
  <c r="K420" i="2"/>
  <c r="K424" i="2"/>
  <c r="K428" i="2"/>
  <c r="K432" i="2"/>
  <c r="K389" i="2"/>
  <c r="K393" i="2"/>
  <c r="K397" i="2"/>
  <c r="K401" i="2"/>
  <c r="K405" i="2"/>
  <c r="K409" i="2"/>
  <c r="K413" i="2"/>
  <c r="K417" i="2"/>
  <c r="K421" i="2"/>
  <c r="K425" i="2"/>
  <c r="K429" i="2"/>
  <c r="K390" i="2"/>
  <c r="K394" i="2"/>
  <c r="K398" i="2"/>
  <c r="K402" i="2"/>
  <c r="K406" i="2"/>
  <c r="K410" i="2"/>
  <c r="K414" i="2"/>
  <c r="K418" i="2"/>
  <c r="K422" i="2"/>
  <c r="K426" i="2"/>
  <c r="K430" i="2"/>
  <c r="K387" i="2"/>
  <c r="K403" i="2"/>
  <c r="K419" i="2"/>
  <c r="K391" i="2"/>
  <c r="K407" i="2"/>
  <c r="K423" i="2"/>
  <c r="K395" i="2"/>
  <c r="K411" i="2"/>
  <c r="K427" i="2"/>
  <c r="K415" i="2"/>
  <c r="K399" i="2"/>
  <c r="K431" i="2"/>
  <c r="K29" i="2"/>
  <c r="K33" i="2"/>
  <c r="K37" i="2"/>
  <c r="K41" i="2"/>
  <c r="K45" i="2"/>
  <c r="K49" i="2"/>
  <c r="K30" i="2"/>
  <c r="K34" i="2"/>
  <c r="K38" i="2"/>
  <c r="K42" i="2"/>
  <c r="K46" i="2"/>
  <c r="K50" i="2"/>
  <c r="K27" i="2"/>
  <c r="K31" i="2"/>
  <c r="K35" i="2"/>
  <c r="K39" i="2"/>
  <c r="K43" i="2"/>
  <c r="K47" i="2"/>
  <c r="K51" i="2"/>
  <c r="K28" i="2"/>
  <c r="K44" i="2"/>
  <c r="K32" i="2"/>
  <c r="K48" i="2"/>
  <c r="K36" i="2"/>
  <c r="K52" i="2"/>
  <c r="K40" i="2"/>
  <c r="K85" i="2"/>
  <c r="K89" i="2"/>
  <c r="K93" i="2"/>
  <c r="K97" i="2"/>
  <c r="K101" i="2"/>
  <c r="K105" i="2"/>
  <c r="K109" i="2"/>
  <c r="K86" i="2"/>
  <c r="K90" i="2"/>
  <c r="K94" i="2"/>
  <c r="K98" i="2"/>
  <c r="K102" i="2"/>
  <c r="K106" i="2"/>
  <c r="K83" i="2"/>
  <c r="K87" i="2"/>
  <c r="K91" i="2"/>
  <c r="K95" i="2"/>
  <c r="K99" i="2"/>
  <c r="K103" i="2"/>
  <c r="K107" i="2"/>
  <c r="K92" i="2"/>
  <c r="K108" i="2"/>
  <c r="K96" i="2"/>
  <c r="K84" i="2"/>
  <c r="K100" i="2"/>
  <c r="K104" i="2"/>
  <c r="K88" i="2"/>
  <c r="K806" i="2"/>
  <c r="K810" i="2"/>
  <c r="K814" i="2"/>
  <c r="K818" i="2"/>
  <c r="K807" i="2"/>
  <c r="K811" i="2"/>
  <c r="K815" i="2"/>
  <c r="K819" i="2"/>
  <c r="K804" i="2"/>
  <c r="K808" i="2"/>
  <c r="K812" i="2"/>
  <c r="K816" i="2"/>
  <c r="K820" i="2"/>
  <c r="K817" i="2"/>
  <c r="K813" i="2"/>
  <c r="K805" i="2"/>
  <c r="K821" i="2"/>
  <c r="K809" i="2"/>
  <c r="K730" i="2"/>
  <c r="K734" i="2"/>
  <c r="K738" i="2"/>
  <c r="K742" i="2"/>
  <c r="K746" i="2"/>
  <c r="K750" i="2"/>
  <c r="K754" i="2"/>
  <c r="K731" i="2"/>
  <c r="K735" i="2"/>
  <c r="K739" i="2"/>
  <c r="K743" i="2"/>
  <c r="K747" i="2"/>
  <c r="K751" i="2"/>
  <c r="K755" i="2"/>
  <c r="K732" i="2"/>
  <c r="K736" i="2"/>
  <c r="K740" i="2"/>
  <c r="K744" i="2"/>
  <c r="K748" i="2"/>
  <c r="K752" i="2"/>
  <c r="K737" i="2"/>
  <c r="K753" i="2"/>
  <c r="K733" i="2"/>
  <c r="K741" i="2"/>
  <c r="K745" i="2"/>
  <c r="K749" i="2"/>
  <c r="K380" i="2"/>
  <c r="K384" i="2"/>
  <c r="K381" i="2"/>
  <c r="K385" i="2"/>
  <c r="K378" i="2"/>
  <c r="K382" i="2"/>
  <c r="K386" i="2"/>
  <c r="K379" i="2"/>
  <c r="K383" i="2"/>
  <c r="K209" i="2"/>
  <c r="K213" i="2"/>
  <c r="K217" i="2"/>
  <c r="K221" i="2"/>
  <c r="K225" i="2"/>
  <c r="K229" i="2"/>
  <c r="K233" i="2"/>
  <c r="K237" i="2"/>
  <c r="K241" i="2"/>
  <c r="K206" i="2"/>
  <c r="K210" i="2"/>
  <c r="K214" i="2"/>
  <c r="K218" i="2"/>
  <c r="K222" i="2"/>
  <c r="K226" i="2"/>
  <c r="K230" i="2"/>
  <c r="K234" i="2"/>
  <c r="K238" i="2"/>
  <c r="K242" i="2"/>
  <c r="K207" i="2"/>
  <c r="K211" i="2"/>
  <c r="K215" i="2"/>
  <c r="K219" i="2"/>
  <c r="K223" i="2"/>
  <c r="K227" i="2"/>
  <c r="K231" i="2"/>
  <c r="K235" i="2"/>
  <c r="K239" i="2"/>
  <c r="K243" i="2"/>
  <c r="K220" i="2"/>
  <c r="K236" i="2"/>
  <c r="K208" i="2"/>
  <c r="K224" i="2"/>
  <c r="K240" i="2"/>
  <c r="K212" i="2"/>
  <c r="K228" i="2"/>
  <c r="K232" i="2"/>
  <c r="K216" i="2"/>
  <c r="K436" i="2"/>
  <c r="K440" i="2"/>
  <c r="K444" i="2"/>
  <c r="K448" i="2"/>
  <c r="K452" i="2"/>
  <c r="K456" i="2"/>
  <c r="K460" i="2"/>
  <c r="K464" i="2"/>
  <c r="K468" i="2"/>
  <c r="K472" i="2"/>
  <c r="K476" i="2"/>
  <c r="K433" i="2"/>
  <c r="K437" i="2"/>
  <c r="K441" i="2"/>
  <c r="K445" i="2"/>
  <c r="K449" i="2"/>
  <c r="K453" i="2"/>
  <c r="K457" i="2"/>
  <c r="K461" i="2"/>
  <c r="K465" i="2"/>
  <c r="K469" i="2"/>
  <c r="K473" i="2"/>
  <c r="K477" i="2"/>
  <c r="K434" i="2"/>
  <c r="K438" i="2"/>
  <c r="K442" i="2"/>
  <c r="K446" i="2"/>
  <c r="K450" i="2"/>
  <c r="K454" i="2"/>
  <c r="K458" i="2"/>
  <c r="K462" i="2"/>
  <c r="K466" i="2"/>
  <c r="K470" i="2"/>
  <c r="K474" i="2"/>
  <c r="K478" i="2"/>
  <c r="K435" i="2"/>
  <c r="K451" i="2"/>
  <c r="K467" i="2"/>
  <c r="K439" i="2"/>
  <c r="K455" i="2"/>
  <c r="K471" i="2"/>
  <c r="K443" i="2"/>
  <c r="K459" i="2"/>
  <c r="K475" i="2"/>
  <c r="K479" i="2"/>
  <c r="K447" i="2"/>
  <c r="K463" i="2"/>
  <c r="K846" i="2"/>
  <c r="K850" i="2"/>
  <c r="K848" i="2"/>
  <c r="K847" i="2"/>
  <c r="K853" i="2"/>
  <c r="K857" i="2"/>
  <c r="K861" i="2"/>
  <c r="K865" i="2"/>
  <c r="K869" i="2"/>
  <c r="K873" i="2"/>
  <c r="K877" i="2"/>
  <c r="K881" i="2"/>
  <c r="K885" i="2"/>
  <c r="K889" i="2"/>
  <c r="K893" i="2"/>
  <c r="K856" i="2"/>
  <c r="K868" i="2"/>
  <c r="K876" i="2"/>
  <c r="K880" i="2"/>
  <c r="K888" i="2"/>
  <c r="K849" i="2"/>
  <c r="K854" i="2"/>
  <c r="K858" i="2"/>
  <c r="K862" i="2"/>
  <c r="K866" i="2"/>
  <c r="K870" i="2"/>
  <c r="K874" i="2"/>
  <c r="K878" i="2"/>
  <c r="K882" i="2"/>
  <c r="K886" i="2"/>
  <c r="K890" i="2"/>
  <c r="K894" i="2"/>
  <c r="K851" i="2"/>
  <c r="K855" i="2"/>
  <c r="K859" i="2"/>
  <c r="K863" i="2"/>
  <c r="K867" i="2"/>
  <c r="K871" i="2"/>
  <c r="K875" i="2"/>
  <c r="K879" i="2"/>
  <c r="K883" i="2"/>
  <c r="K887" i="2"/>
  <c r="K891" i="2"/>
  <c r="K895" i="2"/>
  <c r="K852" i="2"/>
  <c r="K860" i="2"/>
  <c r="K864" i="2"/>
  <c r="K872" i="2"/>
  <c r="K884" i="2"/>
  <c r="K892" i="2"/>
  <c r="K786" i="2"/>
  <c r="K790" i="2"/>
  <c r="K794" i="2"/>
  <c r="K798" i="2"/>
  <c r="K802" i="2"/>
  <c r="K783" i="2"/>
  <c r="K787" i="2"/>
  <c r="K791" i="2"/>
  <c r="K795" i="2"/>
  <c r="K799" i="2"/>
  <c r="K803" i="2"/>
  <c r="K784" i="2"/>
  <c r="K788" i="2"/>
  <c r="K792" i="2"/>
  <c r="K796" i="2"/>
  <c r="K800" i="2"/>
  <c r="K785" i="2"/>
  <c r="K801" i="2"/>
  <c r="K789" i="2"/>
  <c r="K793" i="2"/>
  <c r="K797" i="2"/>
  <c r="K1001" i="2"/>
  <c r="K1005" i="2"/>
  <c r="K1009" i="2"/>
  <c r="K1013" i="2"/>
  <c r="K1017" i="2"/>
  <c r="K1021" i="2"/>
  <c r="K1025" i="2"/>
  <c r="K1029" i="2"/>
  <c r="K1004" i="2"/>
  <c r="K1012" i="2"/>
  <c r="K1024" i="2"/>
  <c r="K1032" i="2"/>
  <c r="K998" i="2"/>
  <c r="K1002" i="2"/>
  <c r="K1006" i="2"/>
  <c r="K1010" i="2"/>
  <c r="K1014" i="2"/>
  <c r="K1018" i="2"/>
  <c r="K1022" i="2"/>
  <c r="K1026" i="2"/>
  <c r="K1030" i="2"/>
  <c r="K999" i="2"/>
  <c r="K1003" i="2"/>
  <c r="K1007" i="2"/>
  <c r="K1011" i="2"/>
  <c r="K1015" i="2"/>
  <c r="K1019" i="2"/>
  <c r="K1023" i="2"/>
  <c r="K1027" i="2"/>
  <c r="K1031" i="2"/>
  <c r="K1000" i="2"/>
  <c r="K1008" i="2"/>
  <c r="K1016" i="2"/>
  <c r="K1020" i="2"/>
  <c r="K1028" i="2"/>
  <c r="K1033" i="2"/>
  <c r="K1037" i="2"/>
  <c r="K1041" i="2"/>
  <c r="K1045" i="2"/>
  <c r="K1049" i="2"/>
  <c r="K1053" i="2"/>
  <c r="K1057" i="2"/>
  <c r="K1061" i="2"/>
  <c r="K1065" i="2"/>
  <c r="K1069" i="2"/>
  <c r="K1073" i="2"/>
  <c r="K1040" i="2"/>
  <c r="K1052" i="2"/>
  <c r="K1060" i="2"/>
  <c r="K1068" i="2"/>
  <c r="K1076" i="2"/>
  <c r="K1034" i="2"/>
  <c r="K1038" i="2"/>
  <c r="K1042" i="2"/>
  <c r="K1046" i="2"/>
  <c r="K1050" i="2"/>
  <c r="K1054" i="2"/>
  <c r="K1058" i="2"/>
  <c r="K1062" i="2"/>
  <c r="K1066" i="2"/>
  <c r="K1070" i="2"/>
  <c r="K1074" i="2"/>
  <c r="K1035" i="2"/>
  <c r="K1039" i="2"/>
  <c r="K1043" i="2"/>
  <c r="K1047" i="2"/>
  <c r="K1051" i="2"/>
  <c r="K1055" i="2"/>
  <c r="K1059" i="2"/>
  <c r="K1063" i="2"/>
  <c r="K1067" i="2"/>
  <c r="K1071" i="2"/>
  <c r="K1075" i="2"/>
  <c r="K1036" i="2"/>
  <c r="K1044" i="2"/>
  <c r="K1048" i="2"/>
  <c r="K1056" i="2"/>
  <c r="K1064" i="2"/>
  <c r="K1072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3" i="1"/>
  <c r="C1" i="1" l="1"/>
</calcChain>
</file>

<file path=xl/sharedStrings.xml><?xml version="1.0" encoding="utf-8"?>
<sst xmlns="http://schemas.openxmlformats.org/spreadsheetml/2006/main" count="11958" uniqueCount="6036">
  <si>
    <t>i</t>
  </si>
  <si>
    <t>j</t>
  </si>
  <si>
    <t>val</t>
  </si>
  <si>
    <t>k</t>
  </si>
  <si>
    <t>val calc</t>
  </si>
  <si>
    <t>a</t>
  </si>
  <si>
    <t>b</t>
  </si>
  <si>
    <t>c</t>
  </si>
  <si>
    <t>d</t>
  </si>
  <si>
    <t>e</t>
  </si>
  <si>
    <t>f</t>
  </si>
  <si>
    <t>g</t>
  </si>
  <si>
    <t>h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</si>
  <si>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</si>
  <si>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</si>
  <si>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</si>
  <si>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</si>
  <si>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</si>
  <si>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</si>
  <si>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</si>
  <si>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</si>
  <si>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</si>
  <si>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</si>
  <si>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48° 53′ 31″ N, 2° 14′ 16″ E</t>
  </si>
  <si>
    <t>48° 53′ 16″ N, 2° 15′ 02″ E</t>
  </si>
  <si>
    <t>Pont de Neuilly</t>
  </si>
  <si>
    <t>48° 53′ 04″ N, 2° 15′ 36″ E</t>
  </si>
  <si>
    <t>48° 52′ 51″ N, 2° 16′ 21″ E</t>
  </si>
  <si>
    <t>48° 52′ 41″ N, 2° 16′ 55″ E</t>
  </si>
  <si>
    <t>Argentine</t>
  </si>
  <si>
    <t>48° 52′ 32″ N, 2° 17′ 22″ E</t>
  </si>
  <si>
    <t>Charles de Gaulle - Étoile</t>
  </si>
  <si>
    <t>48° 52′ 28″ N, 2° 17′ 45″ E</t>
  </si>
  <si>
    <t>George V</t>
  </si>
  <si>
    <t>48° 52′ 19″ N, 2° 18′ 02″ E</t>
  </si>
  <si>
    <t>Franklin D. Roosevelt</t>
  </si>
  <si>
    <t>48° 52′ 09″ N, 2° 18′ 30″ E</t>
  </si>
  <si>
    <t>48° 52′ 03″ N, 2° 18′ 50″ E</t>
  </si>
  <si>
    <t>Concorde</t>
  </si>
  <si>
    <t>48° 51′ 58″ N, 2° 19′ 21″ E</t>
  </si>
  <si>
    <t>Tuileries</t>
  </si>
  <si>
    <t>48° 51′ 52″ N, 2° 19′ 49″ E</t>
  </si>
  <si>
    <t>Palais-Royal - Musée du Louvre</t>
  </si>
  <si>
    <t>48° 51′ 46″ N, 2° 20′ 09″ E</t>
  </si>
  <si>
    <t>Louvre - Rivoli</t>
  </si>
  <si>
    <t>48° 51′ 40″ N, 2° 20′ 25″ E</t>
  </si>
  <si>
    <t>Châtelet</t>
  </si>
  <si>
    <t>48° 51′ 31″ N, 2° 20′ 50″ E</t>
  </si>
  <si>
    <t>Hôtel de Ville</t>
  </si>
  <si>
    <t>48° 51′ 24″ N, 2° 21′ 05″ E</t>
  </si>
  <si>
    <t>48° 51′ 19″ N, 2° 21′ 38″ E</t>
  </si>
  <si>
    <t>Bastille</t>
  </si>
  <si>
    <t>48° 51′ 11″ N, 2° 22′ 09″ E</t>
  </si>
  <si>
    <t>Gare de Lyon</t>
  </si>
  <si>
    <t>48° 50′ 41″ N, 2° 22′ 27″ E</t>
  </si>
  <si>
    <t>Reuilly - Diderot</t>
  </si>
  <si>
    <t>48° 50′ 50″ N, 2° 23′ 12″ E</t>
  </si>
  <si>
    <t>Nation</t>
  </si>
  <si>
    <t>48° 50′ 54″ N, 2° 23′ 45″ E</t>
  </si>
  <si>
    <t>Porte de Vincennes</t>
  </si>
  <si>
    <t>48° 50′ 50″ N, 2° 24′ 32″ E</t>
  </si>
  <si>
    <t>Saint-Mandé</t>
  </si>
  <si>
    <t>48° 50′ 47″ N, 2° 25′ 07″ E</t>
  </si>
  <si>
    <t>Bérault</t>
  </si>
  <si>
    <t>48° 50′ 43″ N, 2° 25′ 45″ E</t>
  </si>
  <si>
    <t>Château de Vincennes</t>
  </si>
  <si>
    <t>48° 50′ 40″ N, 2° 26′ 22″ E</t>
  </si>
  <si>
    <t>RERA,TRL,TRU,T2</t>
  </si>
  <si>
    <t>La Défense Grande Arche</t>
  </si>
  <si>
    <t>RERC(Neuilly - Porte Maillot)</t>
  </si>
  <si>
    <t>M2,M6,RERA</t>
  </si>
  <si>
    <t>M9</t>
  </si>
  <si>
    <t>M13</t>
  </si>
  <si>
    <t>M8,M12</t>
  </si>
  <si>
    <t>M7</t>
  </si>
  <si>
    <t>M4,M7,M11,M14,RERA(Châtelet - Les Halles),RERB(Châtelet - Les Halles),RERD(Châtelet - Les Halles)</t>
  </si>
  <si>
    <t>M11</t>
  </si>
  <si>
    <t>M5,M8</t>
  </si>
  <si>
    <t>T3A,T3B</t>
  </si>
  <si>
    <t>RERA(Vincennes)</t>
  </si>
  <si>
    <t>line</t>
  </si>
  <si>
    <t>indexLine</t>
  </si>
  <si>
    <t>name</t>
  </si>
  <si>
    <t>Porte Dauphine</t>
  </si>
  <si>
    <t>Victor Hugo</t>
  </si>
  <si>
    <t>Ternes</t>
  </si>
  <si>
    <t>Courcelles</t>
  </si>
  <si>
    <t>Monceau</t>
  </si>
  <si>
    <t>Villiers</t>
  </si>
  <si>
    <t>Rome</t>
  </si>
  <si>
    <t>Place de Clichy</t>
  </si>
  <si>
    <t>Blanche</t>
  </si>
  <si>
    <t>Pigalle</t>
  </si>
  <si>
    <t>Anvers</t>
  </si>
  <si>
    <t>Sacré-Cœur</t>
  </si>
  <si>
    <t>Barbès - Rochechouart</t>
  </si>
  <si>
    <t>La Chapelle</t>
  </si>
  <si>
    <t>Stalingrad</t>
  </si>
  <si>
    <t>Jaurès</t>
  </si>
  <si>
    <t>Colonel Fabien</t>
  </si>
  <si>
    <t>Belleville</t>
  </si>
  <si>
    <t>Couronnes</t>
  </si>
  <si>
    <t>Ménilmontant</t>
  </si>
  <si>
    <t>Père Lachaise</t>
  </si>
  <si>
    <t>Philippe Auguste</t>
  </si>
  <si>
    <t>Alexandre Dumas</t>
  </si>
  <si>
    <t>Avron</t>
  </si>
  <si>
    <t>RERC(Avenue Foch)</t>
  </si>
  <si>
    <t>M1,M6,RERA</t>
  </si>
  <si>
    <t>M3</t>
  </si>
  <si>
    <t>M12</t>
  </si>
  <si>
    <t>M4</t>
  </si>
  <si>
    <t>M5,M7</t>
  </si>
  <si>
    <t>M5,M7BIS</t>
  </si>
  <si>
    <t>M1,M6,M9,RERA</t>
  </si>
  <si>
    <t>M1</t>
  </si>
  <si>
    <t>M2</t>
  </si>
  <si>
    <t>Pont de Levallois - Bécon</t>
  </si>
  <si>
    <t>Anatole France</t>
  </si>
  <si>
    <t>Louise Michel</t>
  </si>
  <si>
    <t>Porte de Champerret</t>
  </si>
  <si>
    <t>Wagram</t>
  </si>
  <si>
    <t>Malesherbes</t>
  </si>
  <si>
    <t>Saint-Lazare</t>
  </si>
  <si>
    <t>Havre - Caumartin</t>
  </si>
  <si>
    <t>Opéra</t>
  </si>
  <si>
    <t>Quatre-Septembre</t>
  </si>
  <si>
    <t>Bourse</t>
  </si>
  <si>
    <t>Sentier</t>
  </si>
  <si>
    <t>Réaumur - Sébastopol</t>
  </si>
  <si>
    <t>Arts et Métiers</t>
  </si>
  <si>
    <t>Temple</t>
  </si>
  <si>
    <t>République</t>
  </si>
  <si>
    <t>Parmentier</t>
  </si>
  <si>
    <t>Rue Saint-Maur</t>
  </si>
  <si>
    <t>Gambetta</t>
  </si>
  <si>
    <t>Porte de Bagnolet</t>
  </si>
  <si>
    <t>Gallieni</t>
  </si>
  <si>
    <t>Parc de Bagnolet</t>
  </si>
  <si>
    <t>RERC(Pereire - Levallois)</t>
  </si>
  <si>
    <t>M7,M8,RERA(Auber)</t>
  </si>
  <si>
    <t>M5,M8,M9,M11</t>
  </si>
  <si>
    <t>M3BIS</t>
  </si>
  <si>
    <t>T3B</t>
  </si>
  <si>
    <t>changes</t>
  </si>
  <si>
    <t>Porte de Clignancourt</t>
  </si>
  <si>
    <t>48° 53′ 50″ N, 2° 20′ 41″ E</t>
  </si>
  <si>
    <t>Simplon</t>
  </si>
  <si>
    <t>48° 53′ 41″ N, 2° 20′ 50″ E</t>
  </si>
  <si>
    <t>Marcadet - Poissonniers</t>
  </si>
  <si>
    <t>48° 53′ 29″ N, 2° 20′ 59″ E</t>
  </si>
  <si>
    <t>Château Rouge</t>
  </si>
  <si>
    <t>48° 53′ 14″ N, 2° 20′ 58″ E</t>
  </si>
  <si>
    <t>48° 53′ 01″ N, 2° 21′ 02″ E</t>
  </si>
  <si>
    <t>Gare du Nord</t>
  </si>
  <si>
    <t>48° 52′ 49″ N, 2° 21′ 18″ E</t>
  </si>
  <si>
    <t>Gare de l'Est</t>
  </si>
  <si>
    <t>48° 52′ 34″ N, 2° 21′ 29″ E</t>
  </si>
  <si>
    <t>Château d'Eau</t>
  </si>
  <si>
    <t>48° 52′ 21″ N, 2° 21′ 21″ E</t>
  </si>
  <si>
    <t>Strasbourg - Saint-Denis</t>
  </si>
  <si>
    <t>48° 52′ 10″ N, 2° 21′ 15″ E</t>
  </si>
  <si>
    <t>48° 51′ 59″ N, 2° 21′ 09″ E</t>
  </si>
  <si>
    <t>Étienne Marcel</t>
  </si>
  <si>
    <t>48° 51′ 50″ N, 2° 20′ 57″ E</t>
  </si>
  <si>
    <t>Les Halles</t>
  </si>
  <si>
    <t>48° 51′ 45″ N, 2° 20′ 46″ E</t>
  </si>
  <si>
    <t>Cité</t>
  </si>
  <si>
    <t>48° 51′ 21″ N, 2° 20′ 46″ E</t>
  </si>
  <si>
    <t>Saint-Michel</t>
  </si>
  <si>
    <t>48° 51′ 13″ N, 2° 20′ 38″ E</t>
  </si>
  <si>
    <t>Odéon</t>
  </si>
  <si>
    <t>48° 51′ 08″ N, 2° 20′ 20″ E</t>
  </si>
  <si>
    <t>Saint-Germain-des-Prés</t>
  </si>
  <si>
    <t>48° 51′ 14″ N, 2° 20′ 00″ E</t>
  </si>
  <si>
    <t>Saint-Sulpice</t>
  </si>
  <si>
    <t>48° 51′ 05″ N, 2° 19′ 52″ E</t>
  </si>
  <si>
    <t>Saint-Placide</t>
  </si>
  <si>
    <t>48° 50′ 49″ N, 2° 19′ 37″ E</t>
  </si>
  <si>
    <t>Montparnasse - Bienvenüe</t>
  </si>
  <si>
    <t>48° 50′ 36″ N, 2° 19′ 23″ E</t>
  </si>
  <si>
    <t>Vavin</t>
  </si>
  <si>
    <t>48° 50′ 32″ N, 2° 19′ 46″ E</t>
  </si>
  <si>
    <t>Raspail</t>
  </si>
  <si>
    <t>48° 50′ 20″ N, 2° 19′ 51″ E</t>
  </si>
  <si>
    <t>Denfert-Rochereau</t>
  </si>
  <si>
    <t>48° 50′ 02″ N, 2° 19′ 57″ E</t>
  </si>
  <si>
    <t>Mouton-Duvernet</t>
  </si>
  <si>
    <t>48° 49′ 56″ N, 2° 19′ 49″ E</t>
  </si>
  <si>
    <t>Alésia</t>
  </si>
  <si>
    <t>48° 49′ 42″ N, 2° 19′ 37″ E</t>
  </si>
  <si>
    <t>48° 49′ 23″ N, 2° 19′ 33″ E</t>
  </si>
  <si>
    <t>48° 49′ 06″ N, 2° 19′ 10″ E</t>
  </si>
  <si>
    <t>M8,M9</t>
  </si>
  <si>
    <t>M1,M7,M11,M14</t>
  </si>
  <si>
    <t>M10</t>
  </si>
  <si>
    <t>M6</t>
  </si>
  <si>
    <t>M6,RERB</t>
  </si>
  <si>
    <t>T3A</t>
  </si>
  <si>
    <t>Bobigny - Pantin - Raymond Queneau</t>
  </si>
  <si>
    <t>Église de Pantin</t>
  </si>
  <si>
    <t>Hoche</t>
  </si>
  <si>
    <t>Ourcq</t>
  </si>
  <si>
    <t>Laumière</t>
  </si>
  <si>
    <t>Jacques Bonsergent</t>
  </si>
  <si>
    <t>Oberkampf</t>
  </si>
  <si>
    <t>Richard-Lenoir</t>
  </si>
  <si>
    <t>Bréguet - Sabin</t>
  </si>
  <si>
    <t>Quai de la Rapée</t>
  </si>
  <si>
    <t>Gare d'Austerlitz</t>
  </si>
  <si>
    <t>Saint-Marcel</t>
  </si>
  <si>
    <t>Campo-Formio</t>
  </si>
  <si>
    <t>Place d'Italie</t>
  </si>
  <si>
    <t>T1</t>
  </si>
  <si>
    <t>M2,M7BIS</t>
  </si>
  <si>
    <t>M2,M7</t>
  </si>
  <si>
    <t>M3,M8,M9,M11</t>
  </si>
  <si>
    <t>M1,M8</t>
  </si>
  <si>
    <t>M6,M7</t>
  </si>
  <si>
    <t>M5</t>
  </si>
  <si>
    <t>M8</t>
  </si>
  <si>
    <t>M4,M8</t>
  </si>
  <si>
    <t>Kléber</t>
  </si>
  <si>
    <t>Boissière</t>
  </si>
  <si>
    <t>Trocadéro</t>
  </si>
  <si>
    <t>Passy</t>
  </si>
  <si>
    <t>Dupleix</t>
  </si>
  <si>
    <t>La Motte-Picquet - Grenelle</t>
  </si>
  <si>
    <t>Cambronne</t>
  </si>
  <si>
    <t>Sèvres - Lecourbe</t>
  </si>
  <si>
    <t>Pasteur</t>
  </si>
  <si>
    <t>Edgar Quinet</t>
  </si>
  <si>
    <t>Saint-Jacques</t>
  </si>
  <si>
    <t>Glacière</t>
  </si>
  <si>
    <t>Corvisart</t>
  </si>
  <si>
    <t>Nationale</t>
  </si>
  <si>
    <t>Chevaleret</t>
  </si>
  <si>
    <t>Quai de la Gare</t>
  </si>
  <si>
    <t>Bercy</t>
  </si>
  <si>
    <t>Dugommier</t>
  </si>
  <si>
    <t>Daumesnil</t>
  </si>
  <si>
    <t>Bel-Air</t>
  </si>
  <si>
    <t>Picpus</t>
  </si>
  <si>
    <t>M1,M2,RERA</t>
  </si>
  <si>
    <t>Bir-Hakeim Tour Eiffel</t>
  </si>
  <si>
    <t>M8,M10</t>
  </si>
  <si>
    <t>TRN</t>
  </si>
  <si>
    <t>M4,RERB</t>
  </si>
  <si>
    <t>M14</t>
  </si>
  <si>
    <t>M1,M2,M9,RERA</t>
  </si>
  <si>
    <t>La Courneuve - 8 Mai 1945</t>
  </si>
  <si>
    <t>48° 55′ 15″ N, 2° 24′ 38″ E</t>
  </si>
  <si>
    <t>Fort d'Aubervilliers</t>
  </si>
  <si>
    <t>48° 54′ 51″ N, 2° 24′ 15″ E</t>
  </si>
  <si>
    <t>Aubervilliers - Pantin - Quatre Chemins</t>
  </si>
  <si>
    <t>48° 54′ 14″ N, 2° 23′ 33″ E</t>
  </si>
  <si>
    <t>48° 53′ 49″ N, 2° 23′ 09″ E</t>
  </si>
  <si>
    <t>Corentin Cariou</t>
  </si>
  <si>
    <t>48° 53′ 41″ N, 2° 22′ 57″ E</t>
  </si>
  <si>
    <t>Crimée</t>
  </si>
  <si>
    <t>48° 53′ 29″ N, 2° 22′ 38″ E</t>
  </si>
  <si>
    <t>Riquet</t>
  </si>
  <si>
    <t>48° 53′ 18″ N, 2° 22′ 27″ E</t>
  </si>
  <si>
    <t>48° 53′ 03″ N, 2° 22′ 07″ E</t>
  </si>
  <si>
    <t>Louis Blanc</t>
  </si>
  <si>
    <t>48° 52′ 53″ N, 2° 21′ 55″ E</t>
  </si>
  <si>
    <t>Château-Landon</t>
  </si>
  <si>
    <t>48° 52′ 43″ N, 2° 21′ 43″ E</t>
  </si>
  <si>
    <t>Poissonnière</t>
  </si>
  <si>
    <t>48° 52′ 37″ N, 2° 20′ 57″ E</t>
  </si>
  <si>
    <t>Cadet</t>
  </si>
  <si>
    <t>48° 52′ 33″ N, 2° 20′ 35″ E</t>
  </si>
  <si>
    <t>Le Peletier</t>
  </si>
  <si>
    <t>48° 52′ 30″ N, 2° 20′ 26″ E</t>
  </si>
  <si>
    <t>Chaussée d'Antin - La Fayette</t>
  </si>
  <si>
    <t>48° 52′ 22″ N, 2° 20′ 00″ E</t>
  </si>
  <si>
    <t>48° 52′ 14″ N, 2° 19′ 58″ E</t>
  </si>
  <si>
    <t>Pyramides</t>
  </si>
  <si>
    <t>48° 51′ 59″ N, 2° 20′ 02″ E</t>
  </si>
  <si>
    <t>48° 51′ 46″ N, 2° 20′ 10″ E</t>
  </si>
  <si>
    <t>Pont-Neuf</t>
  </si>
  <si>
    <t>48° 51′ 31″ N, 2° 20′ 32″ E</t>
  </si>
  <si>
    <t>48° 51′ 13″ N, 2° 21′ 26″ E</t>
  </si>
  <si>
    <t>Sully - Morland</t>
  </si>
  <si>
    <t>48° 51′ 04″ N, 2° 21′ 45″ E</t>
  </si>
  <si>
    <t>Jussieu</t>
  </si>
  <si>
    <t>48° 50′ 45″ N, 2° 21′ 17″ E</t>
  </si>
  <si>
    <t>48° 50′ 36″ N, 2° 21′ 09″ E</t>
  </si>
  <si>
    <t>Censier - Daubenton</t>
  </si>
  <si>
    <t>48° 50′ 26″ N, 2° 21′ 06″ E</t>
  </si>
  <si>
    <t>Les Gobelins</t>
  </si>
  <si>
    <t>48° 50′ 12″ N, 2° 21′ 07″ E</t>
  </si>
  <si>
    <t>48° 49′ 53″ N, 2° 21′ 21″ E</t>
  </si>
  <si>
    <t>Tolbiac</t>
  </si>
  <si>
    <t>48° 49′ 34″ N, 2° 21′ 25″ E</t>
  </si>
  <si>
    <t>Maison Blanche</t>
  </si>
  <si>
    <t>48° 49′ 20″ N, 2° 21′ 31″ E</t>
  </si>
  <si>
    <t>Le Kremlin-Bicêtre</t>
  </si>
  <si>
    <t>48° 48′ 37″ N, 2° 21′ 43″ E</t>
  </si>
  <si>
    <t>Villejuif - Léo Lagrange</t>
  </si>
  <si>
    <t>48° 48′ 17″ N, 2° 21′ 49″ E</t>
  </si>
  <si>
    <t>48° 47′ 47″ N, 2° 22′ 05″ E</t>
  </si>
  <si>
    <t>Villejuif - Louis Aragon</t>
  </si>
  <si>
    <t>48° 47′ 13″ N, 2° 22′ 02″ E</t>
  </si>
  <si>
    <t>Porte d'Italie</t>
  </si>
  <si>
    <t>48° 49′ 09″ N, 2° 21′ 34″ E</t>
  </si>
  <si>
    <t>Porte de Choisy</t>
  </si>
  <si>
    <t>48° 49′ 12″ N, 2° 21′ 52″ E</t>
  </si>
  <si>
    <t>Porte d'Ivry</t>
  </si>
  <si>
    <t>48° 49′ 18″ N, 2° 22′ 09″ E</t>
  </si>
  <si>
    <t>Pierre et Marie Curie</t>
  </si>
  <si>
    <t>48° 48′ 57″ N, 2° 22′ 39″ E</t>
  </si>
  <si>
    <t>Mairie d'Ivry</t>
  </si>
  <si>
    <t>48° 48′ 40″ N, 2° 22′ 58″ E</t>
  </si>
  <si>
    <t>M2,M5</t>
  </si>
  <si>
    <t>TRP(Paris-Est)</t>
  </si>
  <si>
    <t>M5,M6</t>
  </si>
  <si>
    <t>T7</t>
  </si>
  <si>
    <t>Pont Marie Cité des Arts</t>
  </si>
  <si>
    <t>Place Monge Jardin des Plantes - Arènes de Lutèce</t>
  </si>
  <si>
    <t>Villejuif - Paul Vaillant-Couturier Hôpital Paul Brousse</t>
  </si>
  <si>
    <t>P</t>
  </si>
  <si>
    <t>Porte de la Villette Cité des Sciences et de l'Industrie</t>
  </si>
  <si>
    <t>Les Sablons Jardin d'Acclimatation</t>
  </si>
  <si>
    <t>Porte Maillot Palais des Congrès</t>
  </si>
  <si>
    <t>Saint-Paul Le Marais</t>
  </si>
  <si>
    <t>Pereire Maréchal Juin</t>
  </si>
  <si>
    <t>Europe Simone Veil</t>
  </si>
  <si>
    <t>Bobigny - Pablo Picasso Préfecture - Hôtel du Département</t>
  </si>
  <si>
    <t>Porte de Pantin Parc de la Villette</t>
  </si>
  <si>
    <t>48° 51′ 54″ N, 2° 23′ 54″ E</t>
  </si>
  <si>
    <t>Pelleport</t>
  </si>
  <si>
    <t>48° 52′ 07″ N, 2° 24′ 06″ E</t>
  </si>
  <si>
    <t>Saint-Fargeau</t>
  </si>
  <si>
    <t>48° 52′ 19″ N, 2° 24′ 16″ E</t>
  </si>
  <si>
    <t>Porte des Lilas</t>
  </si>
  <si>
    <t>48° 52′ 38″ N, 2° 24′ 24″ E</t>
  </si>
  <si>
    <t>M11,T3B</t>
  </si>
  <si>
    <t>Bolivar</t>
  </si>
  <si>
    <t>Buttes Chaumont</t>
  </si>
  <si>
    <t>Botzaris</t>
  </si>
  <si>
    <t>Danube</t>
  </si>
  <si>
    <t>Place des Fêtes</t>
  </si>
  <si>
    <t>Pré-Saint-Gervais</t>
  </si>
  <si>
    <t>M7BIS</t>
  </si>
  <si>
    <t>Balard</t>
  </si>
  <si>
    <t>Lourmel</t>
  </si>
  <si>
    <t>Boucicaut</t>
  </si>
  <si>
    <t>Félix Faure</t>
  </si>
  <si>
    <t>Commerce</t>
  </si>
  <si>
    <t>École Militaire</t>
  </si>
  <si>
    <t>La Tour-Maubourg</t>
  </si>
  <si>
    <t>Invalides</t>
  </si>
  <si>
    <t>Madeleine</t>
  </si>
  <si>
    <t>Richelieu - Drouot</t>
  </si>
  <si>
    <t>Grands Boulevards</t>
  </si>
  <si>
    <t>Bonne-Nouvelle</t>
  </si>
  <si>
    <t>Filles du Calvaire</t>
  </si>
  <si>
    <t>Saint-Sébastien - Froissart</t>
  </si>
  <si>
    <t>Chemin Vert</t>
  </si>
  <si>
    <t>Ledru-Rollin</t>
  </si>
  <si>
    <t>Faidherbe - Chaligny</t>
  </si>
  <si>
    <t>Montgallet</t>
  </si>
  <si>
    <t>Michel Bizot</t>
  </si>
  <si>
    <t>Porte Dorée</t>
  </si>
  <si>
    <t>Porte de Charenton</t>
  </si>
  <si>
    <t>Liberté</t>
  </si>
  <si>
    <t>Charenton - Écoles</t>
  </si>
  <si>
    <t>École vétérinaire de Maisons-Alfort</t>
  </si>
  <si>
    <t>Maisons-Alfort - Stade</t>
  </si>
  <si>
    <t>Maisons-Alfort - Les Juilliottes</t>
  </si>
  <si>
    <t>Créteil - Université</t>
  </si>
  <si>
    <t>Pointe du Lac</t>
  </si>
  <si>
    <t>M6,M10</t>
  </si>
  <si>
    <t>M13,RERC</t>
  </si>
  <si>
    <t>M1,M12</t>
  </si>
  <si>
    <t>M12,M14</t>
  </si>
  <si>
    <t>M3,M7,RERA(Auber)</t>
  </si>
  <si>
    <t>M4,M9</t>
  </si>
  <si>
    <t>M3,M5,M9,M11</t>
  </si>
  <si>
    <t>M1,M5</t>
  </si>
  <si>
    <t>Créteil - Préfecture Hôtel de Ville</t>
  </si>
  <si>
    <t>Créteil - L'Échat Hôpital Henri Mondor</t>
  </si>
  <si>
    <t>Pont de Sèvres</t>
  </si>
  <si>
    <t>Billancourt</t>
  </si>
  <si>
    <t>Marcel Sembat</t>
  </si>
  <si>
    <t>Exelmans</t>
  </si>
  <si>
    <t>Michel-Ange - Molitor</t>
  </si>
  <si>
    <t>Michel-Ange - Auteuil</t>
  </si>
  <si>
    <t>Jasmin</t>
  </si>
  <si>
    <t>Ranelagh</t>
  </si>
  <si>
    <t>La Muette</t>
  </si>
  <si>
    <t>Rue de la Pompe</t>
  </si>
  <si>
    <t>Iéna</t>
  </si>
  <si>
    <t>Alma - Marceau</t>
  </si>
  <si>
    <t>Saint-Philippe du Roule</t>
  </si>
  <si>
    <t>Miromesnil</t>
  </si>
  <si>
    <t>Saint-Augustin</t>
  </si>
  <si>
    <t>Saint-Ambroise</t>
  </si>
  <si>
    <t>Voltaire</t>
  </si>
  <si>
    <t>Charonne</t>
  </si>
  <si>
    <t>Rue des Boulets</t>
  </si>
  <si>
    <t>Buzenval</t>
  </si>
  <si>
    <t>Maraîchers</t>
  </si>
  <si>
    <t>Porte de Montreuil</t>
  </si>
  <si>
    <t>Robespierre</t>
  </si>
  <si>
    <t>Croix de Chavaux</t>
  </si>
  <si>
    <t>RERC(Boulainvilliers)</t>
  </si>
  <si>
    <t>RERC(Pont de l'Alma)</t>
  </si>
  <si>
    <t>M14(Saint-Lazare)</t>
  </si>
  <si>
    <t>M3,M5,M8,M11</t>
  </si>
  <si>
    <t>M1,M2,M6,RERA</t>
  </si>
  <si>
    <t>Porte de Saint-Cloud Parc des Princes</t>
  </si>
  <si>
    <t>Boulogne - Pont de Saint-Cloud</t>
  </si>
  <si>
    <t>Boulogne - Jean Jaurès</t>
  </si>
  <si>
    <t>Porte d'Auteuil</t>
  </si>
  <si>
    <t>Chardon-Lagache</t>
  </si>
  <si>
    <t>Église d'Auteuil</t>
  </si>
  <si>
    <t>Mirabeau</t>
  </si>
  <si>
    <t>Javel - André Citroën</t>
  </si>
  <si>
    <t>Charles Michels</t>
  </si>
  <si>
    <t>Avenue Émile-Zola</t>
  </si>
  <si>
    <t>Ségur</t>
  </si>
  <si>
    <t>Duroc</t>
  </si>
  <si>
    <t>Vaneau</t>
  </si>
  <si>
    <t>Sèvres - Babylone</t>
  </si>
  <si>
    <t>Mabillon</t>
  </si>
  <si>
    <t>Cluny - La Sorbonne</t>
  </si>
  <si>
    <t>Maubert - Mutualité</t>
  </si>
  <si>
    <t>Cardinal Lemoine</t>
  </si>
  <si>
    <t>M6,M8</t>
  </si>
  <si>
    <t>48° 51′ 43″ N, 2° 21′ 14″ E</t>
  </si>
  <si>
    <t>48° 51′ 56″ N, 2° 21′ 22″ E</t>
  </si>
  <si>
    <t>48° 52′ 03″ N, 2° 21′ 50″ E</t>
  </si>
  <si>
    <t>48° 52′ 11″ N, 2° 22′ 14″ E</t>
  </si>
  <si>
    <t>48° 52′ 19″ N, 2° 22′ 37″ E</t>
  </si>
  <si>
    <t>Pyrénées</t>
  </si>
  <si>
    <t>48° 52′ 26″ N, 2° 23′ 07″ E</t>
  </si>
  <si>
    <t>Jourdain</t>
  </si>
  <si>
    <t>48° 52′ 31″ N, 2° 23′ 22″ E</t>
  </si>
  <si>
    <t>48° 52′ 37″ N, 2° 23′ 35″ E</t>
  </si>
  <si>
    <t>Télégraphe</t>
  </si>
  <si>
    <t>48° 52′ 32″ N, 2° 23′ 54″ E</t>
  </si>
  <si>
    <t>Mairie des Lilas</t>
  </si>
  <si>
    <t>48° 52′ 47″ N, 2° 24′ 59″ E</t>
  </si>
  <si>
    <t>M3BIS,T3B</t>
  </si>
  <si>
    <t>Goncourt Hôpital Saint-Louis</t>
  </si>
  <si>
    <t>Rambuteau Centre Georges Pompidou</t>
  </si>
  <si>
    <t>48° 54′ 24″ N, 2° 21′ 57″ E</t>
  </si>
  <si>
    <t>Porte de la Chapelle</t>
  </si>
  <si>
    <t>48° 53′ 50″ N, 2° 21′ 33″ E</t>
  </si>
  <si>
    <t>Marx Dormoy</t>
  </si>
  <si>
    <t>48° 53′ 26″ N, 2° 21′ 36″ E</t>
  </si>
  <si>
    <t>48° 53′ 25″ N, 2° 21′ 00″ E</t>
  </si>
  <si>
    <t>Jules Joffrin</t>
  </si>
  <si>
    <t>48° 53′ 33″ N, 2° 20′ 41″ E</t>
  </si>
  <si>
    <t>Lamarck - Caulaincourt</t>
  </si>
  <si>
    <t>48° 53′ 23″ N, 2° 20′ 19″ E</t>
  </si>
  <si>
    <t>48° 53′ 04″ N, 2° 20′ 19″ E</t>
  </si>
  <si>
    <t>48° 52′ 56″ N, 2° 20′ 15″ E</t>
  </si>
  <si>
    <t>Saint-Georges</t>
  </si>
  <si>
    <t>48° 52′ 42″ N, 2° 20′ 15″ E</t>
  </si>
  <si>
    <t>Notre-Dame-de-Lorette</t>
  </si>
  <si>
    <t>48° 52′ 34″ N, 2° 20′ 19″ E</t>
  </si>
  <si>
    <t>Trinité - d'Estienne d'Orves</t>
  </si>
  <si>
    <t>48° 52′ 35″ N, 2° 20′ 00″ E</t>
  </si>
  <si>
    <t>48° 52′ 32″ N, 2° 19′ 34″ E</t>
  </si>
  <si>
    <t>48° 52′ 11″ N, 2° 19′ 28″ E</t>
  </si>
  <si>
    <t>Assemblée nationale</t>
  </si>
  <si>
    <t>48° 51′ 38″ N, 2° 19′ 16″ E</t>
  </si>
  <si>
    <t>48° 51′ 30″ N, 2° 19′ 24″ E</t>
  </si>
  <si>
    <t>Rue du Bac</t>
  </si>
  <si>
    <t>48° 51′ 20″ N, 2° 19′ 32″ E</t>
  </si>
  <si>
    <t>48° 51′ 05″ N, 2° 19′ 36″ E</t>
  </si>
  <si>
    <t>Rennes</t>
  </si>
  <si>
    <t>48° 50′ 53″ N, 2° 19′ 40″ E</t>
  </si>
  <si>
    <t>Notre-Dame-des-Champs</t>
  </si>
  <si>
    <t>48° 50′ 40″ N, 2° 19′ 44″ E</t>
  </si>
  <si>
    <t>Falguière</t>
  </si>
  <si>
    <t>48° 50′ 40″ N, 2° 19′ 05″ E</t>
  </si>
  <si>
    <t>48° 50′ 34″ N, 2° 18′ 46″ E</t>
  </si>
  <si>
    <t>Volontaires</t>
  </si>
  <si>
    <t>48° 50′ 29″ N, 2° 18′ 27″ E</t>
  </si>
  <si>
    <t>Vaugirard</t>
  </si>
  <si>
    <t>48° 50′ 23″ N, 2° 18′ 05″ E</t>
  </si>
  <si>
    <t>Convention</t>
  </si>
  <si>
    <t>48° 50′ 15″ N, 2° 17′ 48″ E</t>
  </si>
  <si>
    <t>48° 49′ 56″ N, 2° 17′ 16″ E</t>
  </si>
  <si>
    <t>Corentin Celton</t>
  </si>
  <si>
    <t>48° 49′ 37″ N, 2° 16′ 44″ E</t>
  </si>
  <si>
    <t>Mairie d'Issy</t>
  </si>
  <si>
    <t>48° 49′ 27″ N, 2° 16′ 24″ E</t>
  </si>
  <si>
    <t>Abbesses Butte Montmartre</t>
  </si>
  <si>
    <t>M8,M14</t>
  </si>
  <si>
    <t>Solférino Musée d'Orsay</t>
  </si>
  <si>
    <t>T2,T3A</t>
  </si>
  <si>
    <t>Gabriel Péri</t>
  </si>
  <si>
    <t>Mairie de Clichy</t>
  </si>
  <si>
    <t>Porte de Clichy</t>
  </si>
  <si>
    <t>Brochant</t>
  </si>
  <si>
    <t>Carrefour Pleyel</t>
  </si>
  <si>
    <t>Mairie de Saint-Ouen</t>
  </si>
  <si>
    <t>Garibaldi</t>
  </si>
  <si>
    <t>Porte de Saint-Ouen</t>
  </si>
  <si>
    <t>Guy Môquet</t>
  </si>
  <si>
    <t>La Fourche</t>
  </si>
  <si>
    <t>Liège</t>
  </si>
  <si>
    <t>Champs-Élysées - Clemenceau</t>
  </si>
  <si>
    <t>Varenne</t>
  </si>
  <si>
    <t>Saint-François-Xavier</t>
  </si>
  <si>
    <t>Gaîté</t>
  </si>
  <si>
    <t>Pernety</t>
  </si>
  <si>
    <t>Plaisance</t>
  </si>
  <si>
    <t>Porte de Vanves</t>
  </si>
  <si>
    <t>Malakoff - Plateau de Vanves</t>
  </si>
  <si>
    <t>Malakoff - Rue Étienne-Dolet</t>
  </si>
  <si>
    <t>Châtillon - Montrouge</t>
  </si>
  <si>
    <t>Asnières - Gennevilliers Les Courtilles</t>
  </si>
  <si>
    <t>Basilique de Saint-Denis Hôtel de Ville</t>
  </si>
  <si>
    <t>T8</t>
  </si>
  <si>
    <t>M8,RERC</t>
  </si>
  <si>
    <t>T6</t>
  </si>
  <si>
    <t>Saint-Denis - Porte de Paris Stade de France</t>
  </si>
  <si>
    <t>T5</t>
  </si>
  <si>
    <t>48° 52′ 12″ N, 2° 19′ 31″ E</t>
  </si>
  <si>
    <t>48° 52′ 01″ N, 2° 20′ 01″ E</t>
  </si>
  <si>
    <t>48° 50′ 26″ N, 2° 22′ 46″ E</t>
  </si>
  <si>
    <t>48° 50′ 01″ N, 2° 23′ 15″ E</t>
  </si>
  <si>
    <t>48° 49′ 47″ N, 2° 22′ 34″ E</t>
  </si>
  <si>
    <t>48° 49′ 37″ N, 2° 22′ 02″ E</t>
  </si>
  <si>
    <t>RERC,T3A(Avenue de France)</t>
  </si>
  <si>
    <t>Poissy</t>
  </si>
  <si>
    <t>Achères - Grand-Cormier</t>
  </si>
  <si>
    <t>Houilles - Carrières-sur-Seine</t>
  </si>
  <si>
    <t>Le Vésinet - Le Pecq</t>
  </si>
  <si>
    <t>Le Vésinet-Centre</t>
  </si>
  <si>
    <t>Chatou - Croissy</t>
  </si>
  <si>
    <t>Fontenay-sous-Bois</t>
  </si>
  <si>
    <t>Le Parc de Saint-Maur</t>
  </si>
  <si>
    <t>La Varenne - Chennevières</t>
  </si>
  <si>
    <t>Boissy-Saint-Léger</t>
  </si>
  <si>
    <t>Val de Fontenay</t>
  </si>
  <si>
    <t>Neuilly-Plaisance</t>
  </si>
  <si>
    <t>Bry-sur-Marne</t>
  </si>
  <si>
    <t>Noisy-le-Grand - Mont d'Est</t>
  </si>
  <si>
    <t>TRL</t>
  </si>
  <si>
    <t>TRJ,TRL</t>
  </si>
  <si>
    <t>TRJ</t>
  </si>
  <si>
    <t>M1,TRL,TRU,T2</t>
  </si>
  <si>
    <t>M1,M2,M6</t>
  </si>
  <si>
    <t>M1(Château de Vincennes)</t>
  </si>
  <si>
    <t>Champigny Saint-Maur</t>
  </si>
  <si>
    <t>Noisy - Champs Champy - Nesles</t>
  </si>
  <si>
    <t>Noisiel Le Luzard</t>
  </si>
  <si>
    <t>Lognes Le Mandinet</t>
  </si>
  <si>
    <t>Serris - Montévrain Val d'Europe</t>
  </si>
  <si>
    <t>Marne-la-Vallée - Chessy Parcs Disneyland</t>
  </si>
  <si>
    <t>RERA</t>
  </si>
  <si>
    <t>RERE</t>
  </si>
  <si>
    <t>Saint-Denis</t>
  </si>
  <si>
    <t>La Croix de Berny</t>
  </si>
  <si>
    <t>TRK</t>
  </si>
  <si>
    <t>TRK,T4</t>
  </si>
  <si>
    <t>T11</t>
  </si>
  <si>
    <t>La Plaine - Stade de France Saint-Denis - Aubervilliers</t>
  </si>
  <si>
    <t>M1(Châtelet),M4(Châtelet),M7(Châtelet),M11(Châtelet),M14(Châtelet),M4(Les Halles),RERA,RERD</t>
  </si>
  <si>
    <t>M10(Cluny - La Sorbonne),RERC</t>
  </si>
  <si>
    <t>M4,M6</t>
  </si>
  <si>
    <t>Luxembourg Sénat</t>
  </si>
  <si>
    <t>RERC</t>
  </si>
  <si>
    <t>Lozère École polytechnique</t>
  </si>
  <si>
    <t>RERB</t>
  </si>
  <si>
    <t>Pontoise</t>
  </si>
  <si>
    <t>Saint-Ouen-l'Aumône</t>
  </si>
  <si>
    <t>Saint-Ouen-l'Aumône-Liesse</t>
  </si>
  <si>
    <t>Pierrelaye</t>
  </si>
  <si>
    <t>Montigny - Beauchamp</t>
  </si>
  <si>
    <t>Franconville - Le Plessis-Bouchard</t>
  </si>
  <si>
    <t>Cernay</t>
  </si>
  <si>
    <t>Ermont - Eaubonne</t>
  </si>
  <si>
    <t>Saint-Gratien</t>
  </si>
  <si>
    <t>Épinay-sur-Seine</t>
  </si>
  <si>
    <t>Gennevilliers</t>
  </si>
  <si>
    <t>Les Grésillons</t>
  </si>
  <si>
    <t>Saint-Ouen</t>
  </si>
  <si>
    <t>Pereire - Levallois</t>
  </si>
  <si>
    <t>Neuilly - Porte Maillot</t>
  </si>
  <si>
    <t>Avenue Foch</t>
  </si>
  <si>
    <t>Avenue Henri-Martin</t>
  </si>
  <si>
    <t>Boulainvilliers</t>
  </si>
  <si>
    <t>Avenue du Président-Kennedy</t>
  </si>
  <si>
    <t>Saint-Cyr</t>
  </si>
  <si>
    <t>Versailles-Chantiers</t>
  </si>
  <si>
    <t>Versailles-Château-Rive-Gauche</t>
  </si>
  <si>
    <t>Porchefontaine</t>
  </si>
  <si>
    <t>Viroflay-Rive-Gauche</t>
  </si>
  <si>
    <t>Chaville - Vélizy</t>
  </si>
  <si>
    <t>Meudon-Val-Fleury</t>
  </si>
  <si>
    <t>Issy</t>
  </si>
  <si>
    <t>Issy - Val de Seine</t>
  </si>
  <si>
    <t>Javel</t>
  </si>
  <si>
    <t>Champ de Mars - Tour Eiffel</t>
  </si>
  <si>
    <t>Pont de l'Alma</t>
  </si>
  <si>
    <t>Musée d'Orsay</t>
  </si>
  <si>
    <t>Saint-Michel - Notre-Dame</t>
  </si>
  <si>
    <t>Paris-Austerlitz</t>
  </si>
  <si>
    <t>Bibliothèque François-Mitterrand</t>
  </si>
  <si>
    <t>Ivry-sur-Seine</t>
  </si>
  <si>
    <t>Vitry-sur-Seine</t>
  </si>
  <si>
    <t>Les Ardoines</t>
  </si>
  <si>
    <t>Petit Jouy - Les Loges</t>
  </si>
  <si>
    <t>Jouy-en-Josas</t>
  </si>
  <si>
    <t>Vauboyen</t>
  </si>
  <si>
    <t>Bièvres</t>
  </si>
  <si>
    <t>Igny</t>
  </si>
  <si>
    <t>Massy - Palaiseau</t>
  </si>
  <si>
    <t>Massy - Verrières</t>
  </si>
  <si>
    <t>Chemin d'Antony</t>
  </si>
  <si>
    <t>Rungis - La Fraternelle</t>
  </si>
  <si>
    <t>Pont de Rungis - Aéroport d'Orly</t>
  </si>
  <si>
    <t>Orly-Ville</t>
  </si>
  <si>
    <t>Les Saules</t>
  </si>
  <si>
    <t>Choisy-le-Roi</t>
  </si>
  <si>
    <t>Villeneuve-le-Roi</t>
  </si>
  <si>
    <t>Ablon</t>
  </si>
  <si>
    <t>Athis-Mons</t>
  </si>
  <si>
    <t>Juvisy</t>
  </si>
  <si>
    <t>Longjumeau</t>
  </si>
  <si>
    <t>Chilly-Mazarin</t>
  </si>
  <si>
    <t>Gravigny-Balizy</t>
  </si>
  <si>
    <t>Petit Vaux</t>
  </si>
  <si>
    <t>Épinay-sur-Orge</t>
  </si>
  <si>
    <t>Savigny-sur-Orge</t>
  </si>
  <si>
    <t>Sainte-Geneviève-des-Bois</t>
  </si>
  <si>
    <t>Saint-Michel-sur-Orge</t>
  </si>
  <si>
    <t>Brétigny</t>
  </si>
  <si>
    <t>La Norville - Saint-Germain-lès-Arpajon</t>
  </si>
  <si>
    <t>Arpajon</t>
  </si>
  <si>
    <t>Égly</t>
  </si>
  <si>
    <t>Breuillet - Bruyères-le-Châtel</t>
  </si>
  <si>
    <t>Breuillet-Village</t>
  </si>
  <si>
    <t>Saint-Chéron</t>
  </si>
  <si>
    <t>Sermaise</t>
  </si>
  <si>
    <t>Dourdan</t>
  </si>
  <si>
    <t>Dourdan - La Forêt</t>
  </si>
  <si>
    <t>Marolles-en-Hurepoix</t>
  </si>
  <si>
    <t>Bouray</t>
  </si>
  <si>
    <t>Lardy</t>
  </si>
  <si>
    <t>Chamarande</t>
  </si>
  <si>
    <t>Étréchy</t>
  </si>
  <si>
    <t>Étampes</t>
  </si>
  <si>
    <t>Saint-Martin-d'Étampes</t>
  </si>
  <si>
    <t>TRH,TRJ</t>
  </si>
  <si>
    <t>TRH</t>
  </si>
  <si>
    <t>T8,T11</t>
  </si>
  <si>
    <t>M2(Porte Dauphine)</t>
  </si>
  <si>
    <t>M9(Rue de la Pompe)</t>
  </si>
  <si>
    <t>M9(La Muette)</t>
  </si>
  <si>
    <t>TRN,TRU</t>
  </si>
  <si>
    <t>Saint-Quentin-en-Yvelines Montigny-le-Bretonneux</t>
  </si>
  <si>
    <t>TRN,T6</t>
  </si>
  <si>
    <t>T2</t>
  </si>
  <si>
    <t>M10(Javel - André Citroën)</t>
  </si>
  <si>
    <t>M9(Alma - Marceau)</t>
  </si>
  <si>
    <t>M8,M13</t>
  </si>
  <si>
    <t>M14,T3A(Avenue de France)</t>
  </si>
  <si>
    <t>RERD</t>
  </si>
  <si>
    <t>Creil</t>
  </si>
  <si>
    <t>Chantilly - Gouvieux</t>
  </si>
  <si>
    <t>Orry-la-Ville - Coye</t>
  </si>
  <si>
    <t>La Borne Blanche</t>
  </si>
  <si>
    <t>Survilliers - Fosses</t>
  </si>
  <si>
    <t>Louvres</t>
  </si>
  <si>
    <t>Les Noues</t>
  </si>
  <si>
    <t>Goussainville</t>
  </si>
  <si>
    <t>Villiers-le-Bel - Gonesse - Arnouville</t>
  </si>
  <si>
    <t>Garges - Sarcelles</t>
  </si>
  <si>
    <t>Pierrefitte - Stains</t>
  </si>
  <si>
    <t>Stade de France - Saint-Denis</t>
  </si>
  <si>
    <t>Paris-Nord</t>
  </si>
  <si>
    <t>Châtelet - Les Halles</t>
  </si>
  <si>
    <t>Paris-Gare-de-Lyon</t>
  </si>
  <si>
    <t>Maisons-Alfort - Alfortville</t>
  </si>
  <si>
    <t>Le Vert de Maisons</t>
  </si>
  <si>
    <t>Créteil-Pompadour</t>
  </si>
  <si>
    <t>Villeneuve-Triage</t>
  </si>
  <si>
    <t>Villeneuve-Saint-Georges</t>
  </si>
  <si>
    <t>Montgeron - Crosne</t>
  </si>
  <si>
    <t>Yerres</t>
  </si>
  <si>
    <t>Brunoy</t>
  </si>
  <si>
    <t>Boussy-Saint-Antoine</t>
  </si>
  <si>
    <t>Combs-la-Ville - Quincy</t>
  </si>
  <si>
    <t>Lieusaint - Moissy</t>
  </si>
  <si>
    <t>Savigny-le-Temple - Nandy</t>
  </si>
  <si>
    <t>Cesson</t>
  </si>
  <si>
    <t>Le Mée</t>
  </si>
  <si>
    <t>Vigneux-sur-Seine</t>
  </si>
  <si>
    <t>Viry-Châtillon</t>
  </si>
  <si>
    <t>Ris-Orangis</t>
  </si>
  <si>
    <t>Évry</t>
  </si>
  <si>
    <t>Grigny-Centre</t>
  </si>
  <si>
    <t>Orangis - Bois de l'Épine</t>
  </si>
  <si>
    <t>Évry - Courcouronnes</t>
  </si>
  <si>
    <t>Le Bras de Fer - Évry - Génopole</t>
  </si>
  <si>
    <t>Corbeil-Essonnes</t>
  </si>
  <si>
    <t>Essonnes - Robinson</t>
  </si>
  <si>
    <t>Villabé</t>
  </si>
  <si>
    <t>Le Plessis-Chenet</t>
  </si>
  <si>
    <t>Le Coudray-Montceaux</t>
  </si>
  <si>
    <t>Ponthierry - Pringy</t>
  </si>
  <si>
    <t>Boissise-le-Roi</t>
  </si>
  <si>
    <t>Vosves</t>
  </si>
  <si>
    <t>Melun</t>
  </si>
  <si>
    <t>Moulin-Galant</t>
  </si>
  <si>
    <t>Mennecy</t>
  </si>
  <si>
    <t>Ballancourt</t>
  </si>
  <si>
    <t>La Ferté-Alais</t>
  </si>
  <si>
    <t>Boutigny</t>
  </si>
  <si>
    <t>Maisse</t>
  </si>
  <si>
    <t>Buno - Gironville</t>
  </si>
  <si>
    <t>Boigneville</t>
  </si>
  <si>
    <t>M1(Châtelet),M4(Châtelet),M7(Châtelet),M11(Châtelet),M14(Châtelet),M4(Les Halles),RERA,RERB</t>
  </si>
  <si>
    <t>TRR</t>
  </si>
  <si>
    <t>Grand Bourg-Val-de-Seine</t>
  </si>
  <si>
    <t>Haussmann - Saint-Lazare</t>
  </si>
  <si>
    <t>Magenta</t>
  </si>
  <si>
    <t>Rosa-Parks</t>
  </si>
  <si>
    <t>Pantin</t>
  </si>
  <si>
    <t>Noisy-le-Sec</t>
  </si>
  <si>
    <t>Bondy</t>
  </si>
  <si>
    <t>Le Raincy - Villemomble - Montfermeil</t>
  </si>
  <si>
    <t>Gagny</t>
  </si>
  <si>
    <t>Le Chénay-Gagny</t>
  </si>
  <si>
    <t>Chelles - Gournay</t>
  </si>
  <si>
    <t>Rosny-Bois-Perrier</t>
  </si>
  <si>
    <t>Rosny-sous-Bois</t>
  </si>
  <si>
    <t>Nogent - Le Perreux</t>
  </si>
  <si>
    <t>Les Boullereaux-Champigny</t>
  </si>
  <si>
    <t>Villiers-sur-Marne - Le Plessis-Trévise</t>
  </si>
  <si>
    <t>Les Yvris-Noisy-le-Grand</t>
  </si>
  <si>
    <t>Émerainville - Pontault-Combault</t>
  </si>
  <si>
    <t>Roissy-en-Brie</t>
  </si>
  <si>
    <t>Ozoir-la-Ferrière</t>
  </si>
  <si>
    <t>Gretz-Armainvilliers</t>
  </si>
  <si>
    <t>Tournan</t>
  </si>
  <si>
    <t>T4</t>
  </si>
  <si>
    <t>TRP</t>
  </si>
  <si>
    <t>M1,M4,M7,M14,RERA(Châtelet - Les Halles),RERB(Châtelet - Les Halles),RERD(Châtelet - Les Halles)</t>
  </si>
  <si>
    <t>M1,M4,M7,M11,RERA(Châtelet - Les Halles),RERB(Châtelet - Les Halles),RERD(Châtelet - Les Halles)</t>
  </si>
  <si>
    <t>M3,M8,RERA(Auber)</t>
  </si>
  <si>
    <t>M3(Havre - Caumartin),M9(Havre - Caumartin),M3(Opéra),M7(Opéra),M8(Opéra),RERE(Haussmann - Saint-Lazare)</t>
  </si>
  <si>
    <t>M4,M12,M13,TRN(Paris-Montparnasse)</t>
  </si>
  <si>
    <t>M4,M6,M12,TRN(Paris-Montparnasse)</t>
  </si>
  <si>
    <t>M4,M6,M13,TRN(Paris-Montparnasse)</t>
  </si>
  <si>
    <t>M6,M12,M13,TRN(Paris-Montparnasse)</t>
  </si>
  <si>
    <t>RERC(Champ de Mars - Tour Eiffel)</t>
  </si>
  <si>
    <t>RERC(Javel)</t>
  </si>
  <si>
    <t>RERC(Musée d'Orsay)</t>
  </si>
  <si>
    <t>RERC(Saint-Michel - Notre-Dame)</t>
  </si>
  <si>
    <t>T2(Musée de Sèvres)</t>
  </si>
  <si>
    <t>T2(Parc de Saint-Cloud)</t>
  </si>
  <si>
    <t>Auber</t>
  </si>
  <si>
    <t>Esplanade de La Défense</t>
  </si>
  <si>
    <t>Porte d'Orléans</t>
  </si>
  <si>
    <t>Mairie de Montrouge</t>
  </si>
  <si>
    <t>Mairie de Montreuil</t>
  </si>
  <si>
    <t>Aubervilliers - Saint-Denis Front Populaire</t>
  </si>
  <si>
    <t>Les Agnettes</t>
  </si>
  <si>
    <t>Saint-Denis - Université</t>
  </si>
  <si>
    <t>Cour Saint-Émilion</t>
  </si>
  <si>
    <t>Olympiades</t>
  </si>
  <si>
    <t>M2,M6,M9,RERA</t>
  </si>
  <si>
    <t>48° 55′ 49″ N, 2° 17′ 03″ E</t>
  </si>
  <si>
    <t>Asnières-sur-Seine</t>
  </si>
  <si>
    <t>48° 55′ 53″ N, 2° 17′ 17″ E</t>
  </si>
  <si>
    <t>48° 56′ 00″ N, 2° 17′ 40″ E</t>
  </si>
  <si>
    <t>48° 56′ 00″ N, 2° 18′ 02″ E</t>
  </si>
  <si>
    <t>48° 56′ 00″ N, 2° 18′ 28″ E</t>
  </si>
  <si>
    <t>48° 56′ 02″ N, 2° 18′ 49″ E</t>
  </si>
  <si>
    <t>48° 56′ 04″ N, 2° 19′ 17″ E</t>
  </si>
  <si>
    <t>48° 56′ 06″ N, 2° 19′ 40″ E</t>
  </si>
  <si>
    <t>48° 56′ 08″ N, 2° 20′ 00″ E</t>
  </si>
  <si>
    <t>48° 56′ 09″ N, 2° 20′ 21″ E</t>
  </si>
  <si>
    <t>L'Île-Saint-Denis</t>
  </si>
  <si>
    <t>48° 56′ 10″ N, 2° 20′ 47″ E</t>
  </si>
  <si>
    <t>48° 56′ 15″ N, 2° 21′ 01″ E</t>
  </si>
  <si>
    <t>48° 56′ 19″ N, 2° 21′ 21″ E</t>
  </si>
  <si>
    <t>48° 56′ 17″ N, 2° 21′ 39″ E</t>
  </si>
  <si>
    <t>48° 56′ 11″ N, 2° 21′ 50″ E</t>
  </si>
  <si>
    <t>48° 56′ 01″ N, 2° 22′ 16″ E</t>
  </si>
  <si>
    <t>48° 55′ 54″ N, 2° 22′ 41″ E</t>
  </si>
  <si>
    <t>48° 55′ 48″ N, 2° 23′ 05″ E</t>
  </si>
  <si>
    <t>48° 55′ 39″ N, 2° 23′ 32″ E</t>
  </si>
  <si>
    <t>48° 55′ 28″ N, 2° 24′ 07″ E</t>
  </si>
  <si>
    <t>48° 55′ 22″ N, 2° 24′ 24″ E</t>
  </si>
  <si>
    <t>48° 55′ 09″ N, 2° 24′ 50″ E</t>
  </si>
  <si>
    <t>48° 55′ 04″ N, 2° 25′ 04″ E</t>
  </si>
  <si>
    <t>48° 54′ 57″ N, 2° 25′ 32″ E</t>
  </si>
  <si>
    <t>48° 54′ 51″ N, 2° 25′ 53″ E</t>
  </si>
  <si>
    <t>48° 54′ 46″ N, 2° 26′ 08″ E</t>
  </si>
  <si>
    <t>48° 54′ 35″ N, 2° 26′ 15″ E</t>
  </si>
  <si>
    <t>48° 54′ 25″ N, 2° 26′ 19″ E</t>
  </si>
  <si>
    <t>48° 54′ 24″ N, 2° 26′ 38″ E</t>
  </si>
  <si>
    <t>48° 54′ 24″ N, 2° 27′ 00″ E</t>
  </si>
  <si>
    <t>48° 54′ 28″ N, 2° 27′ 16″ E</t>
  </si>
  <si>
    <t>48° 54′ 24″ N, 2° 27′ 38″ E</t>
  </si>
  <si>
    <t>48° 54′ 18″ N, 2° 28′ 11″ E</t>
  </si>
  <si>
    <t>48° 54′ 02″ N, 2° 27′ 55″ E</t>
  </si>
  <si>
    <t>48° 53′ 45″ N, 2° 27′ 37″ E</t>
  </si>
  <si>
    <t>48° 55′ 24″ N, 2° 13′ 03″ E</t>
  </si>
  <si>
    <t>48° 55′ 04″ N, 2° 13′ 28″ E</t>
  </si>
  <si>
    <t>Colombes</t>
  </si>
  <si>
    <t>48° 54′ 51″ N, 2° 13′ 46″ E</t>
  </si>
  <si>
    <t>48° 54′ 38″ N, 2° 14′ 03″ E</t>
  </si>
  <si>
    <t>48° 54′ 29″ N, 2° 14′ 16″ E</t>
  </si>
  <si>
    <t>La Garenne-Colombes</t>
  </si>
  <si>
    <t>48° 54′ 09″ N, 2° 14′ 22″ E</t>
  </si>
  <si>
    <t>48° 53′ 48″ N, 2° 14′ 24″ E</t>
  </si>
  <si>
    <t>Courbevoie</t>
  </si>
  <si>
    <t>48° 53′ 34″ N, 2° 14′ 14″ E</t>
  </si>
  <si>
    <t>Puteaux</t>
  </si>
  <si>
    <t>48° 53′ 00″ N, 2° 14′ 02″ E</t>
  </si>
  <si>
    <t>48° 52′ 33″ N, 2° 13′ 33″ E</t>
  </si>
  <si>
    <t>48° 52′ 05″ N, 2° 13′ 17″ E</t>
  </si>
  <si>
    <t>48° 51′ 25″ N, 2° 13′ 14″ E</t>
  </si>
  <si>
    <t>Saint-Cloud</t>
  </si>
  <si>
    <t>48° 50′ 59″ N, 2° 13′ 16″ E</t>
  </si>
  <si>
    <t>48° 50′ 35″ N, 2° 13′ 19″ E</t>
  </si>
  <si>
    <t>48° 49′ 42″ N, 2° 13′ 32″ E</t>
  </si>
  <si>
    <t>48° 49′ 20″ N, 2° 13′ 53″ E</t>
  </si>
  <si>
    <t>48° 49′ 09″ N, 2° 14′ 22″ E</t>
  </si>
  <si>
    <t>Meudon</t>
  </si>
  <si>
    <t>48° 49′ 17″ N, 2° 15′ 05″ E</t>
  </si>
  <si>
    <t>48° 49′ 29″ N, 2° 15′ 38″ E</t>
  </si>
  <si>
    <t>48° 49′ 47″ N, 2° 15′ 47″ E</t>
  </si>
  <si>
    <t>48° 50′ 05″ N, 2° 16′ 14″ E</t>
  </si>
  <si>
    <t>48° 49′ 59″ N, 2° 16′ 38″ E</t>
  </si>
  <si>
    <t>48° 49′ 55″ N, 2° 16′ 52″ E</t>
  </si>
  <si>
    <t>48° 49′ 55″ N, 2° 17′ 15″ E</t>
  </si>
  <si>
    <t>M1,RERA,TRL,TRU</t>
  </si>
  <si>
    <t>TRL,TRU</t>
  </si>
  <si>
    <t>M12,T3A</t>
  </si>
  <si>
    <t>48° 50′ 17″ N, 2° 16′ 16″ E</t>
  </si>
  <si>
    <t>48° 50′ 10″ N, 2° 16′ 42″ E</t>
  </si>
  <si>
    <t>48° 50′ 04″ N, 2° 17′ 02″ E</t>
  </si>
  <si>
    <t>48° 49′ 58″ N, 2° 17′ 17″ E</t>
  </si>
  <si>
    <t>48° 49′ 47″ N, 2° 17′ 44″ E</t>
  </si>
  <si>
    <t>48° 49′ 43″ N, 2° 18′ 03″ E</t>
  </si>
  <si>
    <t>48° 49′ 39″ N, 2° 18′ 24″ E</t>
  </si>
  <si>
    <t>48° 49′ 33″ N, 2° 18′ 48″ E</t>
  </si>
  <si>
    <t>48° 49′ 29″ N, 2° 19′ 08″ E</t>
  </si>
  <si>
    <t>48° 49′ 23″ N, 2° 19′ 32″ E</t>
  </si>
  <si>
    <t>48° 49′ 17″ N, 2° 20′ 00″ E</t>
  </si>
  <si>
    <t>48° 49′ 13″ N, 2° 20′ 19″ E</t>
  </si>
  <si>
    <t>48° 49′ 10″ N, 2° 20′ 45″ E</t>
  </si>
  <si>
    <t>48° 49′ 15″ N, 2° 21′ 03″ E</t>
  </si>
  <si>
    <t>48° 49′ 09″ N, 2° 21′ 37″ E</t>
  </si>
  <si>
    <t>48° 49′ 11″ N, 2° 21′ 50″ E</t>
  </si>
  <si>
    <t>48° 49′ 18″ N, 2° 22′ 12″ E</t>
  </si>
  <si>
    <t>48° 49′ 27″ N, 2° 22′ 37″ E</t>
  </si>
  <si>
    <t>48° 49′ 32″ N, 2° 22′ 52″ E</t>
  </si>
  <si>
    <t>48° 49′ 46″ N, 2° 23′ 25″ E</t>
  </si>
  <si>
    <t>48° 49′ 54″ N, 2° 23′ 52″ E</t>
  </si>
  <si>
    <t>48° 50′ 08″ N, 2° 24′ 24″ E</t>
  </si>
  <si>
    <t>48° 50′ 26″ N, 2° 24′ 33″ E</t>
  </si>
  <si>
    <t>48° 50′ 39″ N, 2° 24′ 37″ E</t>
  </si>
  <si>
    <t>48° 50′ 49″ N, 2° 24′ 37″ E</t>
  </si>
  <si>
    <t>M12,T2</t>
  </si>
  <si>
    <t>M14(Bibliothèque François-Mitterrand),RERC(Bibliothèque François-Mitterrand)</t>
  </si>
  <si>
    <t>48° 50′ 50″ N, 2° 24′ 37″ E</t>
  </si>
  <si>
    <t>48° 51′ 13″ N, 2° 24′ 38″ E</t>
  </si>
  <si>
    <t>48° 51′ 25″ N, 2° 24′ 36″ E</t>
  </si>
  <si>
    <t>48° 51′ 52″ N, 2° 24′ 32″ E</t>
  </si>
  <si>
    <t>48° 52′ 10″ N, 2° 24′ 32″ E</t>
  </si>
  <si>
    <t>48° 52′ 22″ N, 2° 24′ 31″ E</t>
  </si>
  <si>
    <t>48° 52′ 44″ N, 2° 24′ 06″ E</t>
  </si>
  <si>
    <t>48° 53′ 03″ N, 2° 23′ 49″ E</t>
  </si>
  <si>
    <t>48° 53′ 19″ N, 2° 23′ 45″ E</t>
  </si>
  <si>
    <t>48° 53′ 37″ N, 2° 23′ 53″ E</t>
  </si>
  <si>
    <t>48° 53′ 51″ N, 2° 23′ 42″ E</t>
  </si>
  <si>
    <t>48° 53′ 51″ N, 2° 23′ 10″ E</t>
  </si>
  <si>
    <t>48° 53′ 56″ N, 2° 22′ 54″ E</t>
  </si>
  <si>
    <t>48° 53′ 49″ N, 2° 22′ 24″ E</t>
  </si>
  <si>
    <t>48° 53′ 55″ N, 2° 22′ 06″ E</t>
  </si>
  <si>
    <t>48° 53′ 55″ N, 2° 21′ 52″ E</t>
  </si>
  <si>
    <t>48° 53′ 55″ N, 2° 21′ 33″ E</t>
  </si>
  <si>
    <t>48° 53′ 54″ N, 2° 21′ 06″ E</t>
  </si>
  <si>
    <t>48° 53′ 53″ N, 2° 20′ 43″ E</t>
  </si>
  <si>
    <t>48° 53′ 52″ N, 2° 20′ 18″ E</t>
  </si>
  <si>
    <t>48° 53′ 52″ N, 2° 19′ 48″ E</t>
  </si>
  <si>
    <t>48° 53′ 51″ N, 2° 19′ 25″ E</t>
  </si>
  <si>
    <t>48° 53′ 47″ N, 2° 19′ 08″ E</t>
  </si>
  <si>
    <t>48° 53′ 41″ N, 2° 18′ 51″ E</t>
  </si>
  <si>
    <t>48° 53′ 23″ N, 2° 18′ 12″ E</t>
  </si>
  <si>
    <t>M1,T3A</t>
  </si>
  <si>
    <t>M3BIS,M11</t>
  </si>
  <si>
    <t>M7BIS(Pré-Saint-Gervais)</t>
  </si>
  <si>
    <t>RERE(Pantin)</t>
  </si>
  <si>
    <t>48° 53′ 39″ N, 2° 28′ 49″ E</t>
  </si>
  <si>
    <t>48° 53′ 35″ N, 2° 29′ 15″ E</t>
  </si>
  <si>
    <t>48° 53′ 33″ N, 2° 29′ 58″ E</t>
  </si>
  <si>
    <t>48° 53′ 49″ N, 2° 30′ 23″ E</t>
  </si>
  <si>
    <t>48° 54′ 09″ N, 2° 30′ 42″ E</t>
  </si>
  <si>
    <t>48° 54′ 30″ N, 2° 31′ 01″ E</t>
  </si>
  <si>
    <t>48° 54′ 58″ N, 2° 30′ 54″ E</t>
  </si>
  <si>
    <t>48° 55′ 19″ N, 2° 30′ 59″ E</t>
  </si>
  <si>
    <t>48° 55′ 36″ N, 2° 31′ 09″ E</t>
  </si>
  <si>
    <t>48° 55′ 51″ N, 2° 30′ 55″ E</t>
  </si>
  <si>
    <t>48° 55′ 55″ N, 2° 29′ 47″ E</t>
  </si>
  <si>
    <t>Aulnay-sous-Bois</t>
  </si>
  <si>
    <t>RERB,TRK</t>
  </si>
  <si>
    <t>48° 56′ 32″ N, 2° 21′ 24″ E</t>
  </si>
  <si>
    <t>48° 56′ 40″ N, 2° 21′ 25″ E</t>
  </si>
  <si>
    <t>48° 56′ 53″ N, 2° 21′ 27″ E</t>
  </si>
  <si>
    <t>48° 57′ 09″ N, 2° 21′ 29″ E</t>
  </si>
  <si>
    <t>48° 57′ 20″ N, 2° 21′ 30″ E</t>
  </si>
  <si>
    <t>48° 57′ 33″ N, 2° 21′ 32″ E</t>
  </si>
  <si>
    <t>48° 57′ 48″ N, 2° 21′ 35″ E</t>
  </si>
  <si>
    <t>48° 57′ 56″ N, 2° 21′ 48″ E</t>
  </si>
  <si>
    <t>48° 58′ 16″ N, 2° 21′ 58″ E</t>
  </si>
  <si>
    <t>48° 58′ 26″ N, 2° 21′ 58″ E</t>
  </si>
  <si>
    <t>48° 58′ 39″ N, 2° 22′ 17″ E</t>
  </si>
  <si>
    <t>48° 58′ 36″ N, 2° 22′ 38″ E</t>
  </si>
  <si>
    <t>48° 58′ 45″ N, 2° 22′ 47″ E</t>
  </si>
  <si>
    <t>48° 58′ 42″ N, 2° 23′ 08″ E</t>
  </si>
  <si>
    <t>48° 58′ 36″ N, 2° 23′ 26″ E</t>
  </si>
  <si>
    <t>M13(Saint-Denis - Université)</t>
  </si>
  <si>
    <t>48° 48′ 38″ N, 2° 18′ 07″ E</t>
  </si>
  <si>
    <t>48° 48′ 25″ N, 2° 17′ 37″ E</t>
  </si>
  <si>
    <t>48° 48′ 14″ N, 2° 17′ 19″ E</t>
  </si>
  <si>
    <t>48° 48′ 03″ N, 2° 17′ 00″ E</t>
  </si>
  <si>
    <t>48° 47′ 39″ N, 2° 16′ 19″ E</t>
  </si>
  <si>
    <t>Fontenay-aux-Roses</t>
  </si>
  <si>
    <t>48° 47′ 24″ N, 2° 15′ 46″ E</t>
  </si>
  <si>
    <t>Clamart</t>
  </si>
  <si>
    <t>48° 47′ 13″ N, 2° 15′ 19″ E</t>
  </si>
  <si>
    <t>48° 47′ 00″ N, 2° 14′ 47″ E</t>
  </si>
  <si>
    <t>48° 46′ 50″ N, 2° 14′ 22″ E</t>
  </si>
  <si>
    <t>48° 47′ 07″ N, 2° 14′ 16″ E</t>
  </si>
  <si>
    <t>48° 46′ 57″ N, 2° 13′ 43″ E</t>
  </si>
  <si>
    <t>48° 47′ 02″ N, 2° 13′ 29″ E</t>
  </si>
  <si>
    <t>48° 47′ 06″ N, 2° 13′ 08″ E</t>
  </si>
  <si>
    <t>48° 47′ 02″ N, 2° 12′ 56″ E</t>
  </si>
  <si>
    <t>48° 46′ 51″ N, 2° 12′ 28″ E</t>
  </si>
  <si>
    <t>48° 46′ 48″ N, 2° 11′ 47″ E</t>
  </si>
  <si>
    <t>48° 46′ 50″ N, 2° 11′ 20″ E</t>
  </si>
  <si>
    <t>48° 46′ 54″ N, 2° 10′ 53″ E</t>
  </si>
  <si>
    <t>48° 47′ 11″ N, 2° 10′ 46″ E</t>
  </si>
  <si>
    <t>48° 48′ 02″ N, 2° 10′ 17″ E</t>
  </si>
  <si>
    <t>48° 48′ 20″ N, 2° 10′ 06″ E</t>
  </si>
  <si>
    <t>RERC,TRN</t>
  </si>
  <si>
    <t>48° 47′ 14″ N, 2° 22′ 03″ E</t>
  </si>
  <si>
    <t>48° 46′ 57″ N, 2° 22′ 02″ E</t>
  </si>
  <si>
    <t>48° 46′ 44″ N, 2° 22′ 02″ E</t>
  </si>
  <si>
    <t>48° 46′ 20″ N, 2° 22′ 04″ E</t>
  </si>
  <si>
    <t>48° 46′ 06″ N, 2° 22′ 05″ E</t>
  </si>
  <si>
    <t>48° 45′ 49″ N, 2° 22′ 05″ E</t>
  </si>
  <si>
    <t>48° 45′ 35″ N, 2° 21′ 59″ E</t>
  </si>
  <si>
    <t>48° 45′ 24″ N, 2° 22′ 07″ E</t>
  </si>
  <si>
    <t>48° 45′ 11″ N, 2° 21′ 43″ E</t>
  </si>
  <si>
    <t>48° 45′ 09″ N, 2° 21′ 18″ E</t>
  </si>
  <si>
    <t>48° 45′ 01″ N, 2° 21′ 15″ E</t>
  </si>
  <si>
    <t>48° 44′ 48″ N, 2° 21′ 11″ E</t>
  </si>
  <si>
    <t>48° 44′ 30″ N, 2° 21′ 10″ E</t>
  </si>
  <si>
    <t>48° 44′ 23″ N, 2° 21′ 45″ E</t>
  </si>
  <si>
    <t>48° 44′ 12″ N, 2° 22′ 11″ E</t>
  </si>
  <si>
    <t>48° 43′ 56″ N, 2° 22′ 19″ E</t>
  </si>
  <si>
    <t>48° 43′ 44″ N, 2° 22′ 06″ E</t>
  </si>
  <si>
    <t>48° 42′ 51″ N, 2° 22′ 18″ E</t>
  </si>
  <si>
    <t>48° 55′ 47″ N, 2° 21′ 29″ E</t>
  </si>
  <si>
    <t>48° 55′ 57″ N, 2° 21′ 07″ E</t>
  </si>
  <si>
    <t>48° 56′ 08″ N, 2° 20′ 51″ E</t>
  </si>
  <si>
    <t>48° 56′ 24″ N, 2° 20′ 43″ E</t>
  </si>
  <si>
    <t>48° 56′ 45″ N, 2° 20′ 50″ E</t>
  </si>
  <si>
    <t>48° 56′ 58″ N, 2° 20′ 33″ E</t>
  </si>
  <si>
    <t>48° 57′ 12″ N, 2° 20′ 37″ E</t>
  </si>
  <si>
    <t>48° 57′ 24″ N, 2° 20′ 38″ E</t>
  </si>
  <si>
    <t>48° 57′ 34″ N, 2° 20′ 31″ E</t>
  </si>
  <si>
    <t>48° 56′ 53″ N, 2° 20′ 19″ E</t>
  </si>
  <si>
    <t>48° 57′ 00″ N, 2° 19′ 44″ E</t>
  </si>
  <si>
    <t>48° 57′ 06″ N, 2° 19′ 13″ E</t>
  </si>
  <si>
    <t>48° 57′ 11″ N, 2° 18′ 56″ E</t>
  </si>
  <si>
    <t>48° 57′ 19″ N, 2° 18′ 44″ E</t>
  </si>
  <si>
    <t>48° 57′ 19″ N, 2° 18′ 29″ E</t>
  </si>
  <si>
    <t>48° 57′ 21″ N, 2° 18′ 07″ E</t>
  </si>
  <si>
    <t>48° 57′ 20″ N, 2° 17′ 45″ E</t>
  </si>
  <si>
    <t>RERC,T11</t>
  </si>
  <si>
    <t>48° 57′ 15″ N, 2° 18′ 08″ E</t>
  </si>
  <si>
    <t>48° 57′ 31″ N, 2° 19′ 41″ E</t>
  </si>
  <si>
    <t>48° 57′ 36″ N, 2° 20′ 29″ E</t>
  </si>
  <si>
    <t>48° 57′ 43″ N, 2° 22′ 11″ E</t>
  </si>
  <si>
    <t>48° 57′ 17″ N, 2° 23′ 30″ E</t>
  </si>
  <si>
    <t>48° 56′ 39″ N, 2° 24′ 39″ E</t>
  </si>
  <si>
    <t>48° 55′ 50″ N, 2° 25′ 28″ E</t>
  </si>
  <si>
    <t>RERC,T8</t>
  </si>
  <si>
    <t>Deuil - Montmagny</t>
  </si>
  <si>
    <t>Groslay</t>
  </si>
  <si>
    <t>Sarcelles - Saint-Brice</t>
  </si>
  <si>
    <t>Écouen - Ézanville</t>
  </si>
  <si>
    <t>Domont</t>
  </si>
  <si>
    <t>Bouffémont - Moisselles</t>
  </si>
  <si>
    <t>Montsoult - Maffliers</t>
  </si>
  <si>
    <t>Villaines</t>
  </si>
  <si>
    <t>Belloy - Saint-Martin</t>
  </si>
  <si>
    <t>Viarmes</t>
  </si>
  <si>
    <t>Seugy</t>
  </si>
  <si>
    <t>Luzarches</t>
  </si>
  <si>
    <t>Presles-Courcelles</t>
  </si>
  <si>
    <t>Nointel - Mours</t>
  </si>
  <si>
    <t>La Barre - Ormesson</t>
  </si>
  <si>
    <t>Enghien-les-Bains</t>
  </si>
  <si>
    <t>Ermont-Halte</t>
  </si>
  <si>
    <t>Gros Noyer - Saint-Prix</t>
  </si>
  <si>
    <t>Saint-Leu-la-Forêt</t>
  </si>
  <si>
    <t>Vaucelles</t>
  </si>
  <si>
    <t>Taverny</t>
  </si>
  <si>
    <t>Bessancourt</t>
  </si>
  <si>
    <t>Frépillon</t>
  </si>
  <si>
    <t>Méry-sur-Oise</t>
  </si>
  <si>
    <t>Mériel</t>
  </si>
  <si>
    <t>Valmondois</t>
  </si>
  <si>
    <t>L'Isle-Adam - Parmain</t>
  </si>
  <si>
    <t>Champ de courses d'Enghien Commune de Soisy-sous-Montmorency</t>
  </si>
  <si>
    <t>RERC,TRJ</t>
  </si>
  <si>
    <t>Épluches</t>
  </si>
  <si>
    <t>Pont-Petit</t>
  </si>
  <si>
    <t>Chaponval</t>
  </si>
  <si>
    <t>Auvers-sur-Oise</t>
  </si>
  <si>
    <t xml:space="preserve">Champagne-sur-Oise	</t>
  </si>
  <si>
    <t xml:space="preserve">Persan - Beaumont	</t>
  </si>
  <si>
    <t>Bruyères-sur-Oise</t>
  </si>
  <si>
    <t>Boran-sur-Oise</t>
  </si>
  <si>
    <t>Précy-sur-Oise</t>
  </si>
  <si>
    <t xml:space="preserve">Saint-Leu-d'Esserent	</t>
  </si>
  <si>
    <t>M</t>
  </si>
  <si>
    <t>Mantes-la-Jolie</t>
  </si>
  <si>
    <t>Mantes-Station</t>
  </si>
  <si>
    <t>Limay</t>
  </si>
  <si>
    <t>Issou - Porcheville</t>
  </si>
  <si>
    <t>Gargenville</t>
  </si>
  <si>
    <t>Juziers</t>
  </si>
  <si>
    <t>Meulan - Hardricourt</t>
  </si>
  <si>
    <t>Thun-le-Paradis</t>
  </si>
  <si>
    <t>Vaux-sur-Seine</t>
  </si>
  <si>
    <t>Triel-sur-Seine</t>
  </si>
  <si>
    <t>Chanteloup-les-Vignes</t>
  </si>
  <si>
    <t>Andrésy</t>
  </si>
  <si>
    <t>Maurecourt</t>
  </si>
  <si>
    <t>Conflans-Fin-d'Oise</t>
  </si>
  <si>
    <t>Conflans-Sainte-Honorine</t>
  </si>
  <si>
    <t>Gisors</t>
  </si>
  <si>
    <t>Trie-Château</t>
  </si>
  <si>
    <t>Chaumont-en-Vexin</t>
  </si>
  <si>
    <t>Liancourt-Saint-Pierre</t>
  </si>
  <si>
    <t>Lavilletertre</t>
  </si>
  <si>
    <t>Chars</t>
  </si>
  <si>
    <t>Santeuil - Le Perchay</t>
  </si>
  <si>
    <t>Us</t>
  </si>
  <si>
    <t>Montgeroult - Courcelles</t>
  </si>
  <si>
    <t>Boissy-l'Aillerie</t>
  </si>
  <si>
    <t>Osny</t>
  </si>
  <si>
    <t>Saint-Ouen-l'Aumône-Quartier de l'Église</t>
  </si>
  <si>
    <t>Éragny - Neuville</t>
  </si>
  <si>
    <t>Herblay</t>
  </si>
  <si>
    <t>La Frette - Montigny</t>
  </si>
  <si>
    <t>Cormeilles-en-Parisis</t>
  </si>
  <si>
    <t>Val-d'Argenteuil</t>
  </si>
  <si>
    <t>Argenteuil</t>
  </si>
  <si>
    <t>Sannois</t>
  </si>
  <si>
    <t>Le Stade</t>
  </si>
  <si>
    <t>Bois-Colombes</t>
  </si>
  <si>
    <t>Paris-Saint-Lazare</t>
  </si>
  <si>
    <t>RERA,TRL</t>
  </si>
  <si>
    <t>RERC,TRH</t>
  </si>
  <si>
    <t>Vernon - Giverny</t>
  </si>
  <si>
    <t>Bonnières</t>
  </si>
  <si>
    <t>Rosny-sur-Seine</t>
  </si>
  <si>
    <t>Épône - Mézières</t>
  </si>
  <si>
    <t>Aubergenville-Élisabethville</t>
  </si>
  <si>
    <t>Les Mureaux</t>
  </si>
  <si>
    <t>Les Clairières de Verneuil</t>
  </si>
  <si>
    <t>Vernouillet - Verneuil</t>
  </si>
  <si>
    <t>Villennes-sur-Seine</t>
  </si>
  <si>
    <t>Mitry - Claye</t>
  </si>
  <si>
    <t>Compans</t>
  </si>
  <si>
    <t>Thieux - Nantouillet</t>
  </si>
  <si>
    <t>Dammartin - Juilly - Saint-Mard</t>
  </si>
  <si>
    <t>Le Plessis-Belleville</t>
  </si>
  <si>
    <t>Nanteuil-le-Haudouin</t>
  </si>
  <si>
    <t>Ormoy-Villers</t>
  </si>
  <si>
    <t>Crépy-en-Valois</t>
  </si>
  <si>
    <t>RERB,T4</t>
  </si>
  <si>
    <t>Cergy-le-Haut</t>
  </si>
  <si>
    <t>Cergy-Saint-Christophe</t>
  </si>
  <si>
    <t>Cergy-Préfecture</t>
  </si>
  <si>
    <t>Neuville-Université</t>
  </si>
  <si>
    <t>Achères-Ville</t>
  </si>
  <si>
    <t>Maisons-Laffitte</t>
  </si>
  <si>
    <t>Sartrouville</t>
  </si>
  <si>
    <t>Nanterre-Université</t>
  </si>
  <si>
    <t>Les Vallées</t>
  </si>
  <si>
    <t>Versailles-Rive-Droite</t>
  </si>
  <si>
    <t>Montreuil</t>
  </si>
  <si>
    <t>Viroflay-Rive-Droite</t>
  </si>
  <si>
    <t>Chaville-Rive-Droite</t>
  </si>
  <si>
    <t>Sèvres - Ville-d'Avray</t>
  </si>
  <si>
    <t>Saint-Nom-la-Bretèche - Forêt de Marly</t>
  </si>
  <si>
    <t>L'Étang-la-Ville</t>
  </si>
  <si>
    <t>Marly-le-Roi</t>
  </si>
  <si>
    <t>Louveciennes</t>
  </si>
  <si>
    <t>Bougival</t>
  </si>
  <si>
    <t>La Celle-Saint-Cloud</t>
  </si>
  <si>
    <t>Vaucresson</t>
  </si>
  <si>
    <t>Garches - Marnes-la-Coquette</t>
  </si>
  <si>
    <t>Le Val d'Or</t>
  </si>
  <si>
    <t>Suresnes-Mont-Valérien</t>
  </si>
  <si>
    <t>Bécon-les-Bruyères</t>
  </si>
  <si>
    <t>Clichy - Levallois</t>
  </si>
  <si>
    <t>Pont-Cardinet</t>
  </si>
  <si>
    <t>RERA,TRJ</t>
  </si>
  <si>
    <t>T2(Charlebourg)</t>
  </si>
  <si>
    <t>TRU</t>
  </si>
  <si>
    <t>TRU,T2(Les Milons)</t>
  </si>
  <si>
    <t>T2(Les Coteaux)</t>
  </si>
  <si>
    <t>TRU,T2</t>
  </si>
  <si>
    <t>TRU,T2(Suresnes-Longchamp)</t>
  </si>
  <si>
    <t>M1,RERA,TRU,T2</t>
  </si>
  <si>
    <t>Noisy-le-Roi</t>
  </si>
  <si>
    <t>Mareil-Marly</t>
  </si>
  <si>
    <t>Saint-Germain-en-Laye-Bel-Air - Fourqueux</t>
  </si>
  <si>
    <t>Saint-Germain-en-Laye</t>
  </si>
  <si>
    <t>Saint-Germain-en-Laye-Grande-Ceinture</t>
  </si>
  <si>
    <t>Paris-Montparnasse</t>
  </si>
  <si>
    <t>Vanves - Malakoff</t>
  </si>
  <si>
    <t>Bellevue</t>
  </si>
  <si>
    <t>Sèvres-Rive-Gauche</t>
  </si>
  <si>
    <t>Chaville-Rive-Gauche</t>
  </si>
  <si>
    <t>Fontenay-le-Fleury</t>
  </si>
  <si>
    <t>Villepreux - Les Clayes</t>
  </si>
  <si>
    <t>Plaisir - Les Clayes</t>
  </si>
  <si>
    <t>Plaisir - Grignon</t>
  </si>
  <si>
    <t>Villiers - Neauphle - Pontchartrain</t>
  </si>
  <si>
    <t>Montfort-l'Amaury - Méré</t>
  </si>
  <si>
    <t>Garancières - La Queue</t>
  </si>
  <si>
    <t>Orgerus - Béhoust</t>
  </si>
  <si>
    <t>Tacoignières - Richebourg</t>
  </si>
  <si>
    <t>Houdan</t>
  </si>
  <si>
    <t>Marchezais - Broué</t>
  </si>
  <si>
    <t>Dreux</t>
  </si>
  <si>
    <t>Beynes</t>
  </si>
  <si>
    <t>Mareil-sur-Mauldre</t>
  </si>
  <si>
    <t>Maule</t>
  </si>
  <si>
    <t>Nézel - Aulnay</t>
  </si>
  <si>
    <t>Trappes</t>
  </si>
  <si>
    <t>La Verrière</t>
  </si>
  <si>
    <t>Coignières</t>
  </si>
  <si>
    <t>Les Essarts-le-Roi</t>
  </si>
  <si>
    <t>Le Perray</t>
  </si>
  <si>
    <t>Rambouillet</t>
  </si>
  <si>
    <t>RERC,TRU</t>
  </si>
  <si>
    <t>M4(Montparnasse - Bienvenüe),M6(Montparnasse - Bienvenüe),M12(Montparnasse - Bienvenüe),M13(Montparnasse - Bienvenüe)</t>
  </si>
  <si>
    <t>Paris-Est</t>
  </si>
  <si>
    <t>Vaires - Torcy</t>
  </si>
  <si>
    <t>Lagny - Thorigny</t>
  </si>
  <si>
    <t>Esbly</t>
  </si>
  <si>
    <t>Montry - Condé</t>
  </si>
  <si>
    <t>Couilly - Saint-Germain - Quincy</t>
  </si>
  <si>
    <t>Villiers - Montbarbin</t>
  </si>
  <si>
    <t>Crécy-la-Chapelle</t>
  </si>
  <si>
    <t>Meaux</t>
  </si>
  <si>
    <t>Trilport</t>
  </si>
  <si>
    <t>Changis - Saint-Jean</t>
  </si>
  <si>
    <t>La Ferté-sous-Jouarre</t>
  </si>
  <si>
    <t>Nanteuil - Saâcy</t>
  </si>
  <si>
    <t>Nogent-l'Artaud - Charly</t>
  </si>
  <si>
    <t>Chézy-sur-Marne</t>
  </si>
  <si>
    <t>Château-Thierry</t>
  </si>
  <si>
    <t>Isles - Armentières - Congis</t>
  </si>
  <si>
    <t>Lizy-sur-Ourcq</t>
  </si>
  <si>
    <t>Crouy-sur-Ourcq</t>
  </si>
  <si>
    <t>Mareuil-sur-Ourcq</t>
  </si>
  <si>
    <t>La Ferté-Milon</t>
  </si>
  <si>
    <t>Marles-en-Brie</t>
  </si>
  <si>
    <t>Mortcerf</t>
  </si>
  <si>
    <t>Guérard - La Celle-sur-Morin</t>
  </si>
  <si>
    <t>Faremoutiers - Pommeuse</t>
  </si>
  <si>
    <t>Mouroux</t>
  </si>
  <si>
    <t>Chailly - Boissy-le-Châtel</t>
  </si>
  <si>
    <t>Chauffry</t>
  </si>
  <si>
    <t>Saint-Siméon</t>
  </si>
  <si>
    <t>Saint-Rémy-la-Vanne</t>
  </si>
  <si>
    <t>Jouy-sur-Morin - Champgoulin</t>
  </si>
  <si>
    <t>Jouy-sur-Morin - Eustache</t>
  </si>
  <si>
    <t>Jouy-sur-Morin - Monument</t>
  </si>
  <si>
    <t>La Ferté-Gaucher</t>
  </si>
  <si>
    <t>La Ferté-Gaucher - Centre</t>
  </si>
  <si>
    <t>Verneuil-l'Étang</t>
  </si>
  <si>
    <t>Mormant</t>
  </si>
  <si>
    <t>Nangis</t>
  </si>
  <si>
    <t>Longueville</t>
  </si>
  <si>
    <t>Sainte-Colombe - Septveilles</t>
  </si>
  <si>
    <t>Champbenoist - Poigny</t>
  </si>
  <si>
    <t>Provins</t>
  </si>
  <si>
    <t>Bois-le-Roi</t>
  </si>
  <si>
    <t>Fontainebleau-Forêt</t>
  </si>
  <si>
    <t>Fontainebleau - Avon</t>
  </si>
  <si>
    <t>Thomery</t>
  </si>
  <si>
    <t>Moret-Veneux-les-Sablons</t>
  </si>
  <si>
    <t>Saint-Mammès</t>
  </si>
  <si>
    <t>Montereau</t>
  </si>
  <si>
    <t>Montigny-sur-Loing</t>
  </si>
  <si>
    <t>Bourron-Marlotte - Grez</t>
  </si>
  <si>
    <t>Nemours - Saint-Pierre</t>
  </si>
  <si>
    <t>Bagneaux-sur-Loing</t>
  </si>
  <si>
    <t>Souppes - Château-Landon</t>
  </si>
  <si>
    <t>Dordives</t>
  </si>
  <si>
    <t>Ferrières - Fontenay</t>
  </si>
  <si>
    <t>Montargis</t>
  </si>
  <si>
    <t>Livry-sur-Seine</t>
  </si>
  <si>
    <t>Chartrettes</t>
  </si>
  <si>
    <t>Fontaine-le-Port</t>
  </si>
  <si>
    <t>Héricy</t>
  </si>
  <si>
    <t>Vulaines-sur-Seine - Samoreau</t>
  </si>
  <si>
    <t>Champagne-sur-Seine</t>
  </si>
  <si>
    <t>Vernou-sur-Seine</t>
  </si>
  <si>
    <t>La Grande-Paroisse</t>
  </si>
  <si>
    <t>TRL,T2(Les Milons)</t>
  </si>
  <si>
    <t>TRL,T2(Suresnes-Longchamp)</t>
  </si>
  <si>
    <t>TRL,T2</t>
  </si>
  <si>
    <t>M1,RERA,TRL,T2</t>
  </si>
  <si>
    <t>wikipedia</t>
  </si>
  <si>
    <t>citymapper</t>
  </si>
  <si>
    <t>maps</t>
  </si>
  <si>
    <t>Aéroport Charles-de-Gaulle 1</t>
  </si>
  <si>
    <t>Aéroport Charles-de-Gaulle 2 TGV</t>
  </si>
  <si>
    <t>Aéroport d'Orly</t>
  </si>
  <si>
    <t>Alcide d'Orbigny</t>
  </si>
  <si>
    <t>Alexandra David-Néel</t>
  </si>
  <si>
    <t>Adrienne Bolland</t>
  </si>
  <si>
    <t>Allée de la Tour - Rendez-Vous</t>
  </si>
  <si>
    <t>Angélique Compoint Porte de Montmartre</t>
  </si>
  <si>
    <t>Antony</t>
  </si>
  <si>
    <t>Arcueil - Cachan</t>
  </si>
  <si>
    <t>Athis-Mons - Porte de l'Essonne</t>
  </si>
  <si>
    <t>Auguste Delaune</t>
  </si>
  <si>
    <t>Auguste Perret Cimetière Parisien</t>
  </si>
  <si>
    <t>Avenue de France</t>
  </si>
  <si>
    <t>Bagneux</t>
  </si>
  <si>
    <t>Baron Le Roy</t>
  </si>
  <si>
    <t>Baudelaire</t>
  </si>
  <si>
    <t>Belvédère</t>
  </si>
  <si>
    <t>Blumenthal</t>
  </si>
  <si>
    <t>Bourg-la-Reine</t>
  </si>
  <si>
    <t>Brancion</t>
  </si>
  <si>
    <t>Bretagne</t>
  </si>
  <si>
    <t>Brimborion</t>
  </si>
  <si>
    <t>Bures-sur-Yvette</t>
  </si>
  <si>
    <t>Bussy-Saint-Georges</t>
  </si>
  <si>
    <t>Butte du Chapeau Rouge</t>
  </si>
  <si>
    <t>Butte Pinson Parc Régional</t>
  </si>
  <si>
    <t>Canal Saint-Denis</t>
  </si>
  <si>
    <t>Caroline Aigle Orlyfret</t>
  </si>
  <si>
    <t>Centre de Châtillon</t>
  </si>
  <si>
    <t>César</t>
  </si>
  <si>
    <t>Charlebourg</t>
  </si>
  <si>
    <t>Chemin des Reniers</t>
  </si>
  <si>
    <t>Cimetière de Saint-Denis</t>
  </si>
  <si>
    <t>Cité Universitaire</t>
  </si>
  <si>
    <t>Cœur d'Orly</t>
  </si>
  <si>
    <t>Colette Besson</t>
  </si>
  <si>
    <t>Cosmonautes</t>
  </si>
  <si>
    <t>Courcelle-sur-Yvette</t>
  </si>
  <si>
    <t>Danton</t>
  </si>
  <si>
    <t>Delaunay-Belleville</t>
  </si>
  <si>
    <t>Delphine Seyrig</t>
  </si>
  <si>
    <t>Desnouettes</t>
  </si>
  <si>
    <t>Dewoitine</t>
  </si>
  <si>
    <t>Diane Arbus Porte des Poissonniers</t>
  </si>
  <si>
    <t>Didot</t>
  </si>
  <si>
    <t>Division Leclerc</t>
  </si>
  <si>
    <t>Domaine Chérioux</t>
  </si>
  <si>
    <t>Drancy</t>
  </si>
  <si>
    <t>Drancy-Avenir</t>
  </si>
  <si>
    <t>Dugny - La Courneuve Parc Georges Valbon</t>
  </si>
  <si>
    <t>Ella Fitzgerald Grands Moulins de Pantin</t>
  </si>
  <si>
    <t>Épinay - Villetaneuse Montmagny</t>
  </si>
  <si>
    <t>Épinay-Orgemont</t>
  </si>
  <si>
    <t>Épinettes - Pouchet</t>
  </si>
  <si>
    <t>Escadrille Normandie-Niémen</t>
  </si>
  <si>
    <t>Faubourg de l'Arche</t>
  </si>
  <si>
    <t>Fontaine Michalon</t>
  </si>
  <si>
    <t>Freinville - Sevran</t>
  </si>
  <si>
    <t>Gare de Gennevilliers</t>
  </si>
  <si>
    <t>Gare de Noisy-le-Sec</t>
  </si>
  <si>
    <t>Gare de Saint-Denis</t>
  </si>
  <si>
    <t>GarganN 4</t>
  </si>
  <si>
    <t>Gaston Roulaud</t>
  </si>
  <si>
    <t>Gentilly</t>
  </si>
  <si>
    <t>Georges Brassens</t>
  </si>
  <si>
    <t>Georges Millandy</t>
  </si>
  <si>
    <t>Georges Pompidou</t>
  </si>
  <si>
    <t>Gif-sur-Yvette</t>
  </si>
  <si>
    <t>Gilbert Bonnemaison</t>
  </si>
  <si>
    <t>Guynemer Stade Auguste Delaune</t>
  </si>
  <si>
    <t>Hélène Boucher Orlytech</t>
  </si>
  <si>
    <t>Henri Farman Porte de Seine</t>
  </si>
  <si>
    <t>Honoré de Balzac</t>
  </si>
  <si>
    <t>Hôpital Avicenne</t>
  </si>
  <si>
    <t>Hôpital Béclère</t>
  </si>
  <si>
    <t>Hôpital Delafontaine</t>
  </si>
  <si>
    <t>Hôpital Robert-Debré</t>
  </si>
  <si>
    <t>Hôtel de Ville de Bobigny Maison de la Culture</t>
  </si>
  <si>
    <t>Hôtel de Ville de La Courneuve</t>
  </si>
  <si>
    <t>Inovel Parc Nord</t>
  </si>
  <si>
    <t>Jacqueline Auriol</t>
  </si>
  <si>
    <t>Jacques Prévert</t>
  </si>
  <si>
    <t>Jacques-Henri Lartigue</t>
  </si>
  <si>
    <t>Jean Moulin</t>
  </si>
  <si>
    <t>Jean Rostand</t>
  </si>
  <si>
    <t>Jean Vilar</t>
  </si>
  <si>
    <t>Joinville-le-Pont</t>
  </si>
  <si>
    <t>Joncherolles</t>
  </si>
  <si>
    <t>L'Abbaye</t>
  </si>
  <si>
    <t>L'Onde Maison des Arts</t>
  </si>
  <si>
    <t>La Belle Épine</t>
  </si>
  <si>
    <t>La Courneuve - Aubervilliers</t>
  </si>
  <si>
    <t>La Courneuve - Six Routes</t>
  </si>
  <si>
    <t>La Ferme</t>
  </si>
  <si>
    <t>La Fraternelle</t>
  </si>
  <si>
    <t>La Hacquinière</t>
  </si>
  <si>
    <t>La Noue</t>
  </si>
  <si>
    <t>La Remise à Jorelle</t>
  </si>
  <si>
    <t>Lacépède</t>
  </si>
  <si>
    <t>Lamartine</t>
  </si>
  <si>
    <t>Laplace</t>
  </si>
  <si>
    <t>Le Blanc-Mesnil</t>
  </si>
  <si>
    <t>Le Bourget</t>
  </si>
  <si>
    <t>Le Guichet</t>
  </si>
  <si>
    <t>Le Luth</t>
  </si>
  <si>
    <t>Le Village</t>
  </si>
  <si>
    <t>Les Baconnets</t>
  </si>
  <si>
    <t>Les Béatus</t>
  </si>
  <si>
    <t>Les Cholettes</t>
  </si>
  <si>
    <t>Les Coquetiers</t>
  </si>
  <si>
    <t>Les Coteaux</t>
  </si>
  <si>
    <t>Les Fauvelles</t>
  </si>
  <si>
    <t>Les Flanades</t>
  </si>
  <si>
    <t>Les Milons</t>
  </si>
  <si>
    <t>Les Mobiles</t>
  </si>
  <si>
    <t>Les Moulineaux</t>
  </si>
  <si>
    <t>Les Pavillons-sous-Bois</t>
  </si>
  <si>
    <t>Libération</t>
  </si>
  <si>
    <t>Lochères</t>
  </si>
  <si>
    <t>Louvois</t>
  </si>
  <si>
    <t>Lycée Henri Sellier</t>
  </si>
  <si>
    <t>Mail de la Plaine</t>
  </si>
  <si>
    <t>Mairie de Pierrefitte</t>
  </si>
  <si>
    <t>Mairie de Vélizy</t>
  </si>
  <si>
    <t>Mairie de Villeneuve-la-Garenne</t>
  </si>
  <si>
    <t>Marché de Saint-Denis</t>
  </si>
  <si>
    <t>Marie de Miribel</t>
  </si>
  <si>
    <t>Maryse Bastié</t>
  </si>
  <si>
    <t>Maurice Lachâtre</t>
  </si>
  <si>
    <t>Meudon-la-Forêt</t>
  </si>
  <si>
    <t>Meudon-sur-Seine</t>
  </si>
  <si>
    <t>Montempoivre</t>
  </si>
  <si>
    <t>Montsouris</t>
  </si>
  <si>
    <t>Moulin Vert</t>
  </si>
  <si>
    <t>Musée de Sèvres</t>
  </si>
  <si>
    <t>Nanterre-Préfecture</t>
  </si>
  <si>
    <t>Nanterre-Ville</t>
  </si>
  <si>
    <t>Nogent-sur-Marne</t>
  </si>
  <si>
    <t>Orsay-Ville</t>
  </si>
  <si>
    <t>Pablo Neruda</t>
  </si>
  <si>
    <t>Palaiseau</t>
  </si>
  <si>
    <t>Palaiseau - Villebon</t>
  </si>
  <si>
    <t>Parc André Malraux</t>
  </si>
  <si>
    <t>Parc de Saint-Cloud</t>
  </si>
  <si>
    <t>Parc de Sceaux</t>
  </si>
  <si>
    <t>Parc des Chanteraines</t>
  </si>
  <si>
    <t>Parc des Expositions</t>
  </si>
  <si>
    <t>Parc Pierre Lagravère</t>
  </si>
  <si>
    <t>Paul Éluard</t>
  </si>
  <si>
    <t>Paul Valéry</t>
  </si>
  <si>
    <t>Pavé Blanc Parc Novéos</t>
  </si>
  <si>
    <t>Petit Noisy</t>
  </si>
  <si>
    <t>Petit Pierrefitte</t>
  </si>
  <si>
    <t>Pierre De Geyter</t>
  </si>
  <si>
    <t>Place de la Logistique Plateforme Sogaris</t>
  </si>
  <si>
    <t>Pont de Bezons</t>
  </si>
  <si>
    <t>Pont de Bondy</t>
  </si>
  <si>
    <t>Pont du Garigliano Hôpital Européen Georges-Pompidou</t>
  </si>
  <si>
    <t>Port-Royal</t>
  </si>
  <si>
    <t>Porte d'Asnières - Marguerite Long</t>
  </si>
  <si>
    <t>Porte d'Aubervilliers</t>
  </si>
  <si>
    <t>Porte d'Issy</t>
  </si>
  <si>
    <t>Porte de Clichy Tribunal de Paris</t>
  </si>
  <si>
    <t>Porte de Clignancourt Puces de Saint-Ouen</t>
  </si>
  <si>
    <t>Porte de Rungis</t>
  </si>
  <si>
    <t>Porte de Thiais Marché International</t>
  </si>
  <si>
    <t>Porte de Versailles Parc des Expositions</t>
  </si>
  <si>
    <t>Poterne des Peupliers</t>
  </si>
  <si>
    <t>Robert Schuman Parc Silic Centre</t>
  </si>
  <si>
    <t>Robert Wagner</t>
  </si>
  <si>
    <t>Robinson</t>
  </si>
  <si>
    <t>Roger Sémat</t>
  </si>
  <si>
    <t>Rose Bertin Centre commercial l'Ilo</t>
  </si>
  <si>
    <t>Rougemont - Chanteloup</t>
  </si>
  <si>
    <t>Rueil-Malmaison</t>
  </si>
  <si>
    <t>Saarinen Parc Silic Nord</t>
  </si>
  <si>
    <t>Saint-Denis - Gare</t>
  </si>
  <si>
    <t>Saint-Denis - Porte de Paris</t>
  </si>
  <si>
    <t>Saint-Maur - Créteil</t>
  </si>
  <si>
    <t>Saint-Rémy-lès-Chevreuse</t>
  </si>
  <si>
    <t>Sceaux</t>
  </si>
  <si>
    <t>Séverine</t>
  </si>
  <si>
    <t>Sevran - Beaudottes</t>
  </si>
  <si>
    <t>Sevran - Livry</t>
  </si>
  <si>
    <t>Soleil Levant</t>
  </si>
  <si>
    <t>Stade Charléty Porte de Gentilly</t>
  </si>
  <si>
    <t>Stade Géo André</t>
  </si>
  <si>
    <t>Stains-La Cerisaie</t>
  </si>
  <si>
    <t>Sucy - Bonneuil</t>
  </si>
  <si>
    <t>Suresnes-Longchamp</t>
  </si>
  <si>
    <t>Suzanne Lenglen Éliane Jeannin-Garreau</t>
  </si>
  <si>
    <t>Suzanne Valadon</t>
  </si>
  <si>
    <t>Théâtre Gérard Philipe</t>
  </si>
  <si>
    <t>Timbaud</t>
  </si>
  <si>
    <t>Torcy</t>
  </si>
  <si>
    <t>Vauban</t>
  </si>
  <si>
    <t>Vélizy 2</t>
  </si>
  <si>
    <t>Vert-Galant</t>
  </si>
  <si>
    <t>Victor Basch</t>
  </si>
  <si>
    <t>Villeparisis - Mitry-le-Neuf</t>
  </si>
  <si>
    <t>Villepinte</t>
  </si>
  <si>
    <t>Villetaneuse-Université</t>
  </si>
  <si>
    <t>Vincennes</t>
  </si>
  <si>
    <t>TRL(Achères-Ville)</t>
  </si>
  <si>
    <t>T2(Suzanne Lenglen Éliane Jeannin-Garreau),T3A</t>
  </si>
  <si>
    <t>M8,T2(Suzanne Lenglen Éliane Jeannin-Garreau)</t>
  </si>
  <si>
    <t>M6(Bir-Hakeim Tour Eiffel)</t>
  </si>
  <si>
    <t>M1,M4,M11,M14,RERA(Châtelet - Les Halles),RERB(Châtelet - Les Halles),RERD(Châtelet - Les Halles)</t>
  </si>
  <si>
    <t>M1(Châtelet),M4(Châtelet),M7(Châtelet),M11(Châtelet),M14(Châtelet),M4(Les Halles),RERB,RERD</t>
  </si>
  <si>
    <t>RERB(Saint-Michel - Notre-Dame),RERC(Saint-Michel - Notre-Dame)</t>
  </si>
  <si>
    <t>M9,RERA(Auber)</t>
  </si>
  <si>
    <t>M3,RERA(Auber),RERE(Haussmann - Saint-Lazare)</t>
  </si>
  <si>
    <t>M5,RERC(Paris-Austerlitz)</t>
  </si>
  <si>
    <t>M10,RERC(Paris-Austerlitz)</t>
  </si>
  <si>
    <t>M4,M7,TRP(Paris-Est)</t>
  </si>
  <si>
    <t>M4,M5,RERE(Magenta),TRP(Paris-Est)</t>
  </si>
  <si>
    <t>M1,M2,M6,M9</t>
  </si>
  <si>
    <t>M1,RERA,RERD(Paris-Gare-de-Lyon),TRR(Paris-Gare-de-Lyon)</t>
  </si>
  <si>
    <t>M14,RERA,RERD(Paris-Gare-de-Lyon),TRR(Paris-Gare-de-Lyon)</t>
  </si>
  <si>
    <t>M1,M14,RERD(Paris-Gare-de-Lyon),TRR(Paris-Gare-de-Lyon)</t>
  </si>
  <si>
    <t>RERE(Noisy-le-Sec)</t>
  </si>
  <si>
    <t>RERD(Saint-Denis),TRH(Saint-Denis),T8(Saint-Denis - Gare)</t>
  </si>
  <si>
    <t>M5,M7,TRP(Paris-Est)</t>
  </si>
  <si>
    <t>RERC(Gennevilliers)</t>
  </si>
  <si>
    <t>T1(Gare de Gennevilliers)</t>
  </si>
  <si>
    <t>RERD(Saint-Denis),TRH(Saint-Denis),T1(Gare de Saint-Denis)</t>
  </si>
  <si>
    <t>M4(Gare du Nord),M5(Gare du Nord),M2(La Chapelle),RERB(Gare du Nord),RERE(Magenta),TRH,TRK</t>
  </si>
  <si>
    <t>T1,T5(Marché de Saint-Denis)</t>
  </si>
  <si>
    <t>TRL(La Garenne-Colombes)</t>
  </si>
  <si>
    <t>M5,RERB,RERD(Paris-Nord),RERE(Magenta),TRH(Paris-Nord),TRK(Paris-Nord)</t>
  </si>
  <si>
    <t>M4,RERB,RERD(Paris-Nord),RERE(Magenta),TRH(Paris-Nord),TRK(Paris-Nord)</t>
  </si>
  <si>
    <t>M4,M5,M2(La Chapelle),RERD(Paris-Nord),RERE(Magenta),TRH(Paris-Nord),TRK(Paris-Nord)</t>
  </si>
  <si>
    <t>M3(Saint-Lazare),M12(Saint-Lazare),M13(Saint-Lazare),M14(Saint-Lazare),M9(Havre - Caumartin),RERA(Auber),TRJ(Paris-Saint-Lazare),TRL(Paris-Saint-Lazare)</t>
  </si>
  <si>
    <t>M4(Gare du Nord),M5(Gare du Nord),RERB(Gare du Nord),RERD(Paris-Nord),TRH(Paris-Nord),TRK(Paris-Nord),RERE(Magenta)</t>
  </si>
  <si>
    <t>RERC(Rungis - La Fraternelle)</t>
  </si>
  <si>
    <t>TRL(Le Val d'Or)</t>
  </si>
  <si>
    <t>RERA(Châtelet - Les Halles),RERB(Châtelet - Les Halles),RERD(Châtelet - Les Halles)</t>
  </si>
  <si>
    <t>TRL(Saint-Cloud),TRU(Saint-Cloud)</t>
  </si>
  <si>
    <t>RERC,T6</t>
  </si>
  <si>
    <t>TRL(Suresnes-Mont-Valérien),TRU(Suresnes-Mont-Valérien)</t>
  </si>
  <si>
    <t>M4(Saint-Michel),M10(Cluny - La Sorbonne),RERB</t>
  </si>
  <si>
    <t>T1,M13(Basilique de Saint-Denis Hôtel de Ville)</t>
  </si>
  <si>
    <t>M12(Solférino Musée d'Orsay)</t>
  </si>
  <si>
    <t>M9(Pont de Sèvres)</t>
  </si>
  <si>
    <t>M1(Porte Maillot Palais des Congrès)</t>
  </si>
  <si>
    <t>M3,M12,M14,RERE(Haussmann - Saint-Lazare),TRJ(Paris-Saint-Lazare),TRL(Paris-Saint-Lazare)</t>
  </si>
  <si>
    <t>M3,M13,M14,RERE(Haussmann - Saint-Lazare),TRJ(Paris-Saint-Lazare),TRL(Paris-Saint-Lazare)</t>
  </si>
  <si>
    <t>M3,M12,M13,M9(Saint-Augustin),RERE(Haussmann - Saint-Lazare),TRJ(Paris-Saint-Lazare),TRL(Paris-Saint-Lazare)</t>
  </si>
  <si>
    <t>M12,M13,M14,RERE(Haussmann - Saint-Lazare),TRJ(Paris-Saint-Lazare),TRL(Paris-Saint-Lazare)</t>
  </si>
  <si>
    <t>T3B(Porte de Clignancourt Puces de Saint-Ouen)</t>
  </si>
  <si>
    <t>T3B(Hôpital Robert-Debré)</t>
  </si>
  <si>
    <t>M3,M5,M8,M9</t>
  </si>
  <si>
    <t>RERC,T3B(Porte de Clichy Tribunal de Paris)</t>
  </si>
  <si>
    <t>T5(Marché de Saint-Denis)</t>
  </si>
  <si>
    <t>T8(Saint-Denis - Porte de Paris)</t>
  </si>
  <si>
    <t>M13(Saint-Denis - Porte de Paris Stade de France)</t>
  </si>
  <si>
    <t>M13,T3B(Porte de Clichy Tribunal de Paris)</t>
  </si>
  <si>
    <t>M13(Porte de Clichy),RERC(Porte de Clichy)</t>
  </si>
  <si>
    <t>M3(Saint-Lazare),M12(Saint-Lazare),M13(Saint-Lazare),M14(Saint-Lazare),M9(Saint-Augustin),RERE(Haussmann - Saint-Lazare),TRJ</t>
  </si>
  <si>
    <t>M2(La Chapelle),M4(Gare du Nord),M5(Gare du Nord),RERB(Gare du Nord),RERD,RERE(Magenta),TRH</t>
  </si>
  <si>
    <t>M4(Gare du Nord),M5(Gare du Nord),M2(La Chapelle),RERB(Gare du Nord),RERD,RERE(Magenta),TRK</t>
  </si>
  <si>
    <t>M4(Gare de l'Est),M5(Gare de l'Est),M7(Gare de l'Est),M7(Château-Landon),RERE(Magenta)</t>
  </si>
  <si>
    <t>M3(Pereire Maréchal Juin)</t>
  </si>
  <si>
    <t>M10(Boulogne - Pont de Saint-Cloud)</t>
  </si>
  <si>
    <t>M8(Balard),T3A(Balard)</t>
  </si>
  <si>
    <t>T3A(Porte de Versailles Parc des Expositions)</t>
  </si>
  <si>
    <t>M4(Porte de Clignancourt)</t>
  </si>
  <si>
    <t>RERD,T1(Gare de Saint-Denis),T8(Saint-Denis - Gare)</t>
  </si>
  <si>
    <t>M3(Saint-Lazare),M12(Saint-Lazare),M13(Saint-Lazare),M14(Saint-Lazare),RERE(Haussmann - Saint-Lazare),TRL</t>
  </si>
  <si>
    <t>M1(Gare de Lyon),M14(Gare de Lyon),RERA(Gare de Lyon),RERD</t>
  </si>
  <si>
    <t>M5(Gare d'Austerlitz),M10(Gare d'Austerlitz)</t>
  </si>
  <si>
    <t>T7(Porte de Rungis)</t>
  </si>
  <si>
    <t>TRH,T1(Gare de Saint-Denis),T8(Saint-Denis - Gare)</t>
  </si>
  <si>
    <t>M1(Gare de Lyon),M14(Gare de Lyon),RERA(Gare de Lyon),TRR</t>
  </si>
  <si>
    <t>T1(Gare de Noisy-le-Sec)</t>
  </si>
  <si>
    <t>T3B(Ella Fitzgerald Grands Moulins de Pantin)</t>
  </si>
  <si>
    <t>M4(Gare du Nord),M5(Gare du Nord),M2(La Chapelle),M7(Gare de l'Est),RERB(Gare du Nord),RERD(Paris-Nord),TRH(Paris-Nord),TRK(Paris-Nord),TRP(Paris-Est)</t>
  </si>
  <si>
    <t>nb stops</t>
  </si>
  <si>
    <t>time</t>
  </si>
  <si>
    <t>begin</t>
  </si>
  <si>
    <t>end</t>
  </si>
  <si>
    <t>Marne la Vallée Chessy</t>
  </si>
  <si>
    <t>Nanterre Préfecture</t>
  </si>
  <si>
    <t>Cergy le Haut</t>
  </si>
  <si>
    <t>time / stop</t>
  </si>
  <si>
    <t>type</t>
  </si>
  <si>
    <t>suburb</t>
  </si>
  <si>
    <t>center</t>
  </si>
  <si>
    <t>La Défense</t>
  </si>
  <si>
    <t>Saint Germain en Laye</t>
  </si>
  <si>
    <t>RER A</t>
  </si>
  <si>
    <t>RER B</t>
  </si>
  <si>
    <t>Saint Remy les Chevreuse</t>
  </si>
  <si>
    <t>Bourg La Reine</t>
  </si>
  <si>
    <t>La Plaine</t>
  </si>
  <si>
    <t>Aulney sous Bois</t>
  </si>
  <si>
    <t>Sevran Beaudottes</t>
  </si>
  <si>
    <t>Aeroport Charles de Gaulle</t>
  </si>
  <si>
    <t>RER C</t>
  </si>
  <si>
    <t>Ivry sur Seine</t>
  </si>
  <si>
    <t>Saint Quentin en Yvelines</t>
  </si>
  <si>
    <t>Choisy le Roi</t>
  </si>
  <si>
    <t>Savigny sur Orge</t>
  </si>
  <si>
    <t>Dourdan la Forêt</t>
  </si>
  <si>
    <t>RER D</t>
  </si>
  <si>
    <t>Stade de France</t>
  </si>
  <si>
    <t>Maisons-Alfort</t>
  </si>
  <si>
    <t>RER E</t>
  </si>
  <si>
    <t>Haussmann Saint Lazare</t>
  </si>
  <si>
    <t>Chelles Gournay</t>
  </si>
  <si>
    <t>misc.</t>
  </si>
  <si>
    <t>Porte de Paris</t>
  </si>
  <si>
    <t>Villetaneuse</t>
  </si>
  <si>
    <t>Epinay</t>
  </si>
  <si>
    <t>Paris Nord</t>
  </si>
  <si>
    <t>Montsoult</t>
  </si>
  <si>
    <t>Persan</t>
  </si>
  <si>
    <t>Ermont</t>
  </si>
  <si>
    <t>Conflans</t>
  </si>
  <si>
    <t>Saint Lazare</t>
  </si>
  <si>
    <t>Mantes La Jolie</t>
  </si>
  <si>
    <t>Noisy le Roi</t>
  </si>
  <si>
    <t>Saint Nom la bretêche</t>
  </si>
  <si>
    <t>Cergy le haut</t>
  </si>
  <si>
    <t>Paris Montparnasse</t>
  </si>
  <si>
    <t>Paris Est</t>
  </si>
  <si>
    <t>La Ferté Milon</t>
  </si>
  <si>
    <t>Château Thierry</t>
  </si>
  <si>
    <t>La Ferté Gauché</t>
  </si>
  <si>
    <t>Moret Veneux</t>
  </si>
  <si>
    <t>in line</t>
  </si>
  <si>
    <t>1032,1053,1068</t>
  </si>
  <si>
    <t>Type</t>
  </si>
  <si>
    <t>change different type</t>
  </si>
  <si>
    <t>change same type</t>
  </si>
  <si>
    <t>6,27</t>
  </si>
  <si>
    <t>20,50,272</t>
  </si>
  <si>
    <t>14,93,302,379</t>
  </si>
  <si>
    <t>20,50,157</t>
  </si>
  <si>
    <t>14,93,177,379</t>
  </si>
  <si>
    <t>14,93,177,302</t>
  </si>
  <si>
    <t>0,985,1110,686</t>
  </si>
  <si>
    <t>6,27,130</t>
  </si>
  <si>
    <t>14,93,177,302,379,92</t>
  </si>
  <si>
    <t>20,50,157,272</t>
  </si>
  <si>
    <t>0,404,985,1110</t>
  </si>
  <si>
    <t>39,86,117,446,575,622</t>
  </si>
  <si>
    <t>0,404,686</t>
  </si>
  <si>
    <t>404,985,1110,686</t>
  </si>
  <si>
    <t>493</t>
  </si>
  <si>
    <t>27,130</t>
  </si>
  <si>
    <t>405</t>
  </si>
  <si>
    <t>256</t>
  </si>
  <si>
    <t>363</t>
  </si>
  <si>
    <t>213,328</t>
  </si>
  <si>
    <t>175</t>
  </si>
  <si>
    <t>93,177,302,379</t>
  </si>
  <si>
    <t>407,447</t>
  </si>
  <si>
    <t>407,447,576</t>
  </si>
  <si>
    <t>303</t>
  </si>
  <si>
    <t>124,224</t>
  </si>
  <si>
    <t>380</t>
  </si>
  <si>
    <t>408</t>
  </si>
  <si>
    <t>408,577,1075</t>
  </si>
  <si>
    <t>227</t>
  </si>
  <si>
    <t>50,157,272</t>
  </si>
  <si>
    <t>409</t>
  </si>
  <si>
    <t>727</t>
  </si>
  <si>
    <t>727,728</t>
  </si>
  <si>
    <t>410</t>
  </si>
  <si>
    <t>494</t>
  </si>
  <si>
    <t>6,130</t>
  </si>
  <si>
    <t>58</t>
  </si>
  <si>
    <t>359</t>
  </si>
  <si>
    <t>322</t>
  </si>
  <si>
    <t>85</t>
  </si>
  <si>
    <t>86</t>
  </si>
  <si>
    <t>86,117</t>
  </si>
  <si>
    <t>446,575</t>
  </si>
  <si>
    <t>446,575,844,946,622</t>
  </si>
  <si>
    <t>116,165</t>
  </si>
  <si>
    <t>115,197</t>
  </si>
  <si>
    <t>308</t>
  </si>
  <si>
    <t>72</t>
  </si>
  <si>
    <t>20,157,272</t>
  </si>
  <si>
    <t>492</t>
  </si>
  <si>
    <t>31</t>
  </si>
  <si>
    <t>326,361,376</t>
  </si>
  <si>
    <t>621</t>
  </si>
  <si>
    <t>621,934,991</t>
  </si>
  <si>
    <t>260</t>
  </si>
  <si>
    <t>406</t>
  </si>
  <si>
    <t>173,215</t>
  </si>
  <si>
    <t>90</t>
  </si>
  <si>
    <t>305</t>
  </si>
  <si>
    <t>120,220,266,306</t>
  </si>
  <si>
    <t>46</t>
  </si>
  <si>
    <t>77</t>
  </si>
  <si>
    <t>731</t>
  </si>
  <si>
    <t>73</t>
  </si>
  <si>
    <t>313</t>
  </si>
  <si>
    <t>734</t>
  </si>
  <si>
    <t>747</t>
  </si>
  <si>
    <t>318</t>
  </si>
  <si>
    <t>38</t>
  </si>
  <si>
    <t>117</t>
  </si>
  <si>
    <t>446,575,622,844,946</t>
  </si>
  <si>
    <t>118,168</t>
  </si>
  <si>
    <t>1031</t>
  </si>
  <si>
    <t>219,265</t>
  </si>
  <si>
    <t>66</t>
  </si>
  <si>
    <t>14,177,302,379</t>
  </si>
  <si>
    <t>514</t>
  </si>
  <si>
    <t>296</t>
  </si>
  <si>
    <t>141,335,368</t>
  </si>
  <si>
    <t>996</t>
  </si>
  <si>
    <t>143</t>
  </si>
  <si>
    <t>144</t>
  </si>
  <si>
    <t>451</t>
  </si>
  <si>
    <t>712</t>
  </si>
  <si>
    <t>673</t>
  </si>
  <si>
    <t>737</t>
  </si>
  <si>
    <t>41,197</t>
  </si>
  <si>
    <t>40,165</t>
  </si>
  <si>
    <t>87,168</t>
  </si>
  <si>
    <t>69,220,266,306</t>
  </si>
  <si>
    <t>267</t>
  </si>
  <si>
    <t>17,224</t>
  </si>
  <si>
    <t>301</t>
  </si>
  <si>
    <t>515</t>
  </si>
  <si>
    <t>148,184</t>
  </si>
  <si>
    <t>253</t>
  </si>
  <si>
    <t>510</t>
  </si>
  <si>
    <t>209,290</t>
  </si>
  <si>
    <t>337</t>
  </si>
  <si>
    <t>100,335,368</t>
  </si>
  <si>
    <t>102</t>
  </si>
  <si>
    <t>103</t>
  </si>
  <si>
    <t>129,184</t>
  </si>
  <si>
    <t>381</t>
  </si>
  <si>
    <t>664</t>
  </si>
  <si>
    <t>740</t>
  </si>
  <si>
    <t>40,116</t>
  </si>
  <si>
    <t>196</t>
  </si>
  <si>
    <t>87,118</t>
  </si>
  <si>
    <t>622,1031</t>
  </si>
  <si>
    <t>261</t>
  </si>
  <si>
    <t>62,215</t>
  </si>
  <si>
    <t>378</t>
  </si>
  <si>
    <t>12</t>
  </si>
  <si>
    <t>300</t>
  </si>
  <si>
    <t>129,148</t>
  </si>
  <si>
    <t>802</t>
  </si>
  <si>
    <t>717</t>
  </si>
  <si>
    <t>718</t>
  </si>
  <si>
    <t>719</t>
  </si>
  <si>
    <t>166</t>
  </si>
  <si>
    <t>41,115</t>
  </si>
  <si>
    <t>311</t>
  </si>
  <si>
    <t>735</t>
  </si>
  <si>
    <t>700</t>
  </si>
  <si>
    <t>700,704</t>
  </si>
  <si>
    <t>137,290</t>
  </si>
  <si>
    <t>364</t>
  </si>
  <si>
    <t>512</t>
  </si>
  <si>
    <t>10,328</t>
  </si>
  <si>
    <t>327,377</t>
  </si>
  <si>
    <t>62,173</t>
  </si>
  <si>
    <t>262</t>
  </si>
  <si>
    <t>89,265</t>
  </si>
  <si>
    <t>69,120,266,306</t>
  </si>
  <si>
    <t>17,124</t>
  </si>
  <si>
    <t>19</t>
  </si>
  <si>
    <t>154</t>
  </si>
  <si>
    <t>724</t>
  </si>
  <si>
    <t>723</t>
  </si>
  <si>
    <t>693</t>
  </si>
  <si>
    <t>282</t>
  </si>
  <si>
    <t>283</t>
  </si>
  <si>
    <t>496</t>
  </si>
  <si>
    <t>133</t>
  </si>
  <si>
    <t>511</t>
  </si>
  <si>
    <t>8</t>
  </si>
  <si>
    <t>362</t>
  </si>
  <si>
    <t>376</t>
  </si>
  <si>
    <t>61</t>
  </si>
  <si>
    <t>406,621</t>
  </si>
  <si>
    <t>172</t>
  </si>
  <si>
    <t>216</t>
  </si>
  <si>
    <t>89,219</t>
  </si>
  <si>
    <t>69,120,220,306</t>
  </si>
  <si>
    <t>121</t>
  </si>
  <si>
    <t>729</t>
  </si>
  <si>
    <t>692</t>
  </si>
  <si>
    <t>247</t>
  </si>
  <si>
    <t>248</t>
  </si>
  <si>
    <t>509</t>
  </si>
  <si>
    <t>137,209</t>
  </si>
  <si>
    <t>367</t>
  </si>
  <si>
    <t>332</t>
  </si>
  <si>
    <t>96</t>
  </si>
  <si>
    <t>448</t>
  </si>
  <si>
    <t>448,514</t>
  </si>
  <si>
    <t>180</t>
  </si>
  <si>
    <t>126</t>
  </si>
  <si>
    <t>15</t>
  </si>
  <si>
    <t>67</t>
  </si>
  <si>
    <t>69,120,220,266</t>
  </si>
  <si>
    <t>43</t>
  </si>
  <si>
    <t>202</t>
  </si>
  <si>
    <t>80</t>
  </si>
  <si>
    <t>745</t>
  </si>
  <si>
    <t>83</t>
  </si>
  <si>
    <t>35</t>
  </si>
  <si>
    <t>60,361,376</t>
  </si>
  <si>
    <t>214,377</t>
  </si>
  <si>
    <t>10,213</t>
  </si>
  <si>
    <t>513</t>
  </si>
  <si>
    <t>100,141,368</t>
  </si>
  <si>
    <t>140</t>
  </si>
  <si>
    <t>702</t>
  </si>
  <si>
    <t>702,706</t>
  </si>
  <si>
    <t>643</t>
  </si>
  <si>
    <t>491,752</t>
  </si>
  <si>
    <t>765</t>
  </si>
  <si>
    <t>656,765</t>
  </si>
  <si>
    <t>820</t>
  </si>
  <si>
    <t>749</t>
  </si>
  <si>
    <t>33</t>
  </si>
  <si>
    <t>60,326,376</t>
  </si>
  <si>
    <t>258</t>
  </si>
  <si>
    <t>9</t>
  </si>
  <si>
    <t>212</t>
  </si>
  <si>
    <t>100,141,335</t>
  </si>
  <si>
    <t>709</t>
  </si>
  <si>
    <t>781</t>
  </si>
  <si>
    <t>60,326,361,259</t>
  </si>
  <si>
    <t>214,327</t>
  </si>
  <si>
    <t>174</t>
  </si>
  <si>
    <t>18</t>
  </si>
  <si>
    <t>152</t>
  </si>
  <si>
    <t>516,721</t>
  </si>
  <si>
    <t>956</t>
  </si>
  <si>
    <t>957</t>
  </si>
  <si>
    <t>958</t>
  </si>
  <si>
    <t>959</t>
  </si>
  <si>
    <t>907</t>
  </si>
  <si>
    <t>907,960</t>
  </si>
  <si>
    <t>961</t>
  </si>
  <si>
    <t>944</t>
  </si>
  <si>
    <t>962</t>
  </si>
  <si>
    <t>963</t>
  </si>
  <si>
    <t>945</t>
  </si>
  <si>
    <t>945,964</t>
  </si>
  <si>
    <t>965</t>
  </si>
  <si>
    <t>61,260,62,173,215</t>
  </si>
  <si>
    <t>447,576</t>
  </si>
  <si>
    <t>577</t>
  </si>
  <si>
    <t>18,380,1075</t>
  </si>
  <si>
    <t>24</t>
  </si>
  <si>
    <t>633</t>
  </si>
  <si>
    <t>948</t>
  </si>
  <si>
    <t>947,764</t>
  </si>
  <si>
    <t>843</t>
  </si>
  <si>
    <t>575,622</t>
  </si>
  <si>
    <t>86,117,39,844,946</t>
  </si>
  <si>
    <t>407,576</t>
  </si>
  <si>
    <t>297</t>
  </si>
  <si>
    <t>103,144</t>
  </si>
  <si>
    <t>714</t>
  </si>
  <si>
    <t>527</t>
  </si>
  <si>
    <t>526</t>
  </si>
  <si>
    <t>881</t>
  </si>
  <si>
    <t>881,919</t>
  </si>
  <si>
    <t>880</t>
  </si>
  <si>
    <t>879</t>
  </si>
  <si>
    <t>878</t>
  </si>
  <si>
    <t>877</t>
  </si>
  <si>
    <t>876</t>
  </si>
  <si>
    <t>875</t>
  </si>
  <si>
    <t>864</t>
  </si>
  <si>
    <t>864,927</t>
  </si>
  <si>
    <t>835</t>
  </si>
  <si>
    <t>835,837</t>
  </si>
  <si>
    <t>647</t>
  </si>
  <si>
    <t>348,752</t>
  </si>
  <si>
    <t>55</t>
  </si>
  <si>
    <t>4</t>
  </si>
  <si>
    <t>25</t>
  </si>
  <si>
    <t>252</t>
  </si>
  <si>
    <t>251</t>
  </si>
  <si>
    <t>1024</t>
  </si>
  <si>
    <t>1024,1102</t>
  </si>
  <si>
    <t>1005</t>
  </si>
  <si>
    <t>1005,1103</t>
  </si>
  <si>
    <t>1004</t>
  </si>
  <si>
    <t>1004,1104</t>
  </si>
  <si>
    <t>1003,800</t>
  </si>
  <si>
    <t>698</t>
  </si>
  <si>
    <t>703</t>
  </si>
  <si>
    <t>287</t>
  </si>
  <si>
    <t>135</t>
  </si>
  <si>
    <t>255</t>
  </si>
  <si>
    <t>212,364</t>
  </si>
  <si>
    <t>330</t>
  </si>
  <si>
    <t>95,297</t>
  </si>
  <si>
    <t>126,301</t>
  </si>
  <si>
    <t>383,721</t>
  </si>
  <si>
    <t>467</t>
  </si>
  <si>
    <t>466</t>
  </si>
  <si>
    <t>811</t>
  </si>
  <si>
    <t>593</t>
  </si>
  <si>
    <t>893</t>
  </si>
  <si>
    <t>780</t>
  </si>
  <si>
    <t>840</t>
  </si>
  <si>
    <t>845,653,822</t>
  </si>
  <si>
    <t>446,622</t>
  </si>
  <si>
    <t>1076</t>
  </si>
  <si>
    <t>60,326,361,376,260,934,991</t>
  </si>
  <si>
    <t>86,117,39,168,844,946,1031</t>
  </si>
  <si>
    <t>742</t>
  </si>
  <si>
    <t>739</t>
  </si>
  <si>
    <t>678</t>
  </si>
  <si>
    <t>754</t>
  </si>
  <si>
    <t>1032</t>
  </si>
  <si>
    <t>420</t>
  </si>
  <si>
    <t>1053</t>
  </si>
  <si>
    <t>344</t>
  </si>
  <si>
    <t>488</t>
  </si>
  <si>
    <t>573,845</t>
  </si>
  <si>
    <t>822</t>
  </si>
  <si>
    <t>351</t>
  </si>
  <si>
    <t>158</t>
  </si>
  <si>
    <t>108</t>
  </si>
  <si>
    <t>625</t>
  </si>
  <si>
    <t>966</t>
  </si>
  <si>
    <t>984</t>
  </si>
  <si>
    <t>984,1109</t>
  </si>
  <si>
    <t>983</t>
  </si>
  <si>
    <t>983,1108</t>
  </si>
  <si>
    <t>982</t>
  </si>
  <si>
    <t>981</t>
  </si>
  <si>
    <t>981,1107</t>
  </si>
  <si>
    <t>279</t>
  </si>
  <si>
    <t>242</t>
  </si>
  <si>
    <t>507</t>
  </si>
  <si>
    <t>204</t>
  </si>
  <si>
    <t>704</t>
  </si>
  <si>
    <t>706</t>
  </si>
  <si>
    <t>341</t>
  </si>
  <si>
    <t>508</t>
  </si>
  <si>
    <t>372</t>
  </si>
  <si>
    <t>106</t>
  </si>
  <si>
    <t>452</t>
  </si>
  <si>
    <t>191</t>
  </si>
  <si>
    <t>192</t>
  </si>
  <si>
    <t>193</t>
  </si>
  <si>
    <t>383,516</t>
  </si>
  <si>
    <t>232</t>
  </si>
  <si>
    <t>231</t>
  </si>
  <si>
    <t>728</t>
  </si>
  <si>
    <t>21</t>
  </si>
  <si>
    <t>275</t>
  </si>
  <si>
    <t>74</t>
  </si>
  <si>
    <t>80,313</t>
  </si>
  <si>
    <t>203</t>
  </si>
  <si>
    <t>112</t>
  </si>
  <si>
    <t>624</t>
  </si>
  <si>
    <t>161</t>
  </si>
  <si>
    <t>623</t>
  </si>
  <si>
    <t>316</t>
  </si>
  <si>
    <t>81</t>
  </si>
  <si>
    <t>356</t>
  </si>
  <si>
    <t>348,491</t>
  </si>
  <si>
    <t>626</t>
  </si>
  <si>
    <t>440,947</t>
  </si>
  <si>
    <t>655</t>
  </si>
  <si>
    <t>350</t>
  </si>
  <si>
    <t>571</t>
  </si>
  <si>
    <t>375</t>
  </si>
  <si>
    <t>503,1003</t>
  </si>
  <si>
    <t>970</t>
  </si>
  <si>
    <t>190</t>
  </si>
  <si>
    <t>529</t>
  </si>
  <si>
    <t>352</t>
  </si>
  <si>
    <t>653</t>
  </si>
  <si>
    <t>839</t>
  </si>
  <si>
    <t>487</t>
  </si>
  <si>
    <t>837</t>
  </si>
  <si>
    <t>846</t>
  </si>
  <si>
    <t>828</t>
  </si>
  <si>
    <t>572</t>
  </si>
  <si>
    <t>443</t>
  </si>
  <si>
    <t>86,117,39,446,575,622</t>
  </si>
  <si>
    <t>946</t>
  </si>
  <si>
    <t>573,653,822</t>
  </si>
  <si>
    <t>838</t>
  </si>
  <si>
    <t>485</t>
  </si>
  <si>
    <t>927</t>
  </si>
  <si>
    <t>484</t>
  </si>
  <si>
    <t>483</t>
  </si>
  <si>
    <t>482</t>
  </si>
  <si>
    <t>481</t>
  </si>
  <si>
    <t>480</t>
  </si>
  <si>
    <t>479</t>
  </si>
  <si>
    <t>478</t>
  </si>
  <si>
    <t>919</t>
  </si>
  <si>
    <t>1023</t>
  </si>
  <si>
    <t>389</t>
  </si>
  <si>
    <t>960</t>
  </si>
  <si>
    <t>988</t>
  </si>
  <si>
    <t>60,326,361,376,621</t>
  </si>
  <si>
    <t>991</t>
  </si>
  <si>
    <t>1022</t>
  </si>
  <si>
    <t>391</t>
  </si>
  <si>
    <t>395</t>
  </si>
  <si>
    <t>964</t>
  </si>
  <si>
    <t>844</t>
  </si>
  <si>
    <t>440,764</t>
  </si>
  <si>
    <t>436</t>
  </si>
  <si>
    <t>385</t>
  </si>
  <si>
    <t>386</t>
  </si>
  <si>
    <t>387</t>
  </si>
  <si>
    <t>388</t>
  </si>
  <si>
    <t>390</t>
  </si>
  <si>
    <t>393</t>
  </si>
  <si>
    <t>394</t>
  </si>
  <si>
    <t>402</t>
  </si>
  <si>
    <t>683</t>
  </si>
  <si>
    <t>801</t>
  </si>
  <si>
    <t>1105</t>
  </si>
  <si>
    <t>1106</t>
  </si>
  <si>
    <t>973</t>
  </si>
  <si>
    <t>1107</t>
  </si>
  <si>
    <t>691</t>
  </si>
  <si>
    <t>690</t>
  </si>
  <si>
    <t>1108</t>
  </si>
  <si>
    <t>689</t>
  </si>
  <si>
    <t>1109</t>
  </si>
  <si>
    <t>687</t>
  </si>
  <si>
    <t>1110</t>
  </si>
  <si>
    <t>933</t>
  </si>
  <si>
    <t>60,326,361,376,259,621</t>
  </si>
  <si>
    <t>934</t>
  </si>
  <si>
    <t>100,141,335,368</t>
  </si>
  <si>
    <t>503,800</t>
  </si>
  <si>
    <t>500</t>
  </si>
  <si>
    <t>1104</t>
  </si>
  <si>
    <t>499</t>
  </si>
  <si>
    <t>1103</t>
  </si>
  <si>
    <t>938</t>
  </si>
  <si>
    <t>894</t>
  </si>
  <si>
    <t>498</t>
  </si>
  <si>
    <t>1102</t>
  </si>
  <si>
    <t>1101</t>
  </si>
  <si>
    <t>1100</t>
  </si>
  <si>
    <t>87,118,168,167,622</t>
  </si>
  <si>
    <t>630</t>
  </si>
  <si>
    <t>642</t>
  </si>
  <si>
    <t>18,380,408,577</t>
  </si>
  <si>
    <t>611</t>
  </si>
  <si>
    <t>1026</t>
  </si>
  <si>
    <t>1025</t>
  </si>
  <si>
    <t>971</t>
  </si>
  <si>
    <t>972</t>
  </si>
  <si>
    <t>985</t>
  </si>
  <si>
    <t>0 * La Défense Grande Arche</t>
  </si>
  <si>
    <t>1 * Esplanade de La Défense</t>
  </si>
  <si>
    <t>2 * Pont de Neuilly</t>
  </si>
  <si>
    <t>3 * Les Sablons Jardin d'Acclimatation</t>
  </si>
  <si>
    <t>4 * Porte Maillot Palais des Congrès</t>
  </si>
  <si>
    <t>5 * Argentine</t>
  </si>
  <si>
    <t>6 * Charles de Gaulle - Étoile</t>
  </si>
  <si>
    <t>7 * George V</t>
  </si>
  <si>
    <t>8 * Franklin D. Roosevelt</t>
  </si>
  <si>
    <t>9 * Champs-Élysées - Clemenceau</t>
  </si>
  <si>
    <t>10 * Concorde</t>
  </si>
  <si>
    <t>11 * Tuileries</t>
  </si>
  <si>
    <t>12 * Palais-Royal - Musée du Louvre</t>
  </si>
  <si>
    <t>13 * Louvre - Rivoli</t>
  </si>
  <si>
    <t>14 * Châtelet</t>
  </si>
  <si>
    <t>15 * Hôtel de Ville</t>
  </si>
  <si>
    <t>16 * Saint-Paul Le Marais</t>
  </si>
  <si>
    <t>17 * Bastille</t>
  </si>
  <si>
    <t>18 * Gare de Lyon</t>
  </si>
  <si>
    <t>19 * Reuilly - Diderot</t>
  </si>
  <si>
    <t>20 * Nation</t>
  </si>
  <si>
    <t>21 * Porte de Vincennes</t>
  </si>
  <si>
    <t>22 * Saint-Mandé</t>
  </si>
  <si>
    <t>23 * Bérault</t>
  </si>
  <si>
    <t>24 * Château de Vincennes</t>
  </si>
  <si>
    <t>25 * Porte Dauphine</t>
  </si>
  <si>
    <t>26 * Victor Hugo</t>
  </si>
  <si>
    <t>27 * Charles de Gaulle - Étoile</t>
  </si>
  <si>
    <t>28 * Ternes</t>
  </si>
  <si>
    <t>29 * Courcelles</t>
  </si>
  <si>
    <t>30 * Monceau</t>
  </si>
  <si>
    <t>31 * Villiers</t>
  </si>
  <si>
    <t>32 * Rome</t>
  </si>
  <si>
    <t>33 * Place de Clichy</t>
  </si>
  <si>
    <t>34 * Blanche</t>
  </si>
  <si>
    <t>35 * Pigalle</t>
  </si>
  <si>
    <t>36 * Anvers</t>
  </si>
  <si>
    <t>37 * Sacré-Cœur</t>
  </si>
  <si>
    <t>38 * Barbès - Rochechouart</t>
  </si>
  <si>
    <t>39 * La Chapelle</t>
  </si>
  <si>
    <t>40 * Stalingrad</t>
  </si>
  <si>
    <t>41 * Jaurès</t>
  </si>
  <si>
    <t>42 * Colonel Fabien</t>
  </si>
  <si>
    <t>43 * Belleville</t>
  </si>
  <si>
    <t>44 * Couronnes</t>
  </si>
  <si>
    <t>45 * Ménilmontant</t>
  </si>
  <si>
    <t>46 * Père Lachaise</t>
  </si>
  <si>
    <t>47 * Philippe Auguste</t>
  </si>
  <si>
    <t>48 * Alexandre Dumas</t>
  </si>
  <si>
    <t>49 * Avron</t>
  </si>
  <si>
    <t>50 * Nation</t>
  </si>
  <si>
    <t>51 * Pont de Levallois - Bécon</t>
  </si>
  <si>
    <t>52 * Anatole France</t>
  </si>
  <si>
    <t>53 * Louise Michel</t>
  </si>
  <si>
    <t>54 * Porte de Champerret</t>
  </si>
  <si>
    <t>55 * Pereire Maréchal Juin</t>
  </si>
  <si>
    <t>56 * Wagram</t>
  </si>
  <si>
    <t>57 * Malesherbes</t>
  </si>
  <si>
    <t>58 * Villiers</t>
  </si>
  <si>
    <t>59 * Europe Simone Veil</t>
  </si>
  <si>
    <t>60 * Saint-Lazare</t>
  </si>
  <si>
    <t>61 * Havre - Caumartin</t>
  </si>
  <si>
    <t>62 * Opéra</t>
  </si>
  <si>
    <t>63 * Quatre-Septembre</t>
  </si>
  <si>
    <t>64 * Bourse</t>
  </si>
  <si>
    <t>65 * Sentier</t>
  </si>
  <si>
    <t>66 * Réaumur - Sébastopol</t>
  </si>
  <si>
    <t>67 * Arts et Métiers</t>
  </si>
  <si>
    <t>68 * Temple</t>
  </si>
  <si>
    <t>69 * République</t>
  </si>
  <si>
    <t>70 * Parmentier</t>
  </si>
  <si>
    <t>71 * Rue Saint-Maur</t>
  </si>
  <si>
    <t>72 * Père Lachaise</t>
  </si>
  <si>
    <t>73 * Gambetta</t>
  </si>
  <si>
    <t>74 * Porte de Bagnolet</t>
  </si>
  <si>
    <t>75 * Gallieni</t>
  </si>
  <si>
    <t>76 * Parc de Bagnolet</t>
  </si>
  <si>
    <t>77 * Gambetta</t>
  </si>
  <si>
    <t>78 * Pelleport</t>
  </si>
  <si>
    <t>79 * Saint-Fargeau</t>
  </si>
  <si>
    <t>80 * Porte des Lilas</t>
  </si>
  <si>
    <t>81 * Porte de Clignancourt</t>
  </si>
  <si>
    <t>82 * Simplon</t>
  </si>
  <si>
    <t>83 * Marcadet - Poissonniers</t>
  </si>
  <si>
    <t>84 * Château Rouge</t>
  </si>
  <si>
    <t>85 * Barbès - Rochechouart</t>
  </si>
  <si>
    <t>86 * Gare du Nord</t>
  </si>
  <si>
    <t>87 * Gare de l'Est</t>
  </si>
  <si>
    <t>88 * Château d'Eau</t>
  </si>
  <si>
    <t>89 * Strasbourg - Saint-Denis</t>
  </si>
  <si>
    <t>90 * Réaumur - Sébastopol</t>
  </si>
  <si>
    <t>91 * Étienne Marcel</t>
  </si>
  <si>
    <t>92 * Les Halles</t>
  </si>
  <si>
    <t>93 * Châtelet</t>
  </si>
  <si>
    <t>94 * Cité</t>
  </si>
  <si>
    <t>95 * Saint-Michel</t>
  </si>
  <si>
    <t>96 * Odéon</t>
  </si>
  <si>
    <t>97 * Saint-Germain-des-Prés</t>
  </si>
  <si>
    <t>98 * Saint-Sulpice</t>
  </si>
  <si>
    <t>99 * Saint-Placide</t>
  </si>
  <si>
    <t>100 * Montparnasse - Bienvenüe</t>
  </si>
  <si>
    <t>101 * Vavin</t>
  </si>
  <si>
    <t>102 * Raspail</t>
  </si>
  <si>
    <t>103 * Denfert-Rochereau</t>
  </si>
  <si>
    <t>104 * Mouton-Duvernet</t>
  </si>
  <si>
    <t>105 * Alésia</t>
  </si>
  <si>
    <t>106 * Porte d'Orléans</t>
  </si>
  <si>
    <t>107 * Mairie de Montrouge</t>
  </si>
  <si>
    <t>108 * Bobigny - Pablo Picasso Préfecture - Hôtel du Département</t>
  </si>
  <si>
    <t>109 * Bobigny - Pantin - Raymond Queneau</t>
  </si>
  <si>
    <t>110 * Église de Pantin</t>
  </si>
  <si>
    <t>111 * Hoche</t>
  </si>
  <si>
    <t>112 * Porte de Pantin Parc de la Villette</t>
  </si>
  <si>
    <t>113 * Ourcq</t>
  </si>
  <si>
    <t>114 * Laumière</t>
  </si>
  <si>
    <t>115 * Jaurès</t>
  </si>
  <si>
    <t>116 * Stalingrad</t>
  </si>
  <si>
    <t>117 * Gare du Nord</t>
  </si>
  <si>
    <t>118 * Gare de l'Est</t>
  </si>
  <si>
    <t>119 * Jacques Bonsergent</t>
  </si>
  <si>
    <t>120 * République</t>
  </si>
  <si>
    <t>121 * Oberkampf</t>
  </si>
  <si>
    <t>122 * Richard-Lenoir</t>
  </si>
  <si>
    <t>123 * Bréguet - Sabin</t>
  </si>
  <si>
    <t>124 * Bastille</t>
  </si>
  <si>
    <t>125 * Quai de la Rapée</t>
  </si>
  <si>
    <t>126 * Gare d'Austerlitz</t>
  </si>
  <si>
    <t>127 * Saint-Marcel</t>
  </si>
  <si>
    <t>128 * Campo-Formio</t>
  </si>
  <si>
    <t>129 * Place d'Italie</t>
  </si>
  <si>
    <t>130 * Charles de Gaulle - Étoile</t>
  </si>
  <si>
    <t>131 * Kléber</t>
  </si>
  <si>
    <t>132 * Boissière</t>
  </si>
  <si>
    <t>133 * Trocadéro</t>
  </si>
  <si>
    <t>134 * Passy</t>
  </si>
  <si>
    <t>135 * Bir-Hakeim Tour Eiffel</t>
  </si>
  <si>
    <t>136 * Dupleix</t>
  </si>
  <si>
    <t>137 * La Motte-Picquet - Grenelle</t>
  </si>
  <si>
    <t>138 * Cambronne</t>
  </si>
  <si>
    <t>139 * Sèvres - Lecourbe</t>
  </si>
  <si>
    <t>140 * Pasteur</t>
  </si>
  <si>
    <t>141 * Montparnasse - Bienvenüe</t>
  </si>
  <si>
    <t>142 * Edgar Quinet</t>
  </si>
  <si>
    <t>143 * Raspail</t>
  </si>
  <si>
    <t>144 * Denfert-Rochereau</t>
  </si>
  <si>
    <t>145 * Saint-Jacques</t>
  </si>
  <si>
    <t>146 * Glacière</t>
  </si>
  <si>
    <t>147 * Corvisart</t>
  </si>
  <si>
    <t>148 * Place d'Italie</t>
  </si>
  <si>
    <t>149 * Nationale</t>
  </si>
  <si>
    <t>150 * Chevaleret</t>
  </si>
  <si>
    <t>151 * Quai de la Gare</t>
  </si>
  <si>
    <t>152 * Bercy</t>
  </si>
  <si>
    <t>153 * Dugommier</t>
  </si>
  <si>
    <t>154 * Daumesnil</t>
  </si>
  <si>
    <t>155 * Bel-Air</t>
  </si>
  <si>
    <t>156 * Picpus</t>
  </si>
  <si>
    <t>157 * Nation</t>
  </si>
  <si>
    <t>158 * La Courneuve - 8 Mai 1945</t>
  </si>
  <si>
    <t>159 * Fort d'Aubervilliers</t>
  </si>
  <si>
    <t>160 * Aubervilliers - Pantin - Quatre Chemins</t>
  </si>
  <si>
    <t>161 * Porte de la Villette Cité des Sciences et de l'Industrie</t>
  </si>
  <si>
    <t>162 * Corentin Cariou</t>
  </si>
  <si>
    <t>163 * Crimée</t>
  </si>
  <si>
    <t>164 * Riquet</t>
  </si>
  <si>
    <t>165 * Stalingrad</t>
  </si>
  <si>
    <t>166 * Louis Blanc</t>
  </si>
  <si>
    <t>167 * Château-Landon</t>
  </si>
  <si>
    <t>168 * Gare de l'Est</t>
  </si>
  <si>
    <t>169 * Poissonnière</t>
  </si>
  <si>
    <t>170 * Cadet</t>
  </si>
  <si>
    <t>171 * Le Peletier</t>
  </si>
  <si>
    <t>172 * Chaussée d'Antin - La Fayette</t>
  </si>
  <si>
    <t>173 * Opéra</t>
  </si>
  <si>
    <t>174 * Pyramides</t>
  </si>
  <si>
    <t>175 * Palais-Royal - Musée du Louvre</t>
  </si>
  <si>
    <t>176 * Pont-Neuf</t>
  </si>
  <si>
    <t>177 * Châtelet</t>
  </si>
  <si>
    <t>178 * Pont Marie Cité des Arts</t>
  </si>
  <si>
    <t>179 * Sully - Morland</t>
  </si>
  <si>
    <t>180 * Jussieu</t>
  </si>
  <si>
    <t>181 * Place Monge Jardin des Plantes - Arènes de Lutèce</t>
  </si>
  <si>
    <t>182 * Censier - Daubenton</t>
  </si>
  <si>
    <t>183 * Les Gobelins</t>
  </si>
  <si>
    <t>184 * Place d'Italie</t>
  </si>
  <si>
    <t>185 * Tolbiac</t>
  </si>
  <si>
    <t>186 * Maison Blanche</t>
  </si>
  <si>
    <t>187 * Le Kremlin-Bicêtre</t>
  </si>
  <si>
    <t>188 * Villejuif - Léo Lagrange</t>
  </si>
  <si>
    <t>189 * Villejuif - Paul Vaillant-Couturier Hôpital Paul Brousse</t>
  </si>
  <si>
    <t>190 * Villejuif - Louis Aragon</t>
  </si>
  <si>
    <t>191 * Porte d'Italie</t>
  </si>
  <si>
    <t>192 * Porte de Choisy</t>
  </si>
  <si>
    <t>193 * Porte d'Ivry</t>
  </si>
  <si>
    <t>194 * Pierre et Marie Curie</t>
  </si>
  <si>
    <t>195 * Mairie d'Ivry</t>
  </si>
  <si>
    <t>196 * Louis Blanc</t>
  </si>
  <si>
    <t>197 * Jaurès</t>
  </si>
  <si>
    <t>198 * Bolivar</t>
  </si>
  <si>
    <t>199 * Buttes Chaumont</t>
  </si>
  <si>
    <t>200 * Botzaris</t>
  </si>
  <si>
    <t>201 * Danube</t>
  </si>
  <si>
    <t>202 * Place des Fêtes</t>
  </si>
  <si>
    <t>203 * Pré-Saint-Gervais</t>
  </si>
  <si>
    <t>204 * Balard</t>
  </si>
  <si>
    <t>205 * Lourmel</t>
  </si>
  <si>
    <t>206 * Boucicaut</t>
  </si>
  <si>
    <t>207 * Félix Faure</t>
  </si>
  <si>
    <t>208 * Commerce</t>
  </si>
  <si>
    <t>209 * La Motte-Picquet - Grenelle</t>
  </si>
  <si>
    <t>210 * École Militaire</t>
  </si>
  <si>
    <t>211 * La Tour-Maubourg</t>
  </si>
  <si>
    <t>212 * Invalides</t>
  </si>
  <si>
    <t>213 * Concorde</t>
  </si>
  <si>
    <t>214 * Madeleine</t>
  </si>
  <si>
    <t>215 * Opéra</t>
  </si>
  <si>
    <t>216 * Richelieu - Drouot</t>
  </si>
  <si>
    <t>217 * Grands Boulevards</t>
  </si>
  <si>
    <t>218 * Bonne-Nouvelle</t>
  </si>
  <si>
    <t>219 * Strasbourg - Saint-Denis</t>
  </si>
  <si>
    <t>220 * République</t>
  </si>
  <si>
    <t>221 * Filles du Calvaire</t>
  </si>
  <si>
    <t>222 * Saint-Sébastien - Froissart</t>
  </si>
  <si>
    <t>223 * Chemin Vert</t>
  </si>
  <si>
    <t>224 * Bastille</t>
  </si>
  <si>
    <t>225 * Ledru-Rollin</t>
  </si>
  <si>
    <t>226 * Faidherbe - Chaligny</t>
  </si>
  <si>
    <t>227 * Reuilly - Diderot</t>
  </si>
  <si>
    <t>228 * Montgallet</t>
  </si>
  <si>
    <t>229 * Daumesnil</t>
  </si>
  <si>
    <t>230 * Michel Bizot</t>
  </si>
  <si>
    <t>231 * Porte Dorée</t>
  </si>
  <si>
    <t>232 * Porte de Charenton</t>
  </si>
  <si>
    <t>233 * Liberté</t>
  </si>
  <si>
    <t>234 * Charenton - Écoles</t>
  </si>
  <si>
    <t>235 * École vétérinaire de Maisons-Alfort</t>
  </si>
  <si>
    <t>236 * Maisons-Alfort - Stade</t>
  </si>
  <si>
    <t>237 * Maisons-Alfort - Les Juilliottes</t>
  </si>
  <si>
    <t>238 * Créteil - L'Échat Hôpital Henri Mondor</t>
  </si>
  <si>
    <t>239 * Créteil - Université</t>
  </si>
  <si>
    <t>240 * Créteil - Préfecture Hôtel de Ville</t>
  </si>
  <si>
    <t>241 * Pointe du Lac</t>
  </si>
  <si>
    <t>242 * Pont de Sèvres</t>
  </si>
  <si>
    <t>243 * Billancourt</t>
  </si>
  <si>
    <t>244 * Marcel Sembat</t>
  </si>
  <si>
    <t>245 * Porte de Saint-Cloud Parc des Princes</t>
  </si>
  <si>
    <t>246 * Exelmans</t>
  </si>
  <si>
    <t>247 * Michel-Ange - Molitor</t>
  </si>
  <si>
    <t>248 * Michel-Ange - Auteuil</t>
  </si>
  <si>
    <t>249 * Jasmin</t>
  </si>
  <si>
    <t>250 * Ranelagh</t>
  </si>
  <si>
    <t>251 * La Muette</t>
  </si>
  <si>
    <t>252 * Rue de la Pompe</t>
  </si>
  <si>
    <t>253 * Trocadéro</t>
  </si>
  <si>
    <t>254 * Iéna</t>
  </si>
  <si>
    <t>255 * Alma - Marceau</t>
  </si>
  <si>
    <t>256 * Franklin D. Roosevelt</t>
  </si>
  <si>
    <t>257 * Saint-Philippe du Roule</t>
  </si>
  <si>
    <t>258 * Miromesnil</t>
  </si>
  <si>
    <t>259 * Saint-Augustin</t>
  </si>
  <si>
    <t>260 * Havre - Caumartin</t>
  </si>
  <si>
    <t>261 * Chaussée d'Antin - La Fayette</t>
  </si>
  <si>
    <t>262 * Richelieu - Drouot</t>
  </si>
  <si>
    <t>263 * Grands Boulevards</t>
  </si>
  <si>
    <t>264 * Bonne-Nouvelle</t>
  </si>
  <si>
    <t>265 * Strasbourg - Saint-Denis</t>
  </si>
  <si>
    <t>266 * République</t>
  </si>
  <si>
    <t>267 * Oberkampf</t>
  </si>
  <si>
    <t>268 * Saint-Ambroise</t>
  </si>
  <si>
    <t>269 * Voltaire</t>
  </si>
  <si>
    <t>270 * Charonne</t>
  </si>
  <si>
    <t>271 * Rue des Boulets</t>
  </si>
  <si>
    <t>272 * Nation</t>
  </si>
  <si>
    <t>273 * Buzenval</t>
  </si>
  <si>
    <t>274 * Maraîchers</t>
  </si>
  <si>
    <t>275 * Porte de Montreuil</t>
  </si>
  <si>
    <t>276 * Robespierre</t>
  </si>
  <si>
    <t>277 * Croix de Chavaux</t>
  </si>
  <si>
    <t>278 * Mairie de Montreuil</t>
  </si>
  <si>
    <t>279 * Boulogne - Pont de Saint-Cloud</t>
  </si>
  <si>
    <t>280 * Boulogne - Jean Jaurès</t>
  </si>
  <si>
    <t>281 * Porte d'Auteuil</t>
  </si>
  <si>
    <t>282 * Michel-Ange - Molitor</t>
  </si>
  <si>
    <t>283 * Michel-Ange - Auteuil</t>
  </si>
  <si>
    <t>284 * Chardon-Lagache</t>
  </si>
  <si>
    <t>285 * Église d'Auteuil</t>
  </si>
  <si>
    <t>286 * Mirabeau</t>
  </si>
  <si>
    <t>287 * Javel - André Citroën</t>
  </si>
  <si>
    <t>288 * Charles Michels</t>
  </si>
  <si>
    <t>289 * Avenue Émile-Zola</t>
  </si>
  <si>
    <t>290 * La Motte-Picquet - Grenelle</t>
  </si>
  <si>
    <t>291 * Ségur</t>
  </si>
  <si>
    <t>292 * Duroc</t>
  </si>
  <si>
    <t>293 * Vaneau</t>
  </si>
  <si>
    <t>294 * Sèvres - Babylone</t>
  </si>
  <si>
    <t>295 * Mabillon</t>
  </si>
  <si>
    <t>296 * Odéon</t>
  </si>
  <si>
    <t>297 * Cluny - La Sorbonne</t>
  </si>
  <si>
    <t>298 * Maubert - Mutualité</t>
  </si>
  <si>
    <t>299 * Cardinal Lemoine</t>
  </si>
  <si>
    <t>300 * Jussieu</t>
  </si>
  <si>
    <t>301 * Gare d'Austerlitz</t>
  </si>
  <si>
    <t>302 * Châtelet</t>
  </si>
  <si>
    <t>303 * Hôtel de Ville</t>
  </si>
  <si>
    <t>304 * Rambuteau Centre Georges Pompidou</t>
  </si>
  <si>
    <t>305 * Arts et Métiers</t>
  </si>
  <si>
    <t>306 * République</t>
  </si>
  <si>
    <t>307 * Goncourt Hôpital Saint-Louis</t>
  </si>
  <si>
    <t>308 * Belleville</t>
  </si>
  <si>
    <t>309 * Pyrénées</t>
  </si>
  <si>
    <t>310 * Jourdain</t>
  </si>
  <si>
    <t>311 * Place des Fêtes</t>
  </si>
  <si>
    <t>312 * Télégraphe</t>
  </si>
  <si>
    <t>313 * Porte des Lilas</t>
  </si>
  <si>
    <t>314 * Mairie des Lilas</t>
  </si>
  <si>
    <t>315 * Aubervilliers - Saint-Denis Front Populaire</t>
  </si>
  <si>
    <t>316 * Porte de la Chapelle</t>
  </si>
  <si>
    <t>317 * Marx Dormoy</t>
  </si>
  <si>
    <t>318 * Marcadet - Poissonniers</t>
  </si>
  <si>
    <t>319 * Jules Joffrin</t>
  </si>
  <si>
    <t>320 * Lamarck - Caulaincourt</t>
  </si>
  <si>
    <t>321 * Abbesses Butte Montmartre</t>
  </si>
  <si>
    <t>322 * Pigalle</t>
  </si>
  <si>
    <t>323 * Saint-Georges</t>
  </si>
  <si>
    <t>324 * Notre-Dame-de-Lorette</t>
  </si>
  <si>
    <t>325 * Trinité - d'Estienne d'Orves</t>
  </si>
  <si>
    <t>326 * Saint-Lazare</t>
  </si>
  <si>
    <t>327 * Madeleine</t>
  </si>
  <si>
    <t>328 * Concorde</t>
  </si>
  <si>
    <t>329 * Assemblée nationale</t>
  </si>
  <si>
    <t>330 * Solférino Musée d'Orsay</t>
  </si>
  <si>
    <t>331 * Rue du Bac</t>
  </si>
  <si>
    <t>332 * Sèvres - Babylone</t>
  </si>
  <si>
    <t>333 * Rennes</t>
  </si>
  <si>
    <t>334 * Notre-Dame-des-Champs</t>
  </si>
  <si>
    <t>335 * Montparnasse - Bienvenüe</t>
  </si>
  <si>
    <t>336 * Falguière</t>
  </si>
  <si>
    <t>337 * Pasteur</t>
  </si>
  <si>
    <t>338 * Volontaires</t>
  </si>
  <si>
    <t>339 * Vaugirard</t>
  </si>
  <si>
    <t>340 * Convention</t>
  </si>
  <si>
    <t>341 * Porte de Versailles Parc des Expositions</t>
  </si>
  <si>
    <t>342 * Corentin Celton</t>
  </si>
  <si>
    <t>343 * Mairie d'Issy</t>
  </si>
  <si>
    <t>344 * Asnières - Gennevilliers Les Courtilles</t>
  </si>
  <si>
    <t>345 * Les Agnettes</t>
  </si>
  <si>
    <t>346 * Gabriel Péri</t>
  </si>
  <si>
    <t>347 * Mairie de Clichy</t>
  </si>
  <si>
    <t>348 * Porte de Clichy</t>
  </si>
  <si>
    <t>349 * Brochant</t>
  </si>
  <si>
    <t>350 * Saint-Denis - Université</t>
  </si>
  <si>
    <t>351 * Basilique de Saint-Denis Hôtel de Ville</t>
  </si>
  <si>
    <t>352 * Saint-Denis - Porte de Paris Stade de France</t>
  </si>
  <si>
    <t>353 * Carrefour Pleyel</t>
  </si>
  <si>
    <t>354 * Mairie de Saint-Ouen</t>
  </si>
  <si>
    <t>355 * Garibaldi</t>
  </si>
  <si>
    <t>356 * Porte de Saint-Ouen</t>
  </si>
  <si>
    <t>357 * Guy Môquet</t>
  </si>
  <si>
    <t>358 * La Fourche</t>
  </si>
  <si>
    <t>359 * Place de Clichy</t>
  </si>
  <si>
    <t>360 * Liège</t>
  </si>
  <si>
    <t>361 * Saint-Lazare</t>
  </si>
  <si>
    <t>362 * Miromesnil</t>
  </si>
  <si>
    <t>363 * Champs-Élysées - Clemenceau</t>
  </si>
  <si>
    <t>364 * Invalides</t>
  </si>
  <si>
    <t>365 * Varenne</t>
  </si>
  <si>
    <t>366 * Saint-François-Xavier</t>
  </si>
  <si>
    <t>367 * Duroc</t>
  </si>
  <si>
    <t>368 * Montparnasse - Bienvenüe</t>
  </si>
  <si>
    <t>369 * Gaîté</t>
  </si>
  <si>
    <t>370 * Pernety</t>
  </si>
  <si>
    <t>371 * Plaisance</t>
  </si>
  <si>
    <t>372 * Porte de Vanves</t>
  </si>
  <si>
    <t>373 * Malakoff - Plateau de Vanves</t>
  </si>
  <si>
    <t>374 * Malakoff - Rue Étienne-Dolet</t>
  </si>
  <si>
    <t>375 * Châtillon - Montrouge</t>
  </si>
  <si>
    <t>376 * Saint-Lazare</t>
  </si>
  <si>
    <t>377 * Madeleine</t>
  </si>
  <si>
    <t>378 * Pyramides</t>
  </si>
  <si>
    <t>379 * Châtelet</t>
  </si>
  <si>
    <t>380 * Gare de Lyon</t>
  </si>
  <si>
    <t>381 * Bercy</t>
  </si>
  <si>
    <t>382 * Cour Saint-Émilion</t>
  </si>
  <si>
    <t>383 * Bibliothèque François-Mitterrand</t>
  </si>
  <si>
    <t>384 * Olympiades</t>
  </si>
  <si>
    <t>385 * Cergy-le-Haut</t>
  </si>
  <si>
    <t>386 * Cergy-Saint-Christophe</t>
  </si>
  <si>
    <t>387 * Cergy-Préfecture</t>
  </si>
  <si>
    <t>388 * Neuville-Université</t>
  </si>
  <si>
    <t>389 * Conflans-Fin-d'Oise</t>
  </si>
  <si>
    <t>390 * Achères-Ville</t>
  </si>
  <si>
    <t>391 * Poissy</t>
  </si>
  <si>
    <t>392 * Achères - Grand-Cormier</t>
  </si>
  <si>
    <t>393 * Maisons-Laffitte</t>
  </si>
  <si>
    <t>394 * Sartrouville</t>
  </si>
  <si>
    <t>395 * Houilles - Carrières-sur-Seine</t>
  </si>
  <si>
    <t>396 * Saint-Germain-en-Laye</t>
  </si>
  <si>
    <t>397 * Le Vésinet - Le Pecq</t>
  </si>
  <si>
    <t>398 * Le Vésinet-Centre</t>
  </si>
  <si>
    <t>399 * Chatou - Croissy</t>
  </si>
  <si>
    <t>400 * Rueil-Malmaison</t>
  </si>
  <si>
    <t>401 * Nanterre-Ville</t>
  </si>
  <si>
    <t>402 * Nanterre-Université</t>
  </si>
  <si>
    <t>403 * Nanterre-Préfecture</t>
  </si>
  <si>
    <t>404 * La Défense Grande Arche</t>
  </si>
  <si>
    <t>405 * Charles de Gaulle - Étoile</t>
  </si>
  <si>
    <t>406 * Auber</t>
  </si>
  <si>
    <t>407 * Châtelet - Les Halles</t>
  </si>
  <si>
    <t>408 * Gare de Lyon</t>
  </si>
  <si>
    <t>409 * Nation</t>
  </si>
  <si>
    <t>410 * Vincennes</t>
  </si>
  <si>
    <t>411 * Fontenay-sous-Bois</t>
  </si>
  <si>
    <t>412 * Nogent-sur-Marne</t>
  </si>
  <si>
    <t>413 * Joinville-le-Pont</t>
  </si>
  <si>
    <t>414 * Saint-Maur - Créteil</t>
  </si>
  <si>
    <t>415 * Le Parc de Saint-Maur</t>
  </si>
  <si>
    <t>416 * Champigny Saint-Maur</t>
  </si>
  <si>
    <t>417 * La Varenne - Chennevières</t>
  </si>
  <si>
    <t>418 * Sucy - Bonneuil</t>
  </si>
  <si>
    <t>419 * Boissy-Saint-Léger</t>
  </si>
  <si>
    <t>420 * Val de Fontenay</t>
  </si>
  <si>
    <t>421 * Neuilly-Plaisance</t>
  </si>
  <si>
    <t>422 * Bry-sur-Marne</t>
  </si>
  <si>
    <t>423 * Noisy-le-Grand - Mont d'Est</t>
  </si>
  <si>
    <t>424 * Noisy - Champs Champy - Nesles</t>
  </si>
  <si>
    <t>425 * Noisiel Le Luzard</t>
  </si>
  <si>
    <t>426 * Lognes Le Mandinet</t>
  </si>
  <si>
    <t>427 * Torcy</t>
  </si>
  <si>
    <t>428 * Bussy-Saint-Georges</t>
  </si>
  <si>
    <t>429 * Serris - Montévrain Val d'Europe</t>
  </si>
  <si>
    <t>430 * Marne-la-Vallée - Chessy Parcs Disneyland</t>
  </si>
  <si>
    <t>431 * Aéroport Charles-de-Gaulle 2 TGV</t>
  </si>
  <si>
    <t>432 * Aéroport Charles-de-Gaulle 1</t>
  </si>
  <si>
    <t>433 * Parc des Expositions</t>
  </si>
  <si>
    <t>434 * Villepinte</t>
  </si>
  <si>
    <t>435 * Sevran - Beaudottes</t>
  </si>
  <si>
    <t>436 * Mitry - Claye</t>
  </si>
  <si>
    <t>437 * Villeparisis - Mitry-le-Neuf</t>
  </si>
  <si>
    <t>438 * Vert-Galant</t>
  </si>
  <si>
    <t>439 * Sevran - Livry</t>
  </si>
  <si>
    <t>440 * Aulnay-sous-Bois</t>
  </si>
  <si>
    <t>441 * Le Blanc-Mesnil</t>
  </si>
  <si>
    <t>442 * Drancy</t>
  </si>
  <si>
    <t>443 * Le Bourget</t>
  </si>
  <si>
    <t>444 * La Courneuve - Aubervilliers</t>
  </si>
  <si>
    <t>445 * La Plaine - Stade de France Saint-Denis - Aubervilliers</t>
  </si>
  <si>
    <t>446 * Gare du Nord</t>
  </si>
  <si>
    <t>447 * Châtelet - Les Halles</t>
  </si>
  <si>
    <t>448 * Saint-Michel - Notre-Dame</t>
  </si>
  <si>
    <t>449 * Luxembourg Sénat</t>
  </si>
  <si>
    <t>450 * Port-Royal</t>
  </si>
  <si>
    <t>451 * Denfert-Rochereau</t>
  </si>
  <si>
    <t>452 * Cité Universitaire</t>
  </si>
  <si>
    <t>453 * Gentilly</t>
  </si>
  <si>
    <t>454 * Laplace</t>
  </si>
  <si>
    <t>455 * Arcueil - Cachan</t>
  </si>
  <si>
    <t>456 * Bagneux</t>
  </si>
  <si>
    <t>457 * Bourg-la-Reine</t>
  </si>
  <si>
    <t>458 * Sceaux</t>
  </si>
  <si>
    <t>459 * Fontenay-aux-Roses</t>
  </si>
  <si>
    <t>460 * Robinson</t>
  </si>
  <si>
    <t>461 * Parc de Sceaux</t>
  </si>
  <si>
    <t>462 * La Croix de Berny</t>
  </si>
  <si>
    <t>463 * Antony</t>
  </si>
  <si>
    <t>464 * Fontaine Michalon</t>
  </si>
  <si>
    <t>465 * Les Baconnets</t>
  </si>
  <si>
    <t>466 * Massy - Verrières</t>
  </si>
  <si>
    <t>467 * Massy - Palaiseau</t>
  </si>
  <si>
    <t>468 * Palaiseau</t>
  </si>
  <si>
    <t>469 * Palaiseau - Villebon</t>
  </si>
  <si>
    <t>470 * Lozère École polytechnique</t>
  </si>
  <si>
    <t>471 * Le Guichet</t>
  </si>
  <si>
    <t>472 * Orsay-Ville</t>
  </si>
  <si>
    <t>473 * Bures-sur-Yvette</t>
  </si>
  <si>
    <t>474 * La Hacquinière</t>
  </si>
  <si>
    <t>475 * Gif-sur-Yvette</t>
  </si>
  <si>
    <t>476 * Courcelle-sur-Yvette</t>
  </si>
  <si>
    <t>477 * Saint-Rémy-lès-Chevreuse</t>
  </si>
  <si>
    <t>478 * Pontoise</t>
  </si>
  <si>
    <t>479 * Saint-Ouen-l'Aumône</t>
  </si>
  <si>
    <t>480 * Saint-Ouen-l'Aumône-Liesse</t>
  </si>
  <si>
    <t>481 * Pierrelaye</t>
  </si>
  <si>
    <t>482 * Montigny - Beauchamp</t>
  </si>
  <si>
    <t>483 * Franconville - Le Plessis-Bouchard</t>
  </si>
  <si>
    <t>484 * Cernay</t>
  </si>
  <si>
    <t>485 * Ermont - Eaubonne</t>
  </si>
  <si>
    <t>486 * Saint-Gratien</t>
  </si>
  <si>
    <t>487 * Épinay-sur-Seine</t>
  </si>
  <si>
    <t>488 * Gennevilliers</t>
  </si>
  <si>
    <t>489 * Les Grésillons</t>
  </si>
  <si>
    <t>490 * Saint-Ouen</t>
  </si>
  <si>
    <t>491 * Porte de Clichy</t>
  </si>
  <si>
    <t>492 * Pereire - Levallois</t>
  </si>
  <si>
    <t>493 * Neuilly - Porte Maillot</t>
  </si>
  <si>
    <t>494 * Avenue Foch</t>
  </si>
  <si>
    <t>495 * Avenue Henri-Martin</t>
  </si>
  <si>
    <t>496 * Boulainvilliers</t>
  </si>
  <si>
    <t>497 * Avenue du Président-Kennedy</t>
  </si>
  <si>
    <t>498 * Saint-Quentin-en-Yvelines Montigny-le-Bretonneux</t>
  </si>
  <si>
    <t>499 * Saint-Cyr</t>
  </si>
  <si>
    <t>500 * Versailles-Chantiers</t>
  </si>
  <si>
    <t>501 * Versailles-Château-Rive-Gauche</t>
  </si>
  <si>
    <t>502 * Porchefontaine</t>
  </si>
  <si>
    <t>503 * Viroflay-Rive-Gauche</t>
  </si>
  <si>
    <t>504 * Chaville - Vélizy</t>
  </si>
  <si>
    <t>505 * Meudon-Val-Fleury</t>
  </si>
  <si>
    <t>506 * Issy</t>
  </si>
  <si>
    <t>507 * Issy - Val de Seine</t>
  </si>
  <si>
    <t>508 * Pont du Garigliano Hôpital Européen Georges-Pompidou</t>
  </si>
  <si>
    <t>509 * Javel</t>
  </si>
  <si>
    <t>510 * Champ de Mars - Tour Eiffel</t>
  </si>
  <si>
    <t>511 * Pont de l'Alma</t>
  </si>
  <si>
    <t>512 * Invalides</t>
  </si>
  <si>
    <t>513 * Musée d'Orsay</t>
  </si>
  <si>
    <t>514 * Saint-Michel - Notre-Dame</t>
  </si>
  <si>
    <t>515 * Paris-Austerlitz</t>
  </si>
  <si>
    <t>516 * Bibliothèque François-Mitterrand</t>
  </si>
  <si>
    <t>517 * Ivry-sur-Seine</t>
  </si>
  <si>
    <t>518 * Vitry-sur-Seine</t>
  </si>
  <si>
    <t>519 * Les Ardoines</t>
  </si>
  <si>
    <t>520 * Choisy-le-Roi</t>
  </si>
  <si>
    <t>521 * Petit Jouy - Les Loges</t>
  </si>
  <si>
    <t>522 * Jouy-en-Josas</t>
  </si>
  <si>
    <t>523 * Vauboyen</t>
  </si>
  <si>
    <t>524 * Bièvres</t>
  </si>
  <si>
    <t>525 * Igny</t>
  </si>
  <si>
    <t>526 * Massy - Palaiseau</t>
  </si>
  <si>
    <t>527 * Massy - Verrières</t>
  </si>
  <si>
    <t>528 * Chemin d'Antony</t>
  </si>
  <si>
    <t>529 * Rungis - La Fraternelle</t>
  </si>
  <si>
    <t>530 * Pont de Rungis - Aéroport d'Orly</t>
  </si>
  <si>
    <t>531 * Orly-Ville</t>
  </si>
  <si>
    <t>532 * Les Saules</t>
  </si>
  <si>
    <t>533 * Villeneuve-le-Roi</t>
  </si>
  <si>
    <t>534 * Ablon</t>
  </si>
  <si>
    <t>535 * Athis-Mons</t>
  </si>
  <si>
    <t>536 * Juvisy</t>
  </si>
  <si>
    <t>537 * Savigny-sur-Orge</t>
  </si>
  <si>
    <t>538 * Longjumeau</t>
  </si>
  <si>
    <t>539 * Chilly-Mazarin</t>
  </si>
  <si>
    <t>540 * Gravigny-Balizy</t>
  </si>
  <si>
    <t>541 * Petit Vaux</t>
  </si>
  <si>
    <t>542 * Épinay-sur-Orge</t>
  </si>
  <si>
    <t>543 * Sainte-Geneviève-des-Bois</t>
  </si>
  <si>
    <t>544 * Saint-Michel-sur-Orge</t>
  </si>
  <si>
    <t>545 * Brétigny</t>
  </si>
  <si>
    <t>546 * La Norville - Saint-Germain-lès-Arpajon</t>
  </si>
  <si>
    <t>547 * Arpajon</t>
  </si>
  <si>
    <t>548 * Égly</t>
  </si>
  <si>
    <t>549 * Breuillet - Bruyères-le-Châtel</t>
  </si>
  <si>
    <t>550 * Breuillet-Village</t>
  </si>
  <si>
    <t>551 * Saint-Chéron</t>
  </si>
  <si>
    <t>552 * Sermaise</t>
  </si>
  <si>
    <t>553 * Dourdan</t>
  </si>
  <si>
    <t>554 * Dourdan - La Forêt</t>
  </si>
  <si>
    <t>555 * Marolles-en-Hurepoix</t>
  </si>
  <si>
    <t>556 * Bouray</t>
  </si>
  <si>
    <t>557 * Lardy</t>
  </si>
  <si>
    <t>558 * Chamarande</t>
  </si>
  <si>
    <t>559 * Étréchy</t>
  </si>
  <si>
    <t>560 * Étampes</t>
  </si>
  <si>
    <t>561 * Saint-Martin-d'Étampes</t>
  </si>
  <si>
    <t>562 * Creil</t>
  </si>
  <si>
    <t>563 * Chantilly - Gouvieux</t>
  </si>
  <si>
    <t>564 * Orry-la-Ville - Coye</t>
  </si>
  <si>
    <t>565 * La Borne Blanche</t>
  </si>
  <si>
    <t>566 * Survilliers - Fosses</t>
  </si>
  <si>
    <t>567 * Louvres</t>
  </si>
  <si>
    <t>568 * Les Noues</t>
  </si>
  <si>
    <t>569 * Goussainville</t>
  </si>
  <si>
    <t>570 * Villiers-le-Bel - Gonesse - Arnouville</t>
  </si>
  <si>
    <t>571 * Garges - Sarcelles</t>
  </si>
  <si>
    <t>572 * Pierrefitte - Stains</t>
  </si>
  <si>
    <t>573 * Saint-Denis</t>
  </si>
  <si>
    <t>574 * Stade de France - Saint-Denis</t>
  </si>
  <si>
    <t>575 * Paris-Nord</t>
  </si>
  <si>
    <t>576 * Châtelet - Les Halles</t>
  </si>
  <si>
    <t>577 * Paris-Gare-de-Lyon</t>
  </si>
  <si>
    <t>578 * Maisons-Alfort - Alfortville</t>
  </si>
  <si>
    <t>579 * Le Vert de Maisons</t>
  </si>
  <si>
    <t>580 * Créteil-Pompadour</t>
  </si>
  <si>
    <t>581 * Villeneuve-Triage</t>
  </si>
  <si>
    <t>582 * Villeneuve-Saint-Georges</t>
  </si>
  <si>
    <t>583 * Montgeron - Crosne</t>
  </si>
  <si>
    <t>584 * Yerres</t>
  </si>
  <si>
    <t>585 * Brunoy</t>
  </si>
  <si>
    <t>586 * Boussy-Saint-Antoine</t>
  </si>
  <si>
    <t>587 * Combs-la-Ville - Quincy</t>
  </si>
  <si>
    <t>588 * Lieusaint - Moissy</t>
  </si>
  <si>
    <t>589 * Savigny-le-Temple - Nandy</t>
  </si>
  <si>
    <t>590 * Cesson</t>
  </si>
  <si>
    <t>591 * Le Mée</t>
  </si>
  <si>
    <t>592 * Vigneux-sur-Seine</t>
  </si>
  <si>
    <t>593 * Juvisy</t>
  </si>
  <si>
    <t>594 * Viry-Châtillon</t>
  </si>
  <si>
    <t>595 * Ris-Orangis</t>
  </si>
  <si>
    <t>596 * Grand Bourg-Val-de-Seine</t>
  </si>
  <si>
    <t>597 * Évry</t>
  </si>
  <si>
    <t>598 * Grigny-Centre</t>
  </si>
  <si>
    <t>599 * Orangis - Bois de l'Épine</t>
  </si>
  <si>
    <t>600 * Évry - Courcouronnes</t>
  </si>
  <si>
    <t>601 * Le Bras de Fer - Évry - Génopole</t>
  </si>
  <si>
    <t>602 * Corbeil-Essonnes</t>
  </si>
  <si>
    <t>603 * Essonnes - Robinson</t>
  </si>
  <si>
    <t>604 * Villabé</t>
  </si>
  <si>
    <t>605 * Le Plessis-Chenet</t>
  </si>
  <si>
    <t>606 * Le Coudray-Montceaux</t>
  </si>
  <si>
    <t>607 * Saint-Fargeau</t>
  </si>
  <si>
    <t>608 * Ponthierry - Pringy</t>
  </si>
  <si>
    <t>609 * Boissise-le-Roi</t>
  </si>
  <si>
    <t>610 * Vosves</t>
  </si>
  <si>
    <t>611 * Melun</t>
  </si>
  <si>
    <t>612 * Moulin-Galant</t>
  </si>
  <si>
    <t>613 * Mennecy</t>
  </si>
  <si>
    <t>614 * Ballancourt</t>
  </si>
  <si>
    <t>615 * La Ferté-Alais</t>
  </si>
  <si>
    <t>616 * Boutigny</t>
  </si>
  <si>
    <t>617 * Maisse</t>
  </si>
  <si>
    <t>618 * Buno - Gironville</t>
  </si>
  <si>
    <t>619 * Boigneville</t>
  </si>
  <si>
    <t>620 * Malesherbes</t>
  </si>
  <si>
    <t>621 * Haussmann - Saint-Lazare</t>
  </si>
  <si>
    <t>622 * Magenta</t>
  </si>
  <si>
    <t>623 * Rosa-Parks</t>
  </si>
  <si>
    <t>624 * Pantin</t>
  </si>
  <si>
    <t>625 * Noisy-le-Sec</t>
  </si>
  <si>
    <t>626 * Bondy</t>
  </si>
  <si>
    <t>627 * Le Raincy - Villemomble - Montfermeil</t>
  </si>
  <si>
    <t>628 * Gagny</t>
  </si>
  <si>
    <t>629 * Le Chénay-Gagny</t>
  </si>
  <si>
    <t>630 * Chelles - Gournay</t>
  </si>
  <si>
    <t>631 * Rosny-Bois-Perrier</t>
  </si>
  <si>
    <t>632 * Rosny-sous-Bois</t>
  </si>
  <si>
    <t>633 * Val de Fontenay</t>
  </si>
  <si>
    <t>634 * Nogent - Le Perreux</t>
  </si>
  <si>
    <t>635 * Les Boullereaux-Champigny</t>
  </si>
  <si>
    <t>636 * Villiers-sur-Marne - Le Plessis-Trévise</t>
  </si>
  <si>
    <t>637 * Les Yvris-Noisy-le-Grand</t>
  </si>
  <si>
    <t>638 * Émerainville - Pontault-Combault</t>
  </si>
  <si>
    <t>639 * Roissy-en-Brie</t>
  </si>
  <si>
    <t>640 * Ozoir-la-Ferrière</t>
  </si>
  <si>
    <t>641 * Gretz-Armainvilliers</t>
  </si>
  <si>
    <t>642 * Tournan</t>
  </si>
  <si>
    <t>643 * Asnières - Gennevilliers Les Courtilles</t>
  </si>
  <si>
    <t>644 * Le Luth</t>
  </si>
  <si>
    <t>645 * Le Village</t>
  </si>
  <si>
    <t>646 * Timbaud</t>
  </si>
  <si>
    <t>647 * Gare de Gennevilliers</t>
  </si>
  <si>
    <t>648 * Parc des Chanteraines</t>
  </si>
  <si>
    <t>649 * Chemin des Reniers</t>
  </si>
  <si>
    <t>650 * La Noue</t>
  </si>
  <si>
    <t>651 * Mairie de Villeneuve-la-Garenne</t>
  </si>
  <si>
    <t>652 * L'Île-Saint-Denis</t>
  </si>
  <si>
    <t>653 * Gare de Saint-Denis</t>
  </si>
  <si>
    <t>654 * Théâtre Gérard Philipe</t>
  </si>
  <si>
    <t>655 * Marché de Saint-Denis</t>
  </si>
  <si>
    <t>656 * Basilique de Saint-Denis Hôtel de Ville</t>
  </si>
  <si>
    <t>657 * Cimetière de Saint-Denis</t>
  </si>
  <si>
    <t>658 * Hôpital Delafontaine</t>
  </si>
  <si>
    <t>659 * Cosmonautes</t>
  </si>
  <si>
    <t>660 * La Courneuve - Six Routes</t>
  </si>
  <si>
    <t>661 * Hôtel de Ville de La Courneuve</t>
  </si>
  <si>
    <t>662 * Stade Géo André</t>
  </si>
  <si>
    <t>663 * Danton</t>
  </si>
  <si>
    <t>664 * La Courneuve - 8 Mai 1945</t>
  </si>
  <si>
    <t>665 * Maurice Lachâtre</t>
  </si>
  <si>
    <t>666 * Drancy-Avenir</t>
  </si>
  <si>
    <t>667 * Hôpital Avicenne</t>
  </si>
  <si>
    <t>668 * Gaston Roulaud</t>
  </si>
  <si>
    <t>669 * Escadrille Normandie-Niémen</t>
  </si>
  <si>
    <t>670 * La Ferme</t>
  </si>
  <si>
    <t>671 * Libération</t>
  </si>
  <si>
    <t>672 * Hôtel de Ville de Bobigny Maison de la Culture</t>
  </si>
  <si>
    <t>673 * Bobigny - Pablo Picasso Préfecture - Hôtel du Département</t>
  </si>
  <si>
    <t>674 * Jean Rostand</t>
  </si>
  <si>
    <t>675 * Auguste Delaune</t>
  </si>
  <si>
    <t>676 * Pont de Bondy</t>
  </si>
  <si>
    <t>677 * Petit Noisy</t>
  </si>
  <si>
    <t>678 * Gare de Noisy-le-Sec</t>
  </si>
  <si>
    <t>679 * Pont de Bezons</t>
  </si>
  <si>
    <t>680 * Parc Pierre Lagravère</t>
  </si>
  <si>
    <t>681 * Victor Basch</t>
  </si>
  <si>
    <t>682 * Jacqueline Auriol</t>
  </si>
  <si>
    <t>683 * Charlebourg</t>
  </si>
  <si>
    <t>684 * Les Fauvelles</t>
  </si>
  <si>
    <t>685 * Faubourg de l'Arche</t>
  </si>
  <si>
    <t>686 * La Défense Grande Arche</t>
  </si>
  <si>
    <t>687 * Puteaux</t>
  </si>
  <si>
    <t>688 * Belvédère</t>
  </si>
  <si>
    <t>689 * Suresnes-Longchamp</t>
  </si>
  <si>
    <t>690 * Les Coteaux</t>
  </si>
  <si>
    <t>691 * Les Milons</t>
  </si>
  <si>
    <t>692 * Parc de Saint-Cloud</t>
  </si>
  <si>
    <t>693 * Musée de Sèvres</t>
  </si>
  <si>
    <t>694 * Brimborion</t>
  </si>
  <si>
    <t>695 * Meudon-sur-Seine</t>
  </si>
  <si>
    <t>696 * Les Moulineaux</t>
  </si>
  <si>
    <t>697 * Jacques-Henri Lartigue</t>
  </si>
  <si>
    <t>698 * Issy - Val de Seine</t>
  </si>
  <si>
    <t>699 * Henri Farman Porte de Seine</t>
  </si>
  <si>
    <t>700 * Suzanne Lenglen Éliane Jeannin-Garreau</t>
  </si>
  <si>
    <t>701 * Porte d'Issy</t>
  </si>
  <si>
    <t>702 * Porte de Versailles Parc des Expositions</t>
  </si>
  <si>
    <t>703 * Pont du Garigliano Hôpital Européen Georges-Pompidou</t>
  </si>
  <si>
    <t>704 * Balard</t>
  </si>
  <si>
    <t>705 * Desnouettes</t>
  </si>
  <si>
    <t>706 * Porte de Versailles Parc des Expositions</t>
  </si>
  <si>
    <t>707 * Georges Brassens</t>
  </si>
  <si>
    <t>708 * Brancion</t>
  </si>
  <si>
    <t>709 * Porte de Vanves</t>
  </si>
  <si>
    <t>710 * Didot</t>
  </si>
  <si>
    <t>711 * Jean Moulin</t>
  </si>
  <si>
    <t>712 * Porte d'Orléans</t>
  </si>
  <si>
    <t>713 * Montsouris</t>
  </si>
  <si>
    <t>714 * Cité Universitaire</t>
  </si>
  <si>
    <t>715 * Stade Charléty Porte de Gentilly</t>
  </si>
  <si>
    <t>716 * Poterne des Peupliers</t>
  </si>
  <si>
    <t>717 * Porte d'Italie</t>
  </si>
  <si>
    <t>718 * Porte de Choisy</t>
  </si>
  <si>
    <t>719 * Porte d'Ivry</t>
  </si>
  <si>
    <t>720 * Maryse Bastié</t>
  </si>
  <si>
    <t>721 * Avenue de France</t>
  </si>
  <si>
    <t>722 * Baron Le Roy</t>
  </si>
  <si>
    <t>723 * Porte de Charenton</t>
  </si>
  <si>
    <t>724 * Porte Dorée</t>
  </si>
  <si>
    <t>725 * Montempoivre</t>
  </si>
  <si>
    <t>726 * Alexandra David-Néel</t>
  </si>
  <si>
    <t>727 * Porte de Vincennes</t>
  </si>
  <si>
    <t>728 * Porte de Vincennes</t>
  </si>
  <si>
    <t>729 * Porte de Montreuil</t>
  </si>
  <si>
    <t>730 * Marie de Miribel</t>
  </si>
  <si>
    <t>731 * Porte de Bagnolet</t>
  </si>
  <si>
    <t>732 * Séverine</t>
  </si>
  <si>
    <t>733 * Adrienne Bolland</t>
  </si>
  <si>
    <t>734 * Porte des Lilas</t>
  </si>
  <si>
    <t>735 * Hôpital Robert-Debré</t>
  </si>
  <si>
    <t>736 * Butte du Chapeau Rouge</t>
  </si>
  <si>
    <t>737 * Porte de Pantin Parc de la Villette</t>
  </si>
  <si>
    <t>738 * Delphine Seyrig</t>
  </si>
  <si>
    <t>739 * Ella Fitzgerald Grands Moulins de Pantin</t>
  </si>
  <si>
    <t>740 * Porte de la Villette Cité des Sciences et de l'Industrie</t>
  </si>
  <si>
    <t>741 * Canal Saint-Denis</t>
  </si>
  <si>
    <t>742 * Rosa-Parks</t>
  </si>
  <si>
    <t>743 * Porte d'Aubervilliers</t>
  </si>
  <si>
    <t>744 * Colette Besson</t>
  </si>
  <si>
    <t>745 * Porte de la Chapelle</t>
  </si>
  <si>
    <t>746 * Diane Arbus Porte des Poissonniers</t>
  </si>
  <si>
    <t>747 * Porte de Clignancourt Puces de Saint-Ouen</t>
  </si>
  <si>
    <t>748 * Angélique Compoint Porte de Montmartre</t>
  </si>
  <si>
    <t>749 * Porte de Saint-Ouen</t>
  </si>
  <si>
    <t>750 * Épinettes - Pouchet</t>
  </si>
  <si>
    <t>751 * Honoré de Balzac</t>
  </si>
  <si>
    <t>752 * Porte de Clichy Tribunal de Paris</t>
  </si>
  <si>
    <t>753 * Porte d'Asnières - Marguerite Long</t>
  </si>
  <si>
    <t>754 * Bondy</t>
  </si>
  <si>
    <t>755 * La Remise à Jorelle</t>
  </si>
  <si>
    <t>756 * Les Coquetiers</t>
  </si>
  <si>
    <t>757 * Allée de la Tour - Rendez-Vous</t>
  </si>
  <si>
    <t>758 * Les Pavillons-sous-Bois</t>
  </si>
  <si>
    <t>759 * GarganN 4</t>
  </si>
  <si>
    <t>760 * Lycée Henri Sellier</t>
  </si>
  <si>
    <t>761 * L'Abbaye</t>
  </si>
  <si>
    <t>762 * Freinville - Sevran</t>
  </si>
  <si>
    <t>763 * Rougemont - Chanteloup</t>
  </si>
  <si>
    <t>764 * Aulnay-sous-Bois</t>
  </si>
  <si>
    <t>765 * Marché de Saint-Denis</t>
  </si>
  <si>
    <t>766 * Baudelaire</t>
  </si>
  <si>
    <t>767 * Roger Sémat</t>
  </si>
  <si>
    <t>768 * Guynemer Stade Auguste Delaune</t>
  </si>
  <si>
    <t>769 * Petit Pierrefitte</t>
  </si>
  <si>
    <t>770 * Joncherolles</t>
  </si>
  <si>
    <t>771 * Suzanne Valadon</t>
  </si>
  <si>
    <t>772 * Mairie de Pierrefitte</t>
  </si>
  <si>
    <t>773 * Alcide d'Orbigny</t>
  </si>
  <si>
    <t>774 * Jacques Prévert</t>
  </si>
  <si>
    <t>775 * Butte Pinson Parc Régional</t>
  </si>
  <si>
    <t>776 * Les Cholettes</t>
  </si>
  <si>
    <t>777 * Les Flanades</t>
  </si>
  <si>
    <t>778 * Paul Valéry</t>
  </si>
  <si>
    <t>779 * Lochères</t>
  </si>
  <si>
    <t>780 * Garges - Sarcelles</t>
  </si>
  <si>
    <t>781 * Châtillon - Montrouge</t>
  </si>
  <si>
    <t>782 * Vauban</t>
  </si>
  <si>
    <t>783 * Centre de Châtillon</t>
  </si>
  <si>
    <t>784 * Parc André Malraux</t>
  </si>
  <si>
    <t>785 * Division Leclerc</t>
  </si>
  <si>
    <t>786 * Soleil Levant</t>
  </si>
  <si>
    <t>787 * Hôpital Béclère</t>
  </si>
  <si>
    <t>788 * Mail de la Plaine</t>
  </si>
  <si>
    <t>789 * Pavé Blanc Parc Novéos</t>
  </si>
  <si>
    <t>790 * Georges Pompidou</t>
  </si>
  <si>
    <t>791 * Georges Millandy</t>
  </si>
  <si>
    <t>792 * Meudon-la-Forêt</t>
  </si>
  <si>
    <t>793 * Vélizy 2</t>
  </si>
  <si>
    <t>794 * Dewoitine</t>
  </si>
  <si>
    <t>795 * Inovel Parc Nord</t>
  </si>
  <si>
    <t>796 * Louvois</t>
  </si>
  <si>
    <t>797 * Mairie de Vélizy</t>
  </si>
  <si>
    <t>798 * L'Onde Maison des Arts</t>
  </si>
  <si>
    <t>799 * Robert Wagner</t>
  </si>
  <si>
    <t>800 * Viroflay-Rive-Gauche</t>
  </si>
  <si>
    <t>801 * Viroflay-Rive-Droite</t>
  </si>
  <si>
    <t>802 * Villejuif - Louis Aragon</t>
  </si>
  <si>
    <t>803 * Lamartine</t>
  </si>
  <si>
    <t>804 * Domaine Chérioux</t>
  </si>
  <si>
    <t>805 * Moulin Vert</t>
  </si>
  <si>
    <t>806 * Bretagne</t>
  </si>
  <si>
    <t>807 * Auguste Perret Cimetière Parisien</t>
  </si>
  <si>
    <t>808 * Porte de Thiais Marché International</t>
  </si>
  <si>
    <t>809 * La Belle Épine</t>
  </si>
  <si>
    <t>810 * Place de la Logistique Plateforme Sogaris</t>
  </si>
  <si>
    <t>811 * Porte de Rungis</t>
  </si>
  <si>
    <t>812 * Saarinen Parc Silic Nord</t>
  </si>
  <si>
    <t>813 * Robert Schuman Parc Silic Centre</t>
  </si>
  <si>
    <t>814 * La Fraternelle</t>
  </si>
  <si>
    <t>815 * Hélène Boucher Orlytech</t>
  </si>
  <si>
    <t>816 * Caroline Aigle Orlyfret</t>
  </si>
  <si>
    <t>817 * Cœur d'Orly</t>
  </si>
  <si>
    <t>818 * Aéroport d'Orly</t>
  </si>
  <si>
    <t>819 * Athis-Mons - Porte de l'Essonne</t>
  </si>
  <si>
    <t>820 * Saint-Denis - Porte de Paris</t>
  </si>
  <si>
    <t>821 * Pierre De Geyter</t>
  </si>
  <si>
    <t>822 * Saint-Denis - Gare</t>
  </si>
  <si>
    <t>823 * Paul Éluard</t>
  </si>
  <si>
    <t>824 * Delaunay-Belleville</t>
  </si>
  <si>
    <t>825 * César</t>
  </si>
  <si>
    <t>826 * Jean Vilar</t>
  </si>
  <si>
    <t>827 * Pablo Neruda</t>
  </si>
  <si>
    <t>828 * Villetaneuse-Université</t>
  </si>
  <si>
    <t>829 * Blumenthal</t>
  </si>
  <si>
    <t>830 * Les Mobiles</t>
  </si>
  <si>
    <t>831 * Les Béatus</t>
  </si>
  <si>
    <t>832 * Rose Bertin Centre commercial l'Ilo</t>
  </si>
  <si>
    <t>833 * Lacépède</t>
  </si>
  <si>
    <t>834 * Gilbert Bonnemaison</t>
  </si>
  <si>
    <t>835 * Épinay-sur-Seine</t>
  </si>
  <si>
    <t>836 * Épinay-Orgemont</t>
  </si>
  <si>
    <t>837 * Épinay-sur-Seine</t>
  </si>
  <si>
    <t>838 * Épinay - Villetaneuse Montmagny</t>
  </si>
  <si>
    <t>839 * Villetaneuse-Université</t>
  </si>
  <si>
    <t>840 * Pierrefitte - Stains</t>
  </si>
  <si>
    <t>841 * Stains-La Cerisaie</t>
  </si>
  <si>
    <t>842 * Dugny - La Courneuve Parc Georges Valbon</t>
  </si>
  <si>
    <t>843 * Le Bourget</t>
  </si>
  <si>
    <t>844 * Paris-Nord</t>
  </si>
  <si>
    <t>845 * Saint-Denis</t>
  </si>
  <si>
    <t>846 * Épinay - Villetaneuse Montmagny</t>
  </si>
  <si>
    <t>847 * Deuil - Montmagny</t>
  </si>
  <si>
    <t>848 * Groslay</t>
  </si>
  <si>
    <t>849 * Sarcelles - Saint-Brice</t>
  </si>
  <si>
    <t>850 * Écouen - Ézanville</t>
  </si>
  <si>
    <t>851 * Domont</t>
  </si>
  <si>
    <t>852 * Bouffémont - Moisselles</t>
  </si>
  <si>
    <t>853 * Montsoult - Maffliers</t>
  </si>
  <si>
    <t>854 * Villaines</t>
  </si>
  <si>
    <t>855 * Belloy - Saint-Martin</t>
  </si>
  <si>
    <t>856 * Viarmes</t>
  </si>
  <si>
    <t>857 * Seugy</t>
  </si>
  <si>
    <t>858 * Luzarches</t>
  </si>
  <si>
    <t>859 * Presles-Courcelles</t>
  </si>
  <si>
    <t>860 * Nointel - Mours</t>
  </si>
  <si>
    <t>861 * La Barre - Ormesson</t>
  </si>
  <si>
    <t>862 * Enghien-les-Bains</t>
  </si>
  <si>
    <t>863 * Champ de courses d'Enghien Commune de Soisy-sous-Montmorency</t>
  </si>
  <si>
    <t>864 * Ermont - Eaubonne</t>
  </si>
  <si>
    <t>865 * Ermont-Halte</t>
  </si>
  <si>
    <t>866 * Gros Noyer - Saint-Prix</t>
  </si>
  <si>
    <t>867 * Saint-Leu-la-Forêt</t>
  </si>
  <si>
    <t>868 * Vaucelles</t>
  </si>
  <si>
    <t>869 * Taverny</t>
  </si>
  <si>
    <t>870 * Bessancourt</t>
  </si>
  <si>
    <t>871 * Frépillon</t>
  </si>
  <si>
    <t>872 * Méry-sur-Oise</t>
  </si>
  <si>
    <t>873 * Mériel</t>
  </si>
  <si>
    <t>874 * Valmondois</t>
  </si>
  <si>
    <t>875 * Cernay</t>
  </si>
  <si>
    <t>876 * Franconville - Le Plessis-Bouchard</t>
  </si>
  <si>
    <t>877 * Montigny - Beauchamp</t>
  </si>
  <si>
    <t>878 * Pierrelaye</t>
  </si>
  <si>
    <t>879 * Saint-Ouen-l'Aumône-Liesse</t>
  </si>
  <si>
    <t>880 * Saint-Ouen-l'Aumône</t>
  </si>
  <si>
    <t>881 * Pontoise</t>
  </si>
  <si>
    <t>882 * Épluches</t>
  </si>
  <si>
    <t>883 * Pont-Petit</t>
  </si>
  <si>
    <t>884 * Chaponval</t>
  </si>
  <si>
    <t>885 * Auvers-sur-Oise</t>
  </si>
  <si>
    <t>886 * L'Isle-Adam - Parmain</t>
  </si>
  <si>
    <t xml:space="preserve">887 * Champagne-sur-Oise	</t>
  </si>
  <si>
    <t xml:space="preserve">888 * Persan - Beaumont	</t>
  </si>
  <si>
    <t>889 * Bruyères-sur-Oise</t>
  </si>
  <si>
    <t>890 * Boran-sur-Oise</t>
  </si>
  <si>
    <t>891 * Précy-sur-Oise</t>
  </si>
  <si>
    <t xml:space="preserve">892 * Saint-Leu-d'Esserent	</t>
  </si>
  <si>
    <t>893 * Creil</t>
  </si>
  <si>
    <t>894 * Mantes-la-Jolie</t>
  </si>
  <si>
    <t>895 * Mantes-Station</t>
  </si>
  <si>
    <t>896 * Limay</t>
  </si>
  <si>
    <t>897 * Issou - Porcheville</t>
  </si>
  <si>
    <t>898 * Gargenville</t>
  </si>
  <si>
    <t>899 * Juziers</t>
  </si>
  <si>
    <t>900 * Meulan - Hardricourt</t>
  </si>
  <si>
    <t>901 * Thun-le-Paradis</t>
  </si>
  <si>
    <t>902 * Vaux-sur-Seine</t>
  </si>
  <si>
    <t>903 * Triel-sur-Seine</t>
  </si>
  <si>
    <t>904 * Chanteloup-les-Vignes</t>
  </si>
  <si>
    <t>905 * Andrésy</t>
  </si>
  <si>
    <t>906 * Maurecourt</t>
  </si>
  <si>
    <t>907 * Conflans-Fin-d'Oise</t>
  </si>
  <si>
    <t>908 * Gisors</t>
  </si>
  <si>
    <t>909 * Trie-Château</t>
  </si>
  <si>
    <t>910 * Chaumont-en-Vexin</t>
  </si>
  <si>
    <t>911 * Liancourt-Saint-Pierre</t>
  </si>
  <si>
    <t>912 * Lavilletertre</t>
  </si>
  <si>
    <t>913 * Chars</t>
  </si>
  <si>
    <t>914 * Santeuil - Le Perchay</t>
  </si>
  <si>
    <t>915 * Us</t>
  </si>
  <si>
    <t>916 * Montgeroult - Courcelles</t>
  </si>
  <si>
    <t>917 * Boissy-l'Aillerie</t>
  </si>
  <si>
    <t>918 * Osny</t>
  </si>
  <si>
    <t>919 * Pontoise</t>
  </si>
  <si>
    <t>920 * Saint-Ouen-l'Aumône-Quartier de l'Église</t>
  </si>
  <si>
    <t>921 * Éragny - Neuville</t>
  </si>
  <si>
    <t>922 * Conflans-Sainte-Honorine</t>
  </si>
  <si>
    <t>923 * Herblay</t>
  </si>
  <si>
    <t>924 * La Frette - Montigny</t>
  </si>
  <si>
    <t>925 * Cormeilles-en-Parisis</t>
  </si>
  <si>
    <t>926 * Val-d'Argenteuil</t>
  </si>
  <si>
    <t>927 * Ermont - Eaubonne</t>
  </si>
  <si>
    <t>928 * Sannois</t>
  </si>
  <si>
    <t>929 * Argenteuil</t>
  </si>
  <si>
    <t>930 * Le Stade</t>
  </si>
  <si>
    <t>931 * Colombes</t>
  </si>
  <si>
    <t>932 * Bois-Colombes</t>
  </si>
  <si>
    <t>933 * Asnières-sur-Seine</t>
  </si>
  <si>
    <t>934 * Paris-Saint-Lazare</t>
  </si>
  <si>
    <t>935 * Vernon - Giverny</t>
  </si>
  <si>
    <t>936 * Bonnières</t>
  </si>
  <si>
    <t>937 * Rosny-sur-Seine</t>
  </si>
  <si>
    <t>938 * Épône - Mézières</t>
  </si>
  <si>
    <t>939 * Aubergenville-Élisabethville</t>
  </si>
  <si>
    <t>940 * Les Mureaux</t>
  </si>
  <si>
    <t>941 * Les Clairières de Verneuil</t>
  </si>
  <si>
    <t>942 * Vernouillet - Verneuil</t>
  </si>
  <si>
    <t>943 * Villennes-sur-Seine</t>
  </si>
  <si>
    <t>944 * Poissy</t>
  </si>
  <si>
    <t>945 * Houilles - Carrières-sur-Seine</t>
  </si>
  <si>
    <t>946 * Paris-Nord</t>
  </si>
  <si>
    <t>947 * Aulnay-sous-Bois</t>
  </si>
  <si>
    <t>948 * Mitry - Claye</t>
  </si>
  <si>
    <t>949 * Compans</t>
  </si>
  <si>
    <t>950 * Thieux - Nantouillet</t>
  </si>
  <si>
    <t>951 * Dammartin - Juilly - Saint-Mard</t>
  </si>
  <si>
    <t>952 * Le Plessis-Belleville</t>
  </si>
  <si>
    <t>953 * Nanteuil-le-Haudouin</t>
  </si>
  <si>
    <t>954 * Ormoy-Villers</t>
  </si>
  <si>
    <t>955 * Crépy-en-Valois</t>
  </si>
  <si>
    <t>956 * Cergy-le-Haut</t>
  </si>
  <si>
    <t>957 * Cergy-Saint-Christophe</t>
  </si>
  <si>
    <t>958 * Cergy-Préfecture</t>
  </si>
  <si>
    <t>959 * Neuville-Université</t>
  </si>
  <si>
    <t>960 * Conflans-Fin-d'Oise</t>
  </si>
  <si>
    <t>961 * Achères-Ville</t>
  </si>
  <si>
    <t>962 * Maisons-Laffitte</t>
  </si>
  <si>
    <t>963 * Sartrouville</t>
  </si>
  <si>
    <t>964 * Houilles - Carrières-sur-Seine</t>
  </si>
  <si>
    <t>965 * Nanterre-Université</t>
  </si>
  <si>
    <t>966 * La Garenne-Colombes</t>
  </si>
  <si>
    <t>967 * Les Vallées</t>
  </si>
  <si>
    <t>968 * Versailles-Rive-Droite</t>
  </si>
  <si>
    <t>969 * Montreuil</t>
  </si>
  <si>
    <t>970 * Viroflay-Rive-Droite</t>
  </si>
  <si>
    <t>971 * Chaville-Rive-Droite</t>
  </si>
  <si>
    <t>972 * Sèvres - Ville-d'Avray</t>
  </si>
  <si>
    <t>973 * Saint-Nom-la-Bretèche - Forêt de Marly</t>
  </si>
  <si>
    <t>974 * L'Étang-la-Ville</t>
  </si>
  <si>
    <t>975 * Marly-le-Roi</t>
  </si>
  <si>
    <t>976 * Louveciennes</t>
  </si>
  <si>
    <t>977 * Bougival</t>
  </si>
  <si>
    <t>978 * La Celle-Saint-Cloud</t>
  </si>
  <si>
    <t>979 * Vaucresson</t>
  </si>
  <si>
    <t>980 * Garches - Marnes-la-Coquette</t>
  </si>
  <si>
    <t>981 * Saint-Cloud</t>
  </si>
  <si>
    <t>982 * Le Val d'Or</t>
  </si>
  <si>
    <t>983 * Suresnes-Mont-Valérien</t>
  </si>
  <si>
    <t>984 * Puteaux</t>
  </si>
  <si>
    <t>985 * La Défense Grande Arche</t>
  </si>
  <si>
    <t>986 * Courbevoie</t>
  </si>
  <si>
    <t>987 * Bécon-les-Bruyères</t>
  </si>
  <si>
    <t>988 * Asnières-sur-Seine</t>
  </si>
  <si>
    <t>989 * Clichy - Levallois</t>
  </si>
  <si>
    <t>990 * Pont-Cardinet</t>
  </si>
  <si>
    <t>991 * Paris-Saint-Lazare</t>
  </si>
  <si>
    <t>992 * Noisy-le-Roi</t>
  </si>
  <si>
    <t>993 * Mareil-Marly</t>
  </si>
  <si>
    <t>994 * Saint-Germain-en-Laye-Bel-Air - Fourqueux</t>
  </si>
  <si>
    <t>995 * Saint-Germain-en-Laye-Grande-Ceinture</t>
  </si>
  <si>
    <t>996 * Paris-Montparnasse</t>
  </si>
  <si>
    <t>997 * Vanves - Malakoff</t>
  </si>
  <si>
    <t>998 * Clamart</t>
  </si>
  <si>
    <t>999 * Meudon</t>
  </si>
  <si>
    <t>1000 * Bellevue</t>
  </si>
  <si>
    <t>1001 * Sèvres-Rive-Gauche</t>
  </si>
  <si>
    <t>1002 * Chaville-Rive-Gauche</t>
  </si>
  <si>
    <t>1003 * Viroflay-Rive-Gauche</t>
  </si>
  <si>
    <t>1004 * Versailles-Chantiers</t>
  </si>
  <si>
    <t>1005 * Saint-Cyr</t>
  </si>
  <si>
    <t>1006 * Fontenay-le-Fleury</t>
  </si>
  <si>
    <t>1007 * Villepreux - Les Clayes</t>
  </si>
  <si>
    <t>1008 * Plaisir - Les Clayes</t>
  </si>
  <si>
    <t>1009 * Plaisir - Grignon</t>
  </si>
  <si>
    <t>1010 * Villiers - Neauphle - Pontchartrain</t>
  </si>
  <si>
    <t>1011 * Montfort-l'Amaury - Méré</t>
  </si>
  <si>
    <t>1012 * Garancières - La Queue</t>
  </si>
  <si>
    <t>1013 * Orgerus - Béhoust</t>
  </si>
  <si>
    <t>1014 * Tacoignières - Richebourg</t>
  </si>
  <si>
    <t>1015 * Houdan</t>
  </si>
  <si>
    <t>1016 * Marchezais - Broué</t>
  </si>
  <si>
    <t>1017 * Dreux</t>
  </si>
  <si>
    <t>1018 * Beynes</t>
  </si>
  <si>
    <t>1019 * Mareil-sur-Mauldre</t>
  </si>
  <si>
    <t>1020 * Maule</t>
  </si>
  <si>
    <t>1021 * Nézel - Aulnay</t>
  </si>
  <si>
    <t>1022 * Épône - Mézières</t>
  </si>
  <si>
    <t>1023 * Mantes-la-Jolie</t>
  </si>
  <si>
    <t>1024 * Saint-Quentin-en-Yvelines Montigny-le-Bretonneux</t>
  </si>
  <si>
    <t>1025 * Trappes</t>
  </si>
  <si>
    <t>1026 * La Verrière</t>
  </si>
  <si>
    <t>1027 * Coignières</t>
  </si>
  <si>
    <t>1028 * Les Essarts-le-Roi</t>
  </si>
  <si>
    <t>1029 * Le Perray</t>
  </si>
  <si>
    <t>1030 * Rambouillet</t>
  </si>
  <si>
    <t>1031 * Paris-Est</t>
  </si>
  <si>
    <t>1032 * Chelles - Gournay</t>
  </si>
  <si>
    <t>1033 * Vaires - Torcy</t>
  </si>
  <si>
    <t>1034 * Lagny - Thorigny</t>
  </si>
  <si>
    <t>1035 * Esbly</t>
  </si>
  <si>
    <t>1036 * Montry - Condé</t>
  </si>
  <si>
    <t>1037 * Couilly - Saint-Germain - Quincy</t>
  </si>
  <si>
    <t>1038 * Villiers - Montbarbin</t>
  </si>
  <si>
    <t>1039 * Crécy-la-Chapelle</t>
  </si>
  <si>
    <t>1040 * Meaux</t>
  </si>
  <si>
    <t>1041 * Trilport</t>
  </si>
  <si>
    <t>1042 * Changis - Saint-Jean</t>
  </si>
  <si>
    <t>1043 * La Ferté-sous-Jouarre</t>
  </si>
  <si>
    <t>1044 * Nanteuil - Saâcy</t>
  </si>
  <si>
    <t>1045 * Nogent-l'Artaud - Charly</t>
  </si>
  <si>
    <t>1046 * Chézy-sur-Marne</t>
  </si>
  <si>
    <t>1047 * Château-Thierry</t>
  </si>
  <si>
    <t>1048 * Isles - Armentières - Congis</t>
  </si>
  <si>
    <t>1049 * Lizy-sur-Ourcq</t>
  </si>
  <si>
    <t>1050 * Crouy-sur-Ourcq</t>
  </si>
  <si>
    <t>1051 * Mareuil-sur-Ourcq</t>
  </si>
  <si>
    <t>1052 * La Ferté-Milon</t>
  </si>
  <si>
    <t>1053 * Tournan</t>
  </si>
  <si>
    <t>1054 * Marles-en-Brie</t>
  </si>
  <si>
    <t>1055 * Mortcerf</t>
  </si>
  <si>
    <t>1056 * Guérard - La Celle-sur-Morin</t>
  </si>
  <si>
    <t>1057 * Faremoutiers - Pommeuse</t>
  </si>
  <si>
    <t>1058 * Mouroux</t>
  </si>
  <si>
    <t>1059 * Chailly - Boissy-le-Châtel</t>
  </si>
  <si>
    <t>1060 * Chauffry</t>
  </si>
  <si>
    <t>1061 * Saint-Siméon</t>
  </si>
  <si>
    <t>1062 * Saint-Rémy-la-Vanne</t>
  </si>
  <si>
    <t>1063 * Jouy-sur-Morin - Champgoulin</t>
  </si>
  <si>
    <t>1064 * Jouy-sur-Morin - Eustache</t>
  </si>
  <si>
    <t>1065 * Jouy-sur-Morin - Monument</t>
  </si>
  <si>
    <t>1066 * La Ferté-Gaucher</t>
  </si>
  <si>
    <t>1067 * La Ferté-Gaucher - Centre</t>
  </si>
  <si>
    <t>1068 * Verneuil-l'Étang</t>
  </si>
  <si>
    <t>1069 * Mormant</t>
  </si>
  <si>
    <t>1070 * Nangis</t>
  </si>
  <si>
    <t>1071 * Longueville</t>
  </si>
  <si>
    <t>1072 * Sainte-Colombe - Septveilles</t>
  </si>
  <si>
    <t>1073 * Champbenoist - Poigny</t>
  </si>
  <si>
    <t>1074 * Provins</t>
  </si>
  <si>
    <t>1075 * Paris-Gare-de-Lyon</t>
  </si>
  <si>
    <t>1076 * Melun</t>
  </si>
  <si>
    <t>1077 * Bois-le-Roi</t>
  </si>
  <si>
    <t>1078 * Fontainebleau-Forêt</t>
  </si>
  <si>
    <t>1079 * Fontainebleau - Avon</t>
  </si>
  <si>
    <t>1080 * Thomery</t>
  </si>
  <si>
    <t>1081 * Moret-Veneux-les-Sablons</t>
  </si>
  <si>
    <t>1082 * Saint-Mammès</t>
  </si>
  <si>
    <t>1083 * Montereau</t>
  </si>
  <si>
    <t>1084 * Montigny-sur-Loing</t>
  </si>
  <si>
    <t>1085 * Bourron-Marlotte - Grez</t>
  </si>
  <si>
    <t>1086 * Nemours - Saint-Pierre</t>
  </si>
  <si>
    <t>1087 * Bagneaux-sur-Loing</t>
  </si>
  <si>
    <t>1088 * Souppes - Château-Landon</t>
  </si>
  <si>
    <t>1089 * Dordives</t>
  </si>
  <si>
    <t>1090 * Ferrières - Fontenay</t>
  </si>
  <si>
    <t>1091 * Montargis</t>
  </si>
  <si>
    <t>1092 * Livry-sur-Seine</t>
  </si>
  <si>
    <t>1093 * Chartrettes</t>
  </si>
  <si>
    <t>1094 * Fontaine-le-Port</t>
  </si>
  <si>
    <t>1095 * Héricy</t>
  </si>
  <si>
    <t>1096 * Vulaines-sur-Seine - Samoreau</t>
  </si>
  <si>
    <t>1097 * Champagne-sur-Seine</t>
  </si>
  <si>
    <t>1098 * Vernou-sur-Seine</t>
  </si>
  <si>
    <t>1099 * La Grande-Paroisse</t>
  </si>
  <si>
    <t>1100 * La Verrière</t>
  </si>
  <si>
    <t>1101 * Trappes</t>
  </si>
  <si>
    <t>1102 * Saint-Quentin-en-Yvelines Montigny-le-Bretonneux</t>
  </si>
  <si>
    <t>1103 * Saint-Cyr</t>
  </si>
  <si>
    <t>1104 * Versailles-Chantiers</t>
  </si>
  <si>
    <t>1105 * Chaville-Rive-Droite</t>
  </si>
  <si>
    <t>1106 * Sèvres - Ville-d'Avray</t>
  </si>
  <si>
    <t>1107 * Saint-Cloud</t>
  </si>
  <si>
    <t>1108 * Suresnes-Mont-Valérien</t>
  </si>
  <si>
    <t>1109 * Puteaux</t>
  </si>
  <si>
    <t>1110 * La Défense Grande Arche</t>
  </si>
  <si>
    <t xml:space="preserve">1111 * </t>
  </si>
  <si>
    <t>Index</t>
  </si>
  <si>
    <t>Latitude</t>
  </si>
  <si>
    <t>Longitude</t>
  </si>
  <si>
    <t>Name</t>
  </si>
  <si>
    <t>res_com</t>
  </si>
  <si>
    <t>48.884594208</t>
  </si>
  <si>
    <t>2.33794977706</t>
  </si>
  <si>
    <t>ABBESSES</t>
  </si>
  <si>
    <t>48.7255353058</t>
  </si>
  <si>
    <t>2.41956502574</t>
  </si>
  <si>
    <t>ABLON</t>
  </si>
  <si>
    <t>48.9554022445</t>
  </si>
  <si>
    <t>2.09352190295</t>
  </si>
  <si>
    <t>ACHERES-GRAND-CORMIER</t>
  </si>
  <si>
    <t>48.9706650465</t>
  </si>
  <si>
    <t>2.07773176596</t>
  </si>
  <si>
    <t>ACHERES-VILLE</t>
  </si>
  <si>
    <t>LIGNE L / RER A</t>
  </si>
  <si>
    <t>48.8724040944</t>
  </si>
  <si>
    <t>2.40857757742</t>
  </si>
  <si>
    <t>ADRIENNE BOLLAND</t>
  </si>
  <si>
    <t>49.0097564521</t>
  </si>
  <si>
    <t>2.56123269523</t>
  </si>
  <si>
    <t>AEROPORT CHARLES DE GAULLE 1</t>
  </si>
  <si>
    <t>RER B / CDGVAL</t>
  </si>
  <si>
    <t>49.0046874618</t>
  </si>
  <si>
    <t>2.57058948552</t>
  </si>
  <si>
    <t>AEROPORT CHARLES DE GAULLE 2-TGV</t>
  </si>
  <si>
    <t>48.7296473558</t>
  </si>
  <si>
    <t>2.36001341286</t>
  </si>
  <si>
    <t>AEROPORT D'ORLY - TERMINAL OUEST</t>
  </si>
  <si>
    <t>ORLYVAL</t>
  </si>
  <si>
    <t>48.7287704517</t>
  </si>
  <si>
    <t>2.36851613817</t>
  </si>
  <si>
    <t>AEROPORT D'ORLY - TERMINAL SUD</t>
  </si>
  <si>
    <t>ORLYVAL / T7</t>
  </si>
  <si>
    <t>48.9658555744</t>
  </si>
  <si>
    <t>2.36357222397</t>
  </si>
  <si>
    <t>ALCIDE D'ORBIGNY</t>
  </si>
  <si>
    <t>48.8281884763</t>
  </si>
  <si>
    <t>2.32716464961</t>
  </si>
  <si>
    <t>ALESIA</t>
  </si>
  <si>
    <t>48.8437717867</t>
  </si>
  <si>
    <t>2.41013203808</t>
  </si>
  <si>
    <t>ALEXANDRA DAVID-NEEL</t>
  </si>
  <si>
    <t>48.8563773572</t>
  </si>
  <si>
    <t>2.39456194456</t>
  </si>
  <si>
    <t>ALEXANDRE DUMAS</t>
  </si>
  <si>
    <t>48.8971438185</t>
  </si>
  <si>
    <t>2.50640824702</t>
  </si>
  <si>
    <t>ALLEE DE LA TOUR RENDEZ-VOUS</t>
  </si>
  <si>
    <t>48.864766845</t>
  </si>
  <si>
    <t>2.3009910035</t>
  </si>
  <si>
    <t>ALMA-MARCEAU</t>
  </si>
  <si>
    <t>48.892082786</t>
  </si>
  <si>
    <t>2.28500950275</t>
  </si>
  <si>
    <t>ANATOLE FRANCE</t>
  </si>
  <si>
    <t>48.9748208646</t>
  </si>
  <si>
    <t>2.04908312149</t>
  </si>
  <si>
    <t>ANDRESY</t>
  </si>
  <si>
    <t>LIGNE J</t>
  </si>
  <si>
    <t>48.8978323851</t>
  </si>
  <si>
    <t>2.33802674023</t>
  </si>
  <si>
    <t>Ang√©lique Compoint - Porte de Montmartre</t>
  </si>
  <si>
    <t>48.3112962802</t>
  </si>
  <si>
    <t>2.00352500269</t>
  </si>
  <si>
    <t>ANGERVILLE</t>
  </si>
  <si>
    <t>GL</t>
  </si>
  <si>
    <t>48.7549465255</t>
  </si>
  <si>
    <t>2.30098685437</t>
  </si>
  <si>
    <t>ANTONY</t>
  </si>
  <si>
    <t>RER B / ORLYVAL</t>
  </si>
  <si>
    <t>48.8828686476</t>
  </si>
  <si>
    <t>2.34413063372</t>
  </si>
  <si>
    <t>ANVERS</t>
  </si>
  <si>
    <t>48.798892501</t>
  </si>
  <si>
    <t>2.32813692305</t>
  </si>
  <si>
    <t>ARCUEIL-CACHAN</t>
  </si>
  <si>
    <t>48.9467969421</t>
  </si>
  <si>
    <t>2.25789748266</t>
  </si>
  <si>
    <t>ARGENTEUIL</t>
  </si>
  <si>
    <t>48.8755940499</t>
  </si>
  <si>
    <t>2.28932258961</t>
  </si>
  <si>
    <t>ARGENTINE</t>
  </si>
  <si>
    <t>48.5860078908</t>
  </si>
  <si>
    <t>2.24107007819</t>
  </si>
  <si>
    <t>ARPAJON</t>
  </si>
  <si>
    <t>48.8655864776</t>
  </si>
  <si>
    <t>2.35673675681</t>
  </si>
  <si>
    <t>ARTS ET METIERS</t>
  </si>
  <si>
    <t>48.9056639491</t>
  </si>
  <si>
    <t>2.28357280996</t>
  </si>
  <si>
    <t>ASNIERES</t>
  </si>
  <si>
    <t>LIGNE J / LIGNE L</t>
  </si>
  <si>
    <t>48.8607869626</t>
  </si>
  <si>
    <t>2.32099819197</t>
  </si>
  <si>
    <t>ASSEMBLEE NATIONALE</t>
  </si>
  <si>
    <t>48.7126289857</t>
  </si>
  <si>
    <t>2.40363310221</t>
  </si>
  <si>
    <t>ATHIS-MONS</t>
  </si>
  <si>
    <t>48.8721574949</t>
  </si>
  <si>
    <t>2.32992717061</t>
  </si>
  <si>
    <t>AUBER</t>
  </si>
  <si>
    <t>48.9721416769</t>
  </si>
  <si>
    <t>1.84834880828</t>
  </si>
  <si>
    <t>AUBERGENVILLE-ELISABETHVILLE</t>
  </si>
  <si>
    <t>48.9037599311</t>
  </si>
  <si>
    <t>2.39228705963</t>
  </si>
  <si>
    <t>AUBERVILLIERS-PANTIN (QUATRE CHEMINS)</t>
  </si>
  <si>
    <t>48.9067006317</t>
  </si>
  <si>
    <t>2.46052340367</t>
  </si>
  <si>
    <t>AUGUSTE DELAUNE</t>
  </si>
  <si>
    <t>48.763375153</t>
  </si>
  <si>
    <t>2.36779053573</t>
  </si>
  <si>
    <t>AUGUSTE PERRET</t>
  </si>
  <si>
    <t>48.9321960051</t>
  </si>
  <si>
    <t>2.49551314123</t>
  </si>
  <si>
    <t>AULNAY-SOUS-BOIS</t>
  </si>
  <si>
    <t>LIGNE K / RER B / T4</t>
  </si>
  <si>
    <t>48.4452537046</t>
  </si>
  <si>
    <t>1.77958370837</t>
  </si>
  <si>
    <t>AUNEAU</t>
  </si>
  <si>
    <t>48.8423600825</t>
  </si>
  <si>
    <t>2.36558170411</t>
  </si>
  <si>
    <t>AUSTERLITZ</t>
  </si>
  <si>
    <t>RER C / M5 / M10</t>
  </si>
  <si>
    <t>49.0704623625</t>
  </si>
  <si>
    <t>2.17530420586</t>
  </si>
  <si>
    <t>AUVERS-SUR-OISE</t>
  </si>
  <si>
    <t>LIGNE H</t>
  </si>
  <si>
    <t>48.8255705553</t>
  </si>
  <si>
    <t>2.38116650206</t>
  </si>
  <si>
    <t>AVENUE DE FRANCE</t>
  </si>
  <si>
    <t>48.8536480527</t>
  </si>
  <si>
    <t>2.27948707184</t>
  </si>
  <si>
    <t>AVENUE DU PRESIDENT KENNEDY</t>
  </si>
  <si>
    <t>48.8470195819</t>
  </si>
  <si>
    <t>2.29542047803</t>
  </si>
  <si>
    <t>AVENUE EMILE ZOLA</t>
  </si>
  <si>
    <t>48.8709741382</t>
  </si>
  <si>
    <t>2.27557452685</t>
  </si>
  <si>
    <t>AVENUE FOCH</t>
  </si>
  <si>
    <t>48.8644617484</t>
  </si>
  <si>
    <t>2.27212062164</t>
  </si>
  <si>
    <t>AVENUE HENRI MARTIN</t>
  </si>
  <si>
    <t>48.8515102782</t>
  </si>
  <si>
    <t>2.39830234427</t>
  </si>
  <si>
    <t>AVRON</t>
  </si>
  <si>
    <t>48.2295499402</t>
  </si>
  <si>
    <t>2.7039360516</t>
  </si>
  <si>
    <t>BAGNEAUX-SUR-LOING</t>
  </si>
  <si>
    <t>LIGNE R</t>
  </si>
  <si>
    <t>48.7933362963</t>
  </si>
  <si>
    <t>2.32220163639</t>
  </si>
  <si>
    <t>BAGNEUX</t>
  </si>
  <si>
    <t>48.8360967841</t>
  </si>
  <si>
    <t>2.27823795192</t>
  </si>
  <si>
    <t>BALARD</t>
  </si>
  <si>
    <t>M8 / T3A</t>
  </si>
  <si>
    <t>48.5315019892</t>
  </si>
  <si>
    <t>2.37051850041</t>
  </si>
  <si>
    <t>BALLANCOURT</t>
  </si>
  <si>
    <t>48.8837344657</t>
  </si>
  <si>
    <t>2.34963614827</t>
  </si>
  <si>
    <t>BARBES-ROCHECHOUART</t>
  </si>
  <si>
    <t>M2 / M4</t>
  </si>
  <si>
    <t>48.8303885897</t>
  </si>
  <si>
    <t>2.39344969832</t>
  </si>
  <si>
    <t>BARON LE ROY</t>
  </si>
  <si>
    <t>48.9373047355</t>
  </si>
  <si>
    <t>2.36007214164</t>
  </si>
  <si>
    <t>BASILIQUE DE SAINT-DENIS</t>
  </si>
  <si>
    <t>M13 / T1</t>
  </si>
  <si>
    <t>48.8534369623</t>
  </si>
  <si>
    <t>2.36873657263</t>
  </si>
  <si>
    <t>BASTILLE</t>
  </si>
  <si>
    <t>M1 / M5 / M8</t>
  </si>
  <si>
    <t>48.9421254551</t>
  </si>
  <si>
    <t>2.35672974153</t>
  </si>
  <si>
    <t>BAUDELAIRE</t>
  </si>
  <si>
    <t>49.4262015914</t>
  </si>
  <si>
    <t>2.08850697394</t>
  </si>
  <si>
    <t>BEAUVAIS</t>
  </si>
  <si>
    <t>48.9057626571</t>
  </si>
  <si>
    <t>2.26996477919</t>
  </si>
  <si>
    <t>BECON-LES-BRUYERES</t>
  </si>
  <si>
    <t>LIGNE L</t>
  </si>
  <si>
    <t>48.8413382473</t>
  </si>
  <si>
    <t>2.4009185368</t>
  </si>
  <si>
    <t>BEL-AIR</t>
  </si>
  <si>
    <t>48.8719936918</t>
  </si>
  <si>
    <t>2.3770297767</t>
  </si>
  <si>
    <t>BELLEVILLE</t>
  </si>
  <si>
    <t>M2 / M11</t>
  </si>
  <si>
    <t>48.8189478001</t>
  </si>
  <si>
    <t>2.22980800647</t>
  </si>
  <si>
    <t>BELLEVUE</t>
  </si>
  <si>
    <t>LIGNE N</t>
  </si>
  <si>
    <t>49.0984002652</t>
  </si>
  <si>
    <t>2.36127055658</t>
  </si>
  <si>
    <t>BELLOY-SAINT-MARTIN</t>
  </si>
  <si>
    <t>48.8760012915</t>
  </si>
  <si>
    <t>2.22595909514</t>
  </si>
  <si>
    <t>BELVEDERE</t>
  </si>
  <si>
    <t>48.8454707076</t>
  </si>
  <si>
    <t>2.42920516635</t>
  </si>
  <si>
    <t>BERAULT</t>
  </si>
  <si>
    <t>48.8403020934</t>
  </si>
  <si>
    <t>2.37912177644</t>
  </si>
  <si>
    <t>BERCY</t>
  </si>
  <si>
    <t>M6 / M14</t>
  </si>
  <si>
    <t>49.0353113094</t>
  </si>
  <si>
    <t>2.21024652104</t>
  </si>
  <si>
    <t>BESSANCOURT</t>
  </si>
  <si>
    <t>48.8599987313</t>
  </si>
  <si>
    <t>1.87559559028</t>
  </si>
  <si>
    <t>BEYNES</t>
  </si>
  <si>
    <t>48.8302584573</t>
  </si>
  <si>
    <t>2.37631072139</t>
  </si>
  <si>
    <t>BIBLIOTHEQUE FRANCOIS MITTERRAND</t>
  </si>
  <si>
    <t>RER C / M14</t>
  </si>
  <si>
    <t>48.751023276</t>
  </si>
  <si>
    <t>2.21586085326</t>
  </si>
  <si>
    <t>BIEVRES</t>
  </si>
  <si>
    <t>48.8321105601</t>
  </si>
  <si>
    <t>2.23863934858</t>
  </si>
  <si>
    <t>BILLANCOURT</t>
  </si>
  <si>
    <t>48.8539426062</t>
  </si>
  <si>
    <t>2.28933453278</t>
  </si>
  <si>
    <t>BIR-HAKEIM (GRENELLE)</t>
  </si>
  <si>
    <t>48.9323054161</t>
  </si>
  <si>
    <t>2.4756743722</t>
  </si>
  <si>
    <t>BLANC-MESNIL</t>
  </si>
  <si>
    <t>48.8839585726</t>
  </si>
  <si>
    <t>2.33192658953</t>
  </si>
  <si>
    <t>BLANCHE</t>
  </si>
  <si>
    <t>48.9478076496</t>
  </si>
  <si>
    <t>2.33918092342</t>
  </si>
  <si>
    <t>BLUMENTHAL</t>
  </si>
  <si>
    <t>48.9063747703</t>
  </si>
  <si>
    <t>2.44918990449</t>
  </si>
  <si>
    <t>BOBIGNY-PABLO PICASSO</t>
  </si>
  <si>
    <t>M5 / T1</t>
  </si>
  <si>
    <t>48.8954546731</t>
  </si>
  <si>
    <t>2.42532689153</t>
  </si>
  <si>
    <t>BOBIGNY-PANTIN (RAYMOND QUENEAU)</t>
  </si>
  <si>
    <t>48.3416635464</t>
  </si>
  <si>
    <t>2.37881544464</t>
  </si>
  <si>
    <t>BOIGNEVILLE</t>
  </si>
  <si>
    <t>48.9142464743</t>
  </si>
  <si>
    <t>2.27159875039</t>
  </si>
  <si>
    <t>BOIS-COLOMBES</t>
  </si>
  <si>
    <t>48.4755230697</t>
  </si>
  <si>
    <t>2.69203326394</t>
  </si>
  <si>
    <t>BOIS-LE-ROI</t>
  </si>
  <si>
    <t>48.8669831094</t>
  </si>
  <si>
    <t>2.29005883358</t>
  </si>
  <si>
    <t>BOISSIERE</t>
  </si>
  <si>
    <t>48.5297469168</t>
  </si>
  <si>
    <t>2.57207366546</t>
  </si>
  <si>
    <t>BOISSISE-LE-ROI</t>
  </si>
  <si>
    <t>49.0758428848</t>
  </si>
  <si>
    <t>2.02495293138</t>
  </si>
  <si>
    <t>BOISSY-L'AILLERIE</t>
  </si>
  <si>
    <t>48.7521857217</t>
  </si>
  <si>
    <t>2.50455983697</t>
  </si>
  <si>
    <t>BOISSY-SAINT-LEGER</t>
  </si>
  <si>
    <t>48.8808212614</t>
  </si>
  <si>
    <t>2.37414715384</t>
  </si>
  <si>
    <t>BOLIVAR</t>
  </si>
  <si>
    <t>M7bis</t>
  </si>
  <si>
    <t>48.894012515</t>
  </si>
  <si>
    <t>2.47979332996</t>
  </si>
  <si>
    <t>BONDY</t>
  </si>
  <si>
    <t>RER E / T4</t>
  </si>
  <si>
    <t>48.8701642009</t>
  </si>
  <si>
    <t>2.35049797186</t>
  </si>
  <si>
    <t>BONNE NOUVELLE</t>
  </si>
  <si>
    <t>M8 / M9</t>
  </si>
  <si>
    <t>48.1864372096</t>
  </si>
  <si>
    <t>1.38624502094</t>
  </si>
  <si>
    <t>BONNEVAL</t>
  </si>
  <si>
    <t>49.0387620448</t>
  </si>
  <si>
    <t>1.58153210234</t>
  </si>
  <si>
    <t>BONNIERES</t>
  </si>
  <si>
    <t>49.1667750398</t>
  </si>
  <si>
    <t>2.36230352857</t>
  </si>
  <si>
    <t>BORAN-SUR-OISE</t>
  </si>
  <si>
    <t>48.8794817719</t>
  </si>
  <si>
    <t>2.38911580738</t>
  </si>
  <si>
    <t>BOTZARIS</t>
  </si>
  <si>
    <t>48.8410940563</t>
  </si>
  <si>
    <t>2.2879457665</t>
  </si>
  <si>
    <t>BOUCICAUT</t>
  </si>
  <si>
    <t>49.0451694603</t>
  </si>
  <si>
    <t>2.32291784623</t>
  </si>
  <si>
    <t>BOUFFEMONT-MOISSELLES</t>
  </si>
  <si>
    <t>48.8542517026</t>
  </si>
  <si>
    <t>2.13213244527</t>
  </si>
  <si>
    <t>BOUGIVAL</t>
  </si>
  <si>
    <t>48.8565315515</t>
  </si>
  <si>
    <t>2.27516715469</t>
  </si>
  <si>
    <t>BOULAINVILLIERS</t>
  </si>
  <si>
    <t>48.8420053473</t>
  </si>
  <si>
    <t>2.23888732852</t>
  </si>
  <si>
    <t>BOULOGNE-JEAN JAURES</t>
  </si>
  <si>
    <t>48.8407450152</t>
  </si>
  <si>
    <t>2.2285369815</t>
  </si>
  <si>
    <t>BOULOGNE-PONT DE SAINT CLOUD</t>
  </si>
  <si>
    <t>48.5328901041</t>
  </si>
  <si>
    <t>2.29008251383</t>
  </si>
  <si>
    <t>BOURAY</t>
  </si>
  <si>
    <t>48.7803137964</t>
  </si>
  <si>
    <t>2.31230771689</t>
  </si>
  <si>
    <t>BOURG-LA-REINE</t>
  </si>
  <si>
    <t>48.3326836438</t>
  </si>
  <si>
    <t>2.69248019059</t>
  </si>
  <si>
    <t>BOURRON-MARLOTTE-GREZ</t>
  </si>
  <si>
    <t>48.8686959778</t>
  </si>
  <si>
    <t>2.34072072367</t>
  </si>
  <si>
    <t>BOURSE</t>
  </si>
  <si>
    <t>48.6810166137</t>
  </si>
  <si>
    <t>2.53313066339</t>
  </si>
  <si>
    <t>BOUSSY-SAINT-ANTOINE</t>
  </si>
  <si>
    <t>48.4344906129</t>
  </si>
  <si>
    <t>2.37667281716</t>
  </si>
  <si>
    <t>BOUTIGNY-SUR-ESSONNE</t>
  </si>
  <si>
    <t>48.856140713</t>
  </si>
  <si>
    <t>2.3702093411</t>
  </si>
  <si>
    <t>BREGUET-SABIN</t>
  </si>
  <si>
    <t>48.7682217804</t>
  </si>
  <si>
    <t>2.36804152067</t>
  </si>
  <si>
    <t>BRETAGNE</t>
  </si>
  <si>
    <t>48.6067449489</t>
  </si>
  <si>
    <t>2.30205969158</t>
  </si>
  <si>
    <t>BRETIGNY</t>
  </si>
  <si>
    <t>48.5775084903</t>
  </si>
  <si>
    <t>2.19206307147</t>
  </si>
  <si>
    <t>BREUILLET-BRUYERES-LE-CHATEL</t>
  </si>
  <si>
    <t>48.5645970274</t>
  </si>
  <si>
    <t>2.17097626776</t>
  </si>
  <si>
    <t>BREUILLET-VILLAGE</t>
  </si>
  <si>
    <t>48.9432369891</t>
  </si>
  <si>
    <t>1.54138115647</t>
  </si>
  <si>
    <t>BREVAL</t>
  </si>
  <si>
    <t>48.8223099329</t>
  </si>
  <si>
    <t>2.23132315987</t>
  </si>
  <si>
    <t>BRIMBORION</t>
  </si>
  <si>
    <t>48.8905871866</t>
  </si>
  <si>
    <t>2.32017475579</t>
  </si>
  <si>
    <t>BROCHANT</t>
  </si>
  <si>
    <t>48.6997324357</t>
  </si>
  <si>
    <t>2.50607815319</t>
  </si>
  <si>
    <t>BRUNOY</t>
  </si>
  <si>
    <t>49.155189859</t>
  </si>
  <si>
    <t>2.32575399488</t>
  </si>
  <si>
    <t>BRUYERES-SUR-OISE</t>
  </si>
  <si>
    <t>48.8449011396</t>
  </si>
  <si>
    <t>2.5259225452</t>
  </si>
  <si>
    <t>BRY-SUR-MARNE</t>
  </si>
  <si>
    <t>48.9250943511</t>
  </si>
  <si>
    <t>1.44379093871</t>
  </si>
  <si>
    <t>BUEIL</t>
  </si>
  <si>
    <t>48.3713832941</t>
  </si>
  <si>
    <t>2.38720979718</t>
  </si>
  <si>
    <t>BUNO-GIRONVILLE</t>
  </si>
  <si>
    <t>48.6962527469</t>
  </si>
  <si>
    <t>2.16437824279</t>
  </si>
  <si>
    <t>BURES-SUR-YVETTE</t>
  </si>
  <si>
    <t>48.8365364329</t>
  </si>
  <si>
    <t>2.7089817409</t>
  </si>
  <si>
    <t>BUSSY-SAINT-GEORGES</t>
  </si>
  <si>
    <t>48.8850167892</t>
  </si>
  <si>
    <t>2.3967512888</t>
  </si>
  <si>
    <t>BUTTE DU CHAPEAU ROUGE</t>
  </si>
  <si>
    <t>48.973659013</t>
  </si>
  <si>
    <t>2.36605171568</t>
  </si>
  <si>
    <t>BUTTE PINSON</t>
  </si>
  <si>
    <t>48.878514114</t>
  </si>
  <si>
    <t>2.38161451329</t>
  </si>
  <si>
    <t>BUTTES-CHAUMONT</t>
  </si>
  <si>
    <t>48.851812133</t>
  </si>
  <si>
    <t>2.40102227052</t>
  </si>
  <si>
    <t>BUZENVAL</t>
  </si>
  <si>
    <t>48.8758906819</t>
  </si>
  <si>
    <t>2.34412603046</t>
  </si>
  <si>
    <t>CADET</t>
  </si>
  <si>
    <t>48.847507082</t>
  </si>
  <si>
    <t>2.30296829645</t>
  </si>
  <si>
    <t>CAMBRONNE</t>
  </si>
  <si>
    <t>48.8354953572</t>
  </si>
  <si>
    <t>2.35882349044</t>
  </si>
  <si>
    <t>CAMPO-FORMIO</t>
  </si>
  <si>
    <t>48.8987339907</t>
  </si>
  <si>
    <t>2.38053703549</t>
  </si>
  <si>
    <t>CANAL SAINT-DENIS</t>
  </si>
  <si>
    <t>48.8466568513</t>
  </si>
  <si>
    <t>2.35162325638</t>
  </si>
  <si>
    <t>CARDINAL-LEMOINE</t>
  </si>
  <si>
    <t>48.7385627773</t>
  </si>
  <si>
    <t>2.36991014668</t>
  </si>
  <si>
    <t>CAROLINE AIGLE</t>
  </si>
  <si>
    <t>48.9195730722</t>
  </si>
  <si>
    <t>2.34330592781</t>
  </si>
  <si>
    <t>CARREFOUR PLEYEL</t>
  </si>
  <si>
    <t>48.8404866526</t>
  </si>
  <si>
    <t>2.35173948717</t>
  </si>
  <si>
    <t>CENSIER-DAUBENTON</t>
  </si>
  <si>
    <t>48.8042049383</t>
  </si>
  <si>
    <t>2.2890572536</t>
  </si>
  <si>
    <t>CENTRE DE CHATILLON</t>
  </si>
  <si>
    <t>49.0478762034</t>
  </si>
  <si>
    <t>2.01099976</t>
  </si>
  <si>
    <t>CERGY LE HAUT</t>
  </si>
  <si>
    <t>49.0364639798</t>
  </si>
  <si>
    <t>2.07953494138</t>
  </si>
  <si>
    <t>CERGY-PREFECTURE</t>
  </si>
  <si>
    <t>49.0496470053</t>
  </si>
  <si>
    <t>2.03429446322</t>
  </si>
  <si>
    <t>CERGY-SAINT-CHRISTOPHE</t>
  </si>
  <si>
    <t>48.9850047013</t>
  </si>
  <si>
    <t>2.25747415588</t>
  </si>
  <si>
    <t>CERNAY</t>
  </si>
  <si>
    <t>LIGNE H / RER C</t>
  </si>
  <si>
    <t>48.9495813451</t>
  </si>
  <si>
    <t>2.34252182604</t>
  </si>
  <si>
    <t>CESAR</t>
  </si>
  <si>
    <t>48.5649494939</t>
  </si>
  <si>
    <t>2.59455181602</t>
  </si>
  <si>
    <t>CESSON</t>
  </si>
  <si>
    <t>47.9861923599</t>
  </si>
  <si>
    <t>3.33759167772</t>
  </si>
  <si>
    <t>CEZY</t>
  </si>
  <si>
    <t>48.5142458762</t>
  </si>
  <si>
    <t>2.21551781058</t>
  </si>
  <si>
    <t>CHAMARANDE</t>
  </si>
  <si>
    <t>48.979447983</t>
  </si>
  <si>
    <t>2.29247713155</t>
  </si>
  <si>
    <t>CHAMP DE COURSES D'ENGHIEN</t>
  </si>
  <si>
    <t>48.8572934157</t>
  </si>
  <si>
    <t>2.2903915548</t>
  </si>
  <si>
    <t>CHAMP DE MARS-TOUR EIFFEL</t>
  </si>
  <si>
    <t>49.1360005646</t>
  </si>
  <si>
    <t>2.24267777678</t>
  </si>
  <si>
    <t>CHAMPAGNE-SUR-OISE</t>
  </si>
  <si>
    <t>48.4068056294</t>
  </si>
  <si>
    <t>2.79923355753</t>
  </si>
  <si>
    <t>CHAMPAGNE-SUR-SEINE</t>
  </si>
  <si>
    <t>48.5455953469</t>
  </si>
  <si>
    <t>3.28731284848</t>
  </si>
  <si>
    <t>CHAMPBENOIST-POIGNY</t>
  </si>
  <si>
    <t>LIGNE P</t>
  </si>
  <si>
    <t>48.8069850725</t>
  </si>
  <si>
    <t>2.51030723575</t>
  </si>
  <si>
    <t>CHAMPIGNY</t>
  </si>
  <si>
    <t>48.3240522735</t>
  </si>
  <si>
    <t>3.13113953462</t>
  </si>
  <si>
    <t>CHAMPIGNY-SUR-YONNE</t>
  </si>
  <si>
    <t>48.8677997345</t>
  </si>
  <si>
    <t>2.31388193768</t>
  </si>
  <si>
    <t>CHAMPS-ELYSEES-CLEMENCEAU</t>
  </si>
  <si>
    <t>M1 / M13</t>
  </si>
  <si>
    <t>48.9591640631</t>
  </si>
  <si>
    <t>3.02611129565</t>
  </si>
  <si>
    <t>CHANGIS-SAINT-JEAN</t>
  </si>
  <si>
    <t>48.9703669331</t>
  </si>
  <si>
    <t>2.02751877569</t>
  </si>
  <si>
    <t>CHANTELOUP-LES-VIGNES</t>
  </si>
  <si>
    <t>49.1873335365</t>
  </si>
  <si>
    <t>2.45952008111</t>
  </si>
  <si>
    <t>CHANTILLY-GOUVIEUX</t>
  </si>
  <si>
    <t>49.0693141355</t>
  </si>
  <si>
    <t>2.14169693415</t>
  </si>
  <si>
    <t>CHAPONVAL</t>
  </si>
  <si>
    <t>48.8452047027</t>
  </si>
  <si>
    <t>2.26644154037</t>
  </si>
  <si>
    <t>CHARDON-LAGACHE</t>
  </si>
  <si>
    <t>48.8215957673</t>
  </si>
  <si>
    <t>2.41373751615</t>
  </si>
  <si>
    <t>CHARENTON-ECOLES</t>
  </si>
  <si>
    <t>48.9076645839</t>
  </si>
  <si>
    <t>2.23830930229</t>
  </si>
  <si>
    <t>CHARLEBOURG</t>
  </si>
  <si>
    <t>48.8742384766</t>
  </si>
  <si>
    <t>2.29449059147</t>
  </si>
  <si>
    <t>CHARLES DE GAULLE ETOILE</t>
  </si>
  <si>
    <t>RER A / M1 / M2 / M6</t>
  </si>
  <si>
    <t>48.8465346367</t>
  </si>
  <si>
    <t>2.28599922206</t>
  </si>
  <si>
    <t>CHARLES MICHELS</t>
  </si>
  <si>
    <t>48.8545804991</t>
  </si>
  <si>
    <t>2.38556348082</t>
  </si>
  <si>
    <t>CHARONNE</t>
  </si>
  <si>
    <t>49.1626705808</t>
  </si>
  <si>
    <t>1.93692863442</t>
  </si>
  <si>
    <t>CHARS</t>
  </si>
  <si>
    <t>48.448384567</t>
  </si>
  <si>
    <t>1.48087093272</t>
  </si>
  <si>
    <t>CHARTRES</t>
  </si>
  <si>
    <t>48.4870763952</t>
  </si>
  <si>
    <t>2.69503731381</t>
  </si>
  <si>
    <t>CHARTRETTES</t>
  </si>
  <si>
    <t>48.8724249127</t>
  </si>
  <si>
    <t>2.35604490769</t>
  </si>
  <si>
    <t>CHATEAU D'EAU</t>
  </si>
  <si>
    <t>48.8444563946</t>
  </si>
  <si>
    <t>2.44043997806</t>
  </si>
  <si>
    <t>CHATEAU DE VINCENNES</t>
  </si>
  <si>
    <t>48.8873749079</t>
  </si>
  <si>
    <t>2.34969408224</t>
  </si>
  <si>
    <t>CHATEAU ROUGE</t>
  </si>
  <si>
    <t>48.8785656258</t>
  </si>
  <si>
    <t>2.36216007056</t>
  </si>
  <si>
    <t>CHATEAU-LANDON</t>
  </si>
  <si>
    <t>49.0379489417</t>
  </si>
  <si>
    <t>3.40959736125</t>
  </si>
  <si>
    <t>CHATEAU-THIERRY</t>
  </si>
  <si>
    <t>48.0734070101</t>
  </si>
  <si>
    <t>1.3384347632</t>
  </si>
  <si>
    <t>CHATEAUDUN</t>
  </si>
  <si>
    <t>48.8580618623</t>
  </si>
  <si>
    <t>2.34762515572</t>
  </si>
  <si>
    <t>CHATELET</t>
  </si>
  <si>
    <t>M1 / M4 / M7 / M11 / M14</t>
  </si>
  <si>
    <t>48.8618222719</t>
  </si>
  <si>
    <t>2.34701268861</t>
  </si>
  <si>
    <t>CHATELET-LES HALLES</t>
  </si>
  <si>
    <t>RER A / RER B / RER D</t>
  </si>
  <si>
    <t>48.8107464877</t>
  </si>
  <si>
    <t>2.30167855683</t>
  </si>
  <si>
    <t>CHATILLON-MONTROUGE</t>
  </si>
  <si>
    <t>M13 / T6</t>
  </si>
  <si>
    <t>48.8852112182</t>
  </si>
  <si>
    <t>2.15590347462</t>
  </si>
  <si>
    <t>CHATOU-CROISSY</t>
  </si>
  <si>
    <t>49.2613222981</t>
  </si>
  <si>
    <t>1.87258946785</t>
  </si>
  <si>
    <t>CHAUMONT-EN-VEXIN</t>
  </si>
  <si>
    <t>48.8729681408</t>
  </si>
  <si>
    <t>2.33325709179</t>
  </si>
  <si>
    <t>CHAUSSEE D'ANTIN (LA FAYETTE)</t>
  </si>
  <si>
    <t>M7 / M9</t>
  </si>
  <si>
    <t>48.8125717163</t>
  </si>
  <si>
    <t>2.18825985865</t>
  </si>
  <si>
    <t>CHAVILLE RIVE DROITE</t>
  </si>
  <si>
    <t>48.8046833553</t>
  </si>
  <si>
    <t>2.18863027649</t>
  </si>
  <si>
    <t>CHAVILLE RIVE GAUCHE</t>
  </si>
  <si>
    <t>48.7997288262</t>
  </si>
  <si>
    <t>2.18368410848</t>
  </si>
  <si>
    <t>CHAVILLE-VELIZY</t>
  </si>
  <si>
    <t>48.8741440839</t>
  </si>
  <si>
    <t>2.58333115532</t>
  </si>
  <si>
    <t>CHELLES-GOURNAY</t>
  </si>
  <si>
    <t>LIGNE P / RER E</t>
  </si>
  <si>
    <t>48.7479419019</t>
  </si>
  <si>
    <t>2.31271100944</t>
  </si>
  <si>
    <t>CHEMIN D'ANTONY</t>
  </si>
  <si>
    <t>48.9346085677</t>
  </si>
  <si>
    <t>2.32149519817</t>
  </si>
  <si>
    <t>CHEMIN DES RENIERS</t>
  </si>
  <si>
    <t>48.8574200375</t>
  </si>
  <si>
    <t>2.3681082907</t>
  </si>
  <si>
    <t>CHEMIN VERT</t>
  </si>
  <si>
    <t>48.8699501349</t>
  </si>
  <si>
    <t>2.78222672345</t>
  </si>
  <si>
    <t>CHESSY - MARNE-LA-VALLEE</t>
  </si>
  <si>
    <t>48.8349477223</t>
  </si>
  <si>
    <t>2.36812632906</t>
  </si>
  <si>
    <t>CHEVALERET</t>
  </si>
  <si>
    <t>48.9919382203</t>
  </si>
  <si>
    <t>3.36492712887</t>
  </si>
  <si>
    <t>CHEZY-SUR-MARNE</t>
  </si>
  <si>
    <t>48.7006808046</t>
  </si>
  <si>
    <t>2.30784118461</t>
  </si>
  <si>
    <t>CHILLY-MAZARIN</t>
  </si>
  <si>
    <t>48.7637868069</t>
  </si>
  <si>
    <t>2.41138672633</t>
  </si>
  <si>
    <t>CHOISY-LE-ROI</t>
  </si>
  <si>
    <t>48.97749309</t>
  </si>
  <si>
    <t>2.37224292371</t>
  </si>
  <si>
    <t>CHOLETTES</t>
  </si>
  <si>
    <t>48.9363891471</t>
  </si>
  <si>
    <t>2.3636407022</t>
  </si>
  <si>
    <t>CIMETIERE DE SAINT-DENIS</t>
  </si>
  <si>
    <t>48.8549363802</t>
  </si>
  <si>
    <t>2.34732131841</t>
  </si>
  <si>
    <t>CITE</t>
  </si>
  <si>
    <t>48.8202676123</t>
  </si>
  <si>
    <t>2.33897517958</t>
  </si>
  <si>
    <t>CITE UNIVERSITAIRE</t>
  </si>
  <si>
    <t>RER B / T3A</t>
  </si>
  <si>
    <t>48.8142394455</t>
  </si>
  <si>
    <t>2.27448967354</t>
  </si>
  <si>
    <t>CLAMART</t>
  </si>
  <si>
    <t>48.8976374479</t>
  </si>
  <si>
    <t>2.29741994815</t>
  </si>
  <si>
    <t>CLICHY-LEVALLOIS</t>
  </si>
  <si>
    <t>48.8510502823</t>
  </si>
  <si>
    <t>2.34427334542</t>
  </si>
  <si>
    <t>CLUNY-LA-SORBONNE</t>
  </si>
  <si>
    <t>48.7340881621</t>
  </si>
  <si>
    <t>2.37125037622</t>
  </si>
  <si>
    <t>COEUR D'ORLY</t>
  </si>
  <si>
    <t>48.7434839859</t>
  </si>
  <si>
    <t>1.92103660004</t>
  </si>
  <si>
    <t>COIGNIERES</t>
  </si>
  <si>
    <t>48.8984911016</t>
  </si>
  <si>
    <t>2.36365138218</t>
  </si>
  <si>
    <t>COLETTE BESSON</t>
  </si>
  <si>
    <t>48.9239186266</t>
  </si>
  <si>
    <t>2.25934570305</t>
  </si>
  <si>
    <t>COLOMBES</t>
  </si>
  <si>
    <t>48.8776101874</t>
  </si>
  <si>
    <t>2.37081139531</t>
  </si>
  <si>
    <t>COLONEL FABIEN</t>
  </si>
  <si>
    <t>48.6679019575</t>
  </si>
  <si>
    <t>2.54754804856</t>
  </si>
  <si>
    <t>COMBS-LA-VILLE-QUINCY</t>
  </si>
  <si>
    <t>48.8447947646</t>
  </si>
  <si>
    <t>2.29395196364</t>
  </si>
  <si>
    <t>COMMERCE</t>
  </si>
  <si>
    <t>48.9913914029</t>
  </si>
  <si>
    <t>2.66505986931</t>
  </si>
  <si>
    <t>COMPANS</t>
  </si>
  <si>
    <t>LIGNE K</t>
  </si>
  <si>
    <t>48.8662858046</t>
  </si>
  <si>
    <t>2.32294341224</t>
  </si>
  <si>
    <t>CONCORDE</t>
  </si>
  <si>
    <t>M1 / M8 / M12</t>
  </si>
  <si>
    <t>48.9918983724</t>
  </si>
  <si>
    <t>2.07362062047</t>
  </si>
  <si>
    <t>CONFLANS-FIN-D'OISE</t>
  </si>
  <si>
    <t>LIGNE J / LIGNE L / RER A</t>
  </si>
  <si>
    <t>48.9966300907</t>
  </si>
  <si>
    <t>2.09777398846</t>
  </si>
  <si>
    <t>CONFLANS-SAINTE-HONORINE</t>
  </si>
  <si>
    <t>48.8373074919</t>
  </si>
  <si>
    <t>2.29663033782</t>
  </si>
  <si>
    <t>CONVENTION</t>
  </si>
  <si>
    <t>48.6134279136</t>
  </si>
  <si>
    <t>2.4729336491</t>
  </si>
  <si>
    <t>CORBEIL-ESSONNES</t>
  </si>
  <si>
    <t>48.8948364675</t>
  </si>
  <si>
    <t>2.38252234343</t>
  </si>
  <si>
    <t>CORENTIN CARIOU</t>
  </si>
  <si>
    <t>48.8270854489</t>
  </si>
  <si>
    <t>2.27941168205</t>
  </si>
  <si>
    <t>CORENTIN-CELTON</t>
  </si>
  <si>
    <t>48.9684962675</t>
  </si>
  <si>
    <t>2.19344286781</t>
  </si>
  <si>
    <t>CORMEILLES-EN-PARISIS</t>
  </si>
  <si>
    <t>48.8297905137</t>
  </si>
  <si>
    <t>2.35041487065</t>
  </si>
  <si>
    <t>CORVISART</t>
  </si>
  <si>
    <t>48.9317348255</t>
  </si>
  <si>
    <t>2.3782254904</t>
  </si>
  <si>
    <t>COSMONAUTES</t>
  </si>
  <si>
    <t>48.8826810449</t>
  </si>
  <si>
    <t>2.85431592783</t>
  </si>
  <si>
    <t>COUILLY-SAINT-GERMAIN-QUINCY</t>
  </si>
  <si>
    <t>48.8085020653</t>
  </si>
  <si>
    <t>3.08034301057</t>
  </si>
  <si>
    <t>COULOMMIERS</t>
  </si>
  <si>
    <t>48.8333385593</t>
  </si>
  <si>
    <t>2.38663240207</t>
  </si>
  <si>
    <t>COUR SAINT-EMILION</t>
  </si>
  <si>
    <t>48.8981188748</t>
  </si>
  <si>
    <t>2.24794284424</t>
  </si>
  <si>
    <t>COURBEVOIE</t>
  </si>
  <si>
    <t>48.7012177194</t>
  </si>
  <si>
    <t>2.09797586115</t>
  </si>
  <si>
    <t>COURCELLE-SUR-YVETTE</t>
  </si>
  <si>
    <t>48.8792141342</t>
  </si>
  <si>
    <t>2.30352872537</t>
  </si>
  <si>
    <t>COURCELLES</t>
  </si>
  <si>
    <t>48.8690911629</t>
  </si>
  <si>
    <t>2.38054258599</t>
  </si>
  <si>
    <t>COURONNES</t>
  </si>
  <si>
    <t>48.8595573169</t>
  </si>
  <si>
    <t>2.90573696319</t>
  </si>
  <si>
    <t>CRECY-EN-BRIE-LA-CHAPELLE</t>
  </si>
  <si>
    <t>49.2639441445</t>
  </si>
  <si>
    <t>2.46891411535</t>
  </si>
  <si>
    <t>CREIL</t>
  </si>
  <si>
    <t>LIGNE H / RER D</t>
  </si>
  <si>
    <t>49.2310180602</t>
  </si>
  <si>
    <t>2.88736670498</t>
  </si>
  <si>
    <t>CREPY-EN-VALOIS</t>
  </si>
  <si>
    <t>48.7712660381</t>
  </si>
  <si>
    <t>2.43530633971</t>
  </si>
  <si>
    <t>CRETEIL POMPADOUR</t>
  </si>
  <si>
    <t>48.7967407666</t>
  </si>
  <si>
    <t>2.44943317569</t>
  </si>
  <si>
    <t>CRETEIL-L'ECHAT (HOPITAL MONDOR)</t>
  </si>
  <si>
    <t>48.7687151253</t>
  </si>
  <si>
    <t>2.46456499321</t>
  </si>
  <si>
    <t>CRETEIL-POINTE DU LAC</t>
  </si>
  <si>
    <t>48.779905317</t>
  </si>
  <si>
    <t>2.45936839626</t>
  </si>
  <si>
    <t>CRETEIL-PREFECTURE (HOTEL DE VILLE)</t>
  </si>
  <si>
    <t>48.7899783103</t>
  </si>
  <si>
    <t>2.45045317792</t>
  </si>
  <si>
    <t>CRETEIL-UNIVERSITE</t>
  </si>
  <si>
    <t>48.8907889695</t>
  </si>
  <si>
    <t>2.3773157556</t>
  </si>
  <si>
    <t>CRIMEE</t>
  </si>
  <si>
    <t>48.8579655921</t>
  </si>
  <si>
    <t>2.43555571977</t>
  </si>
  <si>
    <t>CROIX DE CHAVAUX (JACQUES DUCLOS)</t>
  </si>
  <si>
    <t>49.0918829981</t>
  </si>
  <si>
    <t>3.06269040562</t>
  </si>
  <si>
    <t>CROUY-SUR-OURCQ</t>
  </si>
  <si>
    <t>49.0325740905</t>
  </si>
  <si>
    <t>2.69945308782</t>
  </si>
  <si>
    <t>DAMMARTIN-JUILLY-SAINT-MARD</t>
  </si>
  <si>
    <t>48.9227111893</t>
  </si>
  <si>
    <t>2.40662275371</t>
  </si>
  <si>
    <t>DANTON</t>
  </si>
  <si>
    <t>48.8819319996</t>
  </si>
  <si>
    <t>2.39344545239</t>
  </si>
  <si>
    <t>DANUBE</t>
  </si>
  <si>
    <t>48.8395671983</t>
  </si>
  <si>
    <t>2.39595292659</t>
  </si>
  <si>
    <t>DAUMESNIL</t>
  </si>
  <si>
    <t>M6 / M8</t>
  </si>
  <si>
    <t>48.9455555392</t>
  </si>
  <si>
    <t>2.34731292517</t>
  </si>
  <si>
    <t>DELAUNAY-BELLEVILLE</t>
  </si>
  <si>
    <t>48.8938802825</t>
  </si>
  <si>
    <t>2.39773885065</t>
  </si>
  <si>
    <t>DELPHINE SEYRIG</t>
  </si>
  <si>
    <t>48.8342929805</t>
  </si>
  <si>
    <t>2.33285230996</t>
  </si>
  <si>
    <t>DENFERT-ROCHEREAU</t>
  </si>
  <si>
    <t>RER B / M4 / M6</t>
  </si>
  <si>
    <t>48.8343581655</t>
  </si>
  <si>
    <t>2.2840072433</t>
  </si>
  <si>
    <t>DESNOUETTES</t>
  </si>
  <si>
    <t>48.9760542531</t>
  </si>
  <si>
    <t>2.33852407065</t>
  </si>
  <si>
    <t>DEUIL-MONTMAGNY</t>
  </si>
  <si>
    <t>48.7836246222</t>
  </si>
  <si>
    <t>2.21443350205</t>
  </si>
  <si>
    <t>DEWOITINE</t>
  </si>
  <si>
    <t>48.8983255584</t>
  </si>
  <si>
    <t>2.35182955013</t>
  </si>
  <si>
    <t>Diane Arbus - Porte des Poissonniers</t>
  </si>
  <si>
    <t>48.8259205461</t>
  </si>
  <si>
    <t>2.31338008738</t>
  </si>
  <si>
    <t>DIDOT</t>
  </si>
  <si>
    <t>48.7944688845</t>
  </si>
  <si>
    <t>2.27265034466</t>
  </si>
  <si>
    <t>DIVISION LECLERC</t>
  </si>
  <si>
    <t>48.7789363931</t>
  </si>
  <si>
    <t>2.3674058645</t>
  </si>
  <si>
    <t>DOMAINE CHERIOUX</t>
  </si>
  <si>
    <t>49.0329720468</t>
  </si>
  <si>
    <t>2.33682968984</t>
  </si>
  <si>
    <t>DOMONT</t>
  </si>
  <si>
    <t>48.1472180399</t>
  </si>
  <si>
    <t>2.7627283872</t>
  </si>
  <si>
    <t>DORDIVES</t>
  </si>
  <si>
    <t>48.533732834</t>
  </si>
  <si>
    <t>2.00877181523</t>
  </si>
  <si>
    <t>DOURDAN</t>
  </si>
  <si>
    <t>48.5356206226</t>
  </si>
  <si>
    <t>1.99590199036</t>
  </si>
  <si>
    <t>DOURDAN-LA-FORET</t>
  </si>
  <si>
    <t>48.9327062187</t>
  </si>
  <si>
    <t>2.4547663855</t>
  </si>
  <si>
    <t>DRANCY</t>
  </si>
  <si>
    <t>48.9177837253</t>
  </si>
  <si>
    <t>2.41769109334</t>
  </si>
  <si>
    <t>DRANCY-AVENIR</t>
  </si>
  <si>
    <t>48.73095467</t>
  </si>
  <si>
    <t>1.36997423412</t>
  </si>
  <si>
    <t>DREUX</t>
  </si>
  <si>
    <t>48.8390411437</t>
  </si>
  <si>
    <t>2.38962001542</t>
  </si>
  <si>
    <t>DUGOMMIER</t>
  </si>
  <si>
    <t>48.8504345508</t>
  </si>
  <si>
    <t>2.29361243444</t>
  </si>
  <si>
    <t>DUPLEIX</t>
  </si>
  <si>
    <t>48.8468548549</t>
  </si>
  <si>
    <t>2.31663467111</t>
  </si>
  <si>
    <t>DUROC</t>
  </si>
  <si>
    <t>M10 / M13</t>
  </si>
  <si>
    <t>48.8546821569</t>
  </si>
  <si>
    <t>2.3060974037</t>
  </si>
  <si>
    <t>ECOLE MILITAIRE</t>
  </si>
  <si>
    <t>48.814803007</t>
  </si>
  <si>
    <t>2.42237614285</t>
  </si>
  <si>
    <t>ECOLE VETERINAIRE DE MAISONS-ALFORT</t>
  </si>
  <si>
    <t>49.023206379</t>
  </si>
  <si>
    <t>2.36222297963</t>
  </si>
  <si>
    <t>ECOUEN-EZANVILLE</t>
  </si>
  <si>
    <t>48.8406632293</t>
  </si>
  <si>
    <t>2.32638461079</t>
  </si>
  <si>
    <t>EDGAR QUINET</t>
  </si>
  <si>
    <t>48.8471500557</t>
  </si>
  <si>
    <t>2.26913587273</t>
  </si>
  <si>
    <t>EGLISE D'AUTEUIL</t>
  </si>
  <si>
    <t>48.89325759</t>
  </si>
  <si>
    <t>2.41331313951</t>
  </si>
  <si>
    <t>EGLISE DE PANTIN</t>
  </si>
  <si>
    <t>48.5824855969</t>
  </si>
  <si>
    <t>2.22243331248</t>
  </si>
  <si>
    <t>EGLY</t>
  </si>
  <si>
    <t>48.8974328495</t>
  </si>
  <si>
    <t>2.39504174968</t>
  </si>
  <si>
    <t>ELLA FITZGERALD</t>
  </si>
  <si>
    <t>48.8057703742</t>
  </si>
  <si>
    <t>2.61939578581</t>
  </si>
  <si>
    <t>EMERAINVILLE-PONTAULT-COMBAULT</t>
  </si>
  <si>
    <t>48.9727491189</t>
  </si>
  <si>
    <t>2.30713703345</t>
  </si>
  <si>
    <t>ENGHIEN-LES-BAINS</t>
  </si>
  <si>
    <t>48.6050762776</t>
  </si>
  <si>
    <t>1.6816457804</t>
  </si>
  <si>
    <t>EPERNON</t>
  </si>
  <si>
    <t>48.9555044771</t>
  </si>
  <si>
    <t>2.2955916949</t>
  </si>
  <si>
    <t>EPINAY-ORGEMONT</t>
  </si>
  <si>
    <t>48.6694837261</t>
  </si>
  <si>
    <t>2.3326229292</t>
  </si>
  <si>
    <t>EPINAY-SUR-ORGE</t>
  </si>
  <si>
    <t>48.9533964653</t>
  </si>
  <si>
    <t>2.30234042015</t>
  </si>
  <si>
    <t>EPINAY-SUR-SEINE</t>
  </si>
  <si>
    <t>RER C / T8 / T11</t>
  </si>
  <si>
    <t>48.9582696001</t>
  </si>
  <si>
    <t>2.32824501578</t>
  </si>
  <si>
    <t>EPINAY-VILLETANEUSE</t>
  </si>
  <si>
    <t>LIGNE H / T11</t>
  </si>
  <si>
    <t>48.8975167168</t>
  </si>
  <si>
    <t>2.32372791301</t>
  </si>
  <si>
    <t>Epinettes - Pouchet</t>
  </si>
  <si>
    <t>49.0551017596</t>
  </si>
  <si>
    <t>2.12273590692</t>
  </si>
  <si>
    <t>EPLUCHES</t>
  </si>
  <si>
    <t>48.9633441128</t>
  </si>
  <si>
    <t>1.80909450877</t>
  </si>
  <si>
    <t>EPONE-MEZIERES</t>
  </si>
  <si>
    <t>LIGNE J / LIGNE N</t>
  </si>
  <si>
    <t>49.0183491636</t>
  </si>
  <si>
    <t>2.09090606335</t>
  </si>
  <si>
    <t>ERAGNY-NEUVILLE</t>
  </si>
  <si>
    <t>48.9806461004</t>
  </si>
  <si>
    <t>2.27208477275</t>
  </si>
  <si>
    <t>ERMONT-EAUBONNE</t>
  </si>
  <si>
    <t>LIGNE H / LIGNE J / RER C</t>
  </si>
  <si>
    <t>48.9906512533</t>
  </si>
  <si>
    <t>2.26318262145</t>
  </si>
  <si>
    <t>ERMONT-HALTE</t>
  </si>
  <si>
    <t>48.903072916</t>
  </si>
  <si>
    <t>2.81024821936</t>
  </si>
  <si>
    <t>ESBLY</t>
  </si>
  <si>
    <t>48.9127049753</t>
  </si>
  <si>
    <t>2.43542099299</t>
  </si>
  <si>
    <t>ESCADRILLE NORMANDIE-NIEMEN</t>
  </si>
  <si>
    <t>48.8886312178</t>
  </si>
  <si>
    <t>2.24793243532</t>
  </si>
  <si>
    <t>ESPLANADE DE LA DEFENSE</t>
  </si>
  <si>
    <t>48.6055558264</t>
  </si>
  <si>
    <t>2.46245649414</t>
  </si>
  <si>
    <t>ESSONNES-ROBINSON</t>
  </si>
  <si>
    <t>48.4369239376</t>
  </si>
  <si>
    <t>2.15953058757</t>
  </si>
  <si>
    <t>ETAMPES</t>
  </si>
  <si>
    <t>48.8638074387</t>
  </si>
  <si>
    <t>2.34888065667</t>
  </si>
  <si>
    <t>ETIENNE-MARCEL</t>
  </si>
  <si>
    <t>48.1376108053</t>
  </si>
  <si>
    <t>3.28974196062</t>
  </si>
  <si>
    <t>ETIGNY-VERON</t>
  </si>
  <si>
    <t>48.4936445785</t>
  </si>
  <si>
    <t>2.19458169917</t>
  </si>
  <si>
    <t>ETRECHY</t>
  </si>
  <si>
    <t>48.8787703685</t>
  </si>
  <si>
    <t>2.32226521312</t>
  </si>
  <si>
    <t>EUROPE</t>
  </si>
  <si>
    <t>49.0184202918</t>
  </si>
  <si>
    <t>1.14900354805</t>
  </si>
  <si>
    <t>EVREUX</t>
  </si>
  <si>
    <t>48.6344790206</t>
  </si>
  <si>
    <t>2.45228989528</t>
  </si>
  <si>
    <t>EVRY</t>
  </si>
  <si>
    <t>48.626022428</t>
  </si>
  <si>
    <t>2.42873898192</t>
  </si>
  <si>
    <t>EVRY-COURCOURONNES</t>
  </si>
  <si>
    <t>48.8429386959</t>
  </si>
  <si>
    <t>2.26003290221</t>
  </si>
  <si>
    <t>EXELMANS</t>
  </si>
  <si>
    <t>48.8501778619</t>
  </si>
  <si>
    <t>2.38409221007</t>
  </si>
  <si>
    <t>FAIDHERBE-CHALIGNY</t>
  </si>
  <si>
    <t>48.8444701413</t>
  </si>
  <si>
    <t>2.31785278304</t>
  </si>
  <si>
    <t>FALGUIERE</t>
  </si>
  <si>
    <t>48.8086539649</t>
  </si>
  <si>
    <t>2.99310989342</t>
  </si>
  <si>
    <t>FAREMOUTIERS-POMMEUSE</t>
  </si>
  <si>
    <t>48.8966643963</t>
  </si>
  <si>
    <t>2.24007925205</t>
  </si>
  <si>
    <t>FAUBOURG DE L ARCHE</t>
  </si>
  <si>
    <t>48.8427467798</t>
  </si>
  <si>
    <t>2.29191241332</t>
  </si>
  <si>
    <t>FELIX FAURE</t>
  </si>
  <si>
    <t>48.0965027788</t>
  </si>
  <si>
    <t>2.77230261766</t>
  </si>
  <si>
    <t>FERRIERES FONTENAY</t>
  </si>
  <si>
    <t>49.1795049508</t>
  </si>
  <si>
    <t>3.12061291667</t>
  </si>
  <si>
    <t>FERTE-MILON</t>
  </si>
  <si>
    <t>48.863257945</t>
  </si>
  <si>
    <t>2.36666109472</t>
  </si>
  <si>
    <t>FILLES DU CALVAIRE</t>
  </si>
  <si>
    <t>48.4872228755</t>
  </si>
  <si>
    <t>2.75115365838</t>
  </si>
  <si>
    <t>FONTAINE-LE-PORT</t>
  </si>
  <si>
    <t>48.7433734057</t>
  </si>
  <si>
    <t>2.29639316293</t>
  </si>
  <si>
    <t>FONTAINE-MICHALON</t>
  </si>
  <si>
    <t>48.4163770339</t>
  </si>
  <si>
    <t>2.72666153308</t>
  </si>
  <si>
    <t>FONTAINEBLEAU-AVON</t>
  </si>
  <si>
    <t>48.78761468</t>
  </si>
  <si>
    <t>2.29249297647</t>
  </si>
  <si>
    <t>FONTENAY-AUX-ROSES</t>
  </si>
  <si>
    <t>48.8072466121</t>
  </si>
  <si>
    <t>2.04051920334</t>
  </si>
  <si>
    <t>FONTENAY-LE-FLEURY</t>
  </si>
  <si>
    <t>48.8437202616</t>
  </si>
  <si>
    <t>2.46370803804</t>
  </si>
  <si>
    <t>FONTENAY-SOUS-BOIS</t>
  </si>
  <si>
    <t>48.9149497573</t>
  </si>
  <si>
    <t>2.40440908878</t>
  </si>
  <si>
    <t>FORT D'AUBERVILLIERS</t>
  </si>
  <si>
    <t>48.9937134804</t>
  </si>
  <si>
    <t>2.23427639536</t>
  </si>
  <si>
    <t>FRANCONVILLE-LE-PLESSIS-BOUCHARD</t>
  </si>
  <si>
    <t>48.8690265273</t>
  </si>
  <si>
    <t>2.30993538871</t>
  </si>
  <si>
    <t>FRANKLIN-D.ROOSEVELT</t>
  </si>
  <si>
    <t>M1 / M9</t>
  </si>
  <si>
    <t>48.926640202</t>
  </si>
  <si>
    <t>2.51910376383</t>
  </si>
  <si>
    <t>FREINVILLE-SEVRAN</t>
  </si>
  <si>
    <t>49.0454302542</t>
  </si>
  <si>
    <t>2.19708767832</t>
  </si>
  <si>
    <t>FREPILLON</t>
  </si>
  <si>
    <t>48.906567146</t>
  </si>
  <si>
    <t>2.3659203194</t>
  </si>
  <si>
    <t>FRONT POPULAIRE</t>
  </si>
  <si>
    <t>48.8846809737</t>
  </si>
  <si>
    <t>2.34266003734</t>
  </si>
  <si>
    <t>FUNICULAIRE MONTMARTRE STATION BASSE</t>
  </si>
  <si>
    <t>FUNICULAIR</t>
  </si>
  <si>
    <t>48.8856611127</t>
  </si>
  <si>
    <t>2.34254965326</t>
  </si>
  <si>
    <t>FUNICULAIRE MONTMARTRE STATION HAUTE</t>
  </si>
  <si>
    <t>48.9163823099</t>
  </si>
  <si>
    <t>2.2946851117</t>
  </si>
  <si>
    <t>GABRIEL PERI-ASNIERES-GENNEVILLIERS</t>
  </si>
  <si>
    <t>48.883734281</t>
  </si>
  <si>
    <t>2.52543425077</t>
  </si>
  <si>
    <t>GAGNY</t>
  </si>
  <si>
    <t>48.8386316471</t>
  </si>
  <si>
    <t>2.32249174845</t>
  </si>
  <si>
    <t>GAITE</t>
  </si>
  <si>
    <t>48.8653353173</t>
  </si>
  <si>
    <t>2.41669727286</t>
  </si>
  <si>
    <t>GALLIENI (PARC DE BAGNOLET)</t>
  </si>
  <si>
    <t>48.8649166851</t>
  </si>
  <si>
    <t>2.39898444025</t>
  </si>
  <si>
    <t>GAMBETTA</t>
  </si>
  <si>
    <t>M3 / M3bis</t>
  </si>
  <si>
    <t>48.8104024635</t>
  </si>
  <si>
    <t>1.76505675794</t>
  </si>
  <si>
    <t>GARANCIERES-LA QUEUE</t>
  </si>
  <si>
    <t>48.8382825478</t>
  </si>
  <si>
    <t>2.18711071379</t>
  </si>
  <si>
    <t>GARCHES-MARNES-LA-COQUETTE</t>
  </si>
  <si>
    <t>48.8773756199</t>
  </si>
  <si>
    <t>2.35945661694</t>
  </si>
  <si>
    <t>GARE DE L'EST</t>
  </si>
  <si>
    <t>LIGNE P / M4 / M5 / M7</t>
  </si>
  <si>
    <t>48.8441393499</t>
  </si>
  <si>
    <t>2.37325997807</t>
  </si>
  <si>
    <t>GARE DE LYON</t>
  </si>
  <si>
    <t>LIGNE R / RER A / RER D / M1 / M14</t>
  </si>
  <si>
    <t>48.9549290045</t>
  </si>
  <si>
    <t>2.39095508616</t>
  </si>
  <si>
    <t>GARE DE STAINS LA CERISAIE</t>
  </si>
  <si>
    <t>48.8809220076</t>
  </si>
  <si>
    <t>2.35632854366</t>
  </si>
  <si>
    <t>GARE DU NORD</t>
  </si>
  <si>
    <t>LIGNE H / LIGNE K / RER B / RER D / M4 / M5</t>
  </si>
  <si>
    <t>48.9081654152</t>
  </si>
  <si>
    <t>2.5170254953</t>
  </si>
  <si>
    <t>GARGAN</t>
  </si>
  <si>
    <t>48.9829797632</t>
  </si>
  <si>
    <t>1.80890782598</t>
  </si>
  <si>
    <t>GARGENVILLE</t>
  </si>
  <si>
    <t>48.9768685885</t>
  </si>
  <si>
    <t>2.39076393271</t>
  </si>
  <si>
    <t>GARGES-SARCELLES</t>
  </si>
  <si>
    <t>RER D / T5</t>
  </si>
  <si>
    <t>48.9060940502</t>
  </si>
  <si>
    <t>2.33183083796</t>
  </si>
  <si>
    <t>GARIBALDI</t>
  </si>
  <si>
    <t>48.9140932644</t>
  </si>
  <si>
    <t>2.43127800347</t>
  </si>
  <si>
    <t>GASTON ROULAUD</t>
  </si>
  <si>
    <t>48.6259908189</t>
  </si>
  <si>
    <t>1.77169568576</t>
  </si>
  <si>
    <t>GAZERAN</t>
  </si>
  <si>
    <t>48.9333260591</t>
  </si>
  <si>
    <t>2.30773181899</t>
  </si>
  <si>
    <t>GENNEVILLIERS</t>
  </si>
  <si>
    <t>RER C / T1</t>
  </si>
  <si>
    <t>48.815229932</t>
  </si>
  <si>
    <t>2.34089113384</t>
  </si>
  <si>
    <t>GENTILLY</t>
  </si>
  <si>
    <t>48.8720238095</t>
  </si>
  <si>
    <t>2.30056045125</t>
  </si>
  <si>
    <t>GEORGE V</t>
  </si>
  <si>
    <t>48.829826379</t>
  </si>
  <si>
    <t>2.29566198282</t>
  </si>
  <si>
    <t>GEORGES BRASSENS</t>
  </si>
  <si>
    <t>48.7835009757</t>
  </si>
  <si>
    <t>2.23098355894</t>
  </si>
  <si>
    <t>GEORGES MILLANDY</t>
  </si>
  <si>
    <t>48.7849021663</t>
  </si>
  <si>
    <t>2.23713270497</t>
  </si>
  <si>
    <t>GEORGES POMPIDOU</t>
  </si>
  <si>
    <t>48.6981969763</t>
  </si>
  <si>
    <t>2.13656671434</t>
  </si>
  <si>
    <t>GIF-SUR-YVETTE</t>
  </si>
  <si>
    <t>48.9554374261</t>
  </si>
  <si>
    <t>2.30787256835</t>
  </si>
  <si>
    <t>GILBERT BONNEMAISON</t>
  </si>
  <si>
    <t>48.9150967438</t>
  </si>
  <si>
    <t>1.50534780686</t>
  </si>
  <si>
    <t>GILLES-GUAINVILLE</t>
  </si>
  <si>
    <t>49.2852635241</t>
  </si>
  <si>
    <t>1.78506622348</t>
  </si>
  <si>
    <t>GISORS</t>
  </si>
  <si>
    <t>48.831129548</t>
  </si>
  <si>
    <t>2.34351165775</t>
  </si>
  <si>
    <t>GLACIERE</t>
  </si>
  <si>
    <t>48.8699575127</t>
  </si>
  <si>
    <t>2.37109483973</t>
  </si>
  <si>
    <t>GONCOURT (HOPITAL SAINT-LOUIS)</t>
  </si>
  <si>
    <t>49.0231619963</t>
  </si>
  <si>
    <t>2.46216896206</t>
  </si>
  <si>
    <t>GOUSSAINVILLE</t>
  </si>
  <si>
    <t>48.6484891135</t>
  </si>
  <si>
    <t>2.43533052881</t>
  </si>
  <si>
    <t>GRAND-BOURG</t>
  </si>
  <si>
    <t>48.8714977394</t>
  </si>
  <si>
    <t>2.34315477308</t>
  </si>
  <si>
    <t>GRANDS BOULEVARDS (RUE MONTMARTRE)</t>
  </si>
  <si>
    <t>48.6857136282</t>
  </si>
  <si>
    <t>2.31762640359</t>
  </si>
  <si>
    <t>GRAVIGNY-BALIZY</t>
  </si>
  <si>
    <t>48.7464523207</t>
  </si>
  <si>
    <t>2.72722937143</t>
  </si>
  <si>
    <t>GRETZ-ARMAINVILLIERS</t>
  </si>
  <si>
    <t>48.6539697584</t>
  </si>
  <si>
    <t>2.39617681109</t>
  </si>
  <si>
    <t>GRIGNY-CENTRE</t>
  </si>
  <si>
    <t>48.9960988426</t>
  </si>
  <si>
    <t>2.25965561906</t>
  </si>
  <si>
    <t>GROS-NOYER-SAINT-PRIX</t>
  </si>
  <si>
    <t>48.9843159639</t>
  </si>
  <si>
    <t>2.35340724858</t>
  </si>
  <si>
    <t>GROSLAY</t>
  </si>
  <si>
    <t>48.8107753209</t>
  </si>
  <si>
    <t>2.95373038446</t>
  </si>
  <si>
    <t>GUERARD-LA-CELLE-SUR-MORIN</t>
  </si>
  <si>
    <t>48.3745250134</t>
  </si>
  <si>
    <t>2.05991234764</t>
  </si>
  <si>
    <t>GUILLERVAL</t>
  </si>
  <si>
    <t>48.8928288534</t>
  </si>
  <si>
    <t>2.3274284585</t>
  </si>
  <si>
    <t>GUY MOQUET</t>
  </si>
  <si>
    <t>48.9482081285</t>
  </si>
  <si>
    <t>2.35746152626</t>
  </si>
  <si>
    <t>GUYNEMER</t>
  </si>
  <si>
    <t>48.8738067339</t>
  </si>
  <si>
    <t>2.32699985888</t>
  </si>
  <si>
    <t>HAVRE-CAUMARTIN</t>
  </si>
  <si>
    <t>M3 / M9</t>
  </si>
  <si>
    <t>48.7399874304</t>
  </si>
  <si>
    <t>2.3594678211</t>
  </si>
  <si>
    <t>HELENE BOUCHER</t>
  </si>
  <si>
    <t>48.8347500104</t>
  </si>
  <si>
    <t>2.27124150094</t>
  </si>
  <si>
    <t>HENRI FARMANN</t>
  </si>
  <si>
    <t>48.9902899964</t>
  </si>
  <si>
    <t>2.16190660559</t>
  </si>
  <si>
    <t>HERBLAY</t>
  </si>
  <si>
    <t>48.4428820642</t>
  </si>
  <si>
    <t>2.76092673374</t>
  </si>
  <si>
    <t>HERICY</t>
  </si>
  <si>
    <t>48.8912285941</t>
  </si>
  <si>
    <t>2.40235214662</t>
  </si>
  <si>
    <t>HOCHE</t>
  </si>
  <si>
    <t>48.8962264947</t>
  </si>
  <si>
    <t>2.31880232726</t>
  </si>
  <si>
    <t>Honor√© de Balzac</t>
  </si>
  <si>
    <t>48.9158378929</t>
  </si>
  <si>
    <t>2.42500989427</t>
  </si>
  <si>
    <t>HOPITAL AVICENNE</t>
  </si>
  <si>
    <t>48.7867161822</t>
  </si>
  <si>
    <t>2.25450215204</t>
  </si>
  <si>
    <t>HOPITAL BECLERE</t>
  </si>
  <si>
    <t>48.9335864037</t>
  </si>
  <si>
    <t>2.37108317162</t>
  </si>
  <si>
    <t>HOPITAL DELAFONTAINE</t>
  </si>
  <si>
    <t>48.8794703691</t>
  </si>
  <si>
    <t>2.40122176128</t>
  </si>
  <si>
    <t>HOPITAL ROBERT DEBRE</t>
  </si>
  <si>
    <t>48.8575515533</t>
  </si>
  <si>
    <t>2.35129220933</t>
  </si>
  <si>
    <t>HOTEL DE VILLE</t>
  </si>
  <si>
    <t>M1 / M11</t>
  </si>
  <si>
    <t>48.9065365591</t>
  </si>
  <si>
    <t>2.44399233455</t>
  </si>
  <si>
    <t>HOTEL DE VILLE - MAISON DE LA CULTURE</t>
  </si>
  <si>
    <t>48.9274028908</t>
  </si>
  <si>
    <t>2.39247111933</t>
  </si>
  <si>
    <t>HOTEL DE VILLE DE LA COURNEUVE</t>
  </si>
  <si>
    <t>48.7960253678</t>
  </si>
  <si>
    <t>1.60270169299</t>
  </si>
  <si>
    <t>HOUDAN</t>
  </si>
  <si>
    <t>48.9203793748</t>
  </si>
  <si>
    <t>2.18535337629</t>
  </si>
  <si>
    <t>HOUILLES-CARRIERES-SUR-SEINE</t>
  </si>
  <si>
    <t>48.8647940649</t>
  </si>
  <si>
    <t>2.29416201403</t>
  </si>
  <si>
    <t>IENA</t>
  </si>
  <si>
    <t>48.740181522</t>
  </si>
  <si>
    <t>2.23096112505</t>
  </si>
  <si>
    <t>IGNY</t>
  </si>
  <si>
    <t>48.7814043209</t>
  </si>
  <si>
    <t>2.20912922729</t>
  </si>
  <si>
    <t>INOVEL PARC NORD</t>
  </si>
  <si>
    <t>48.8629018442</t>
  </si>
  <si>
    <t>2.31390890638</t>
  </si>
  <si>
    <t>INVALIDES</t>
  </si>
  <si>
    <t>RER C / M8 / M13</t>
  </si>
  <si>
    <t>48.9984153932</t>
  </si>
  <si>
    <t>3.00795305575</t>
  </si>
  <si>
    <t>ISLES-ARMENTIERES-CONGIS</t>
  </si>
  <si>
    <t>48.9792922476</t>
  </si>
  <si>
    <t>1.78397340775</t>
  </si>
  <si>
    <t>ISSOU-PORCHEVILLE</t>
  </si>
  <si>
    <t>48.8196744882</t>
  </si>
  <si>
    <t>2.25875976703</t>
  </si>
  <si>
    <t>ISSY</t>
  </si>
  <si>
    <t>48.8301196393</t>
  </si>
  <si>
    <t>2.26368964874</t>
  </si>
  <si>
    <t>ISSY-VAL DE SEINE</t>
  </si>
  <si>
    <t>RER C / T2</t>
  </si>
  <si>
    <t>48.8139890511</t>
  </si>
  <si>
    <t>2.39168697167</t>
  </si>
  <si>
    <t>IVRY-SUR-SEINE</t>
  </si>
  <si>
    <t>48.9108025897</t>
  </si>
  <si>
    <t>2.23398860143</t>
  </si>
  <si>
    <t>JACQUELINE AURIOL</t>
  </si>
  <si>
    <t>48.8708099836</t>
  </si>
  <si>
    <t>2.36102746278</t>
  </si>
  <si>
    <t>JACQUES BONSERGENT</t>
  </si>
  <si>
    <t>48.9708834042</t>
  </si>
  <si>
    <t>2.36600388911</t>
  </si>
  <si>
    <t>JACQUES PREVERT</t>
  </si>
  <si>
    <t>48.8247670255</t>
  </si>
  <si>
    <t>2.26053991367</t>
  </si>
  <si>
    <t>JACQUES-HENRI LARTIGUE</t>
  </si>
  <si>
    <t>48.8525040906</t>
  </si>
  <si>
    <t>2.26817674944</t>
  </si>
  <si>
    <t>JASMIN</t>
  </si>
  <si>
    <t>48.8827381328</t>
  </si>
  <si>
    <t>2.37012231228</t>
  </si>
  <si>
    <t>JAURES</t>
  </si>
  <si>
    <t>M2 / M5 / M7b</t>
  </si>
  <si>
    <t>48.8461921405</t>
  </si>
  <si>
    <t>2.27676096738</t>
  </si>
  <si>
    <t>JAVEL</t>
  </si>
  <si>
    <t>RER C / M10</t>
  </si>
  <si>
    <t>48.8247110179</t>
  </si>
  <si>
    <t>2.31882969127</t>
  </si>
  <si>
    <t>JEAN MOULIN</t>
  </si>
  <si>
    <t>48.9078125468</t>
  </si>
  <si>
    <t>2.45435282652</t>
  </si>
  <si>
    <t>JEAN ROSTAND</t>
  </si>
  <si>
    <t>48.9527263299</t>
  </si>
  <si>
    <t>2.34346127953</t>
  </si>
  <si>
    <t>JEAN VILAR</t>
  </si>
  <si>
    <t>47.9734303157</t>
  </si>
  <si>
    <t>3.39286472634</t>
  </si>
  <si>
    <t>JOIGNY</t>
  </si>
  <si>
    <t>48.8210388178</t>
  </si>
  <si>
    <t>2.4638567967</t>
  </si>
  <si>
    <t>JOINVILLE-LE-PONT</t>
  </si>
  <si>
    <t>48.955576348</t>
  </si>
  <si>
    <t>2.35832285615</t>
  </si>
  <si>
    <t>JONCHEROLLES</t>
  </si>
  <si>
    <t>48.875111816</t>
  </si>
  <si>
    <t>2.38941502932</t>
  </si>
  <si>
    <t>JOURDAIN</t>
  </si>
  <si>
    <t>48.5104473928</t>
  </si>
  <si>
    <t>1.55777636925</t>
  </si>
  <si>
    <t>JOUY</t>
  </si>
  <si>
    <t>48.7647760129</t>
  </si>
  <si>
    <t>2.16394708452</t>
  </si>
  <si>
    <t>JOUY-EN-JOSAS</t>
  </si>
  <si>
    <t>48.8924395905</t>
  </si>
  <si>
    <t>2.34465700413</t>
  </si>
  <si>
    <t>JULES JOFFRIN</t>
  </si>
  <si>
    <t>48.8461511231</t>
  </si>
  <si>
    <t>2.3549179837</t>
  </si>
  <si>
    <t>JUSSIEU</t>
  </si>
  <si>
    <t>M7 / M10</t>
  </si>
  <si>
    <t>48.6894902048</t>
  </si>
  <si>
    <t>2.3830198083</t>
  </si>
  <si>
    <t>JUVISY</t>
  </si>
  <si>
    <t>RER C / RER D</t>
  </si>
  <si>
    <t>48.9922412813</t>
  </si>
  <si>
    <t>1.84513444487</t>
  </si>
  <si>
    <t>JUZIERS</t>
  </si>
  <si>
    <t>48.8716497691</t>
  </si>
  <si>
    <t>2.29352429034</t>
  </si>
  <si>
    <t>KLEBER</t>
  </si>
  <si>
    <t>48.9357480421</t>
  </si>
  <si>
    <t>2.33910838701</t>
  </si>
  <si>
    <t>L ILE-SAINT-DENIS</t>
  </si>
  <si>
    <t>48.9219261433</t>
  </si>
  <si>
    <t>2.51644353517</t>
  </si>
  <si>
    <t>L'ABBAYE</t>
  </si>
  <si>
    <t>48.8680644232</t>
  </si>
  <si>
    <t>2.07671910268</t>
  </si>
  <si>
    <t>L'ETANG-LA-VILLE</t>
  </si>
  <si>
    <t>49.114783971</t>
  </si>
  <si>
    <t>2.21001986928</t>
  </si>
  <si>
    <t>L'ISLE-ADAM-PARMAIN</t>
  </si>
  <si>
    <t>48.7819866725</t>
  </si>
  <si>
    <t>2.18049375093</t>
  </si>
  <si>
    <t>L'ONDE</t>
  </si>
  <si>
    <t>48.9663265448</t>
  </si>
  <si>
    <t>2.31658207116</t>
  </si>
  <si>
    <t>LA BARRE-ORMESSON</t>
  </si>
  <si>
    <t>48.7567394335</t>
  </si>
  <si>
    <t>2.36836469863</t>
  </si>
  <si>
    <t>LA BELLE EPINE</t>
  </si>
  <si>
    <t>49.1267809411</t>
  </si>
  <si>
    <t>2.50614369063</t>
  </si>
  <si>
    <t>LA BORNE BLANCHE</t>
  </si>
  <si>
    <t>48.8427199561</t>
  </si>
  <si>
    <t>2.13812505739</t>
  </si>
  <si>
    <t>LA CELLE-SAINT-CLOUD</t>
  </si>
  <si>
    <t>48.8843987952</t>
  </si>
  <si>
    <t>2.36049131853</t>
  </si>
  <si>
    <t>LA CHAPELLE</t>
  </si>
  <si>
    <t>48.9207859691</t>
  </si>
  <si>
    <t>2.4105986151</t>
  </si>
  <si>
    <t>LA COURNEUVE 8 MAI 1945</t>
  </si>
  <si>
    <t>M7 / T1</t>
  </si>
  <si>
    <t>48.9243538787</t>
  </si>
  <si>
    <t>2.38638828562</t>
  </si>
  <si>
    <t>LA COURNEUVE-AUBERVILLIERS</t>
  </si>
  <si>
    <t>48.7616936904</t>
  </si>
  <si>
    <t>2.30422734755</t>
  </si>
  <si>
    <t>LA CROIX-DE-BERNY-FRESNES</t>
  </si>
  <si>
    <t>48.8921870764</t>
  </si>
  <si>
    <t>2.2370180564</t>
  </si>
  <si>
    <t>LA DEFENSE-GRANDE ARCHE</t>
  </si>
  <si>
    <t>LIGNE L / LIGNE U / RER A / M1 / T2</t>
  </si>
  <si>
    <t>48.9096663654</t>
  </si>
  <si>
    <t>2.43748780358</t>
  </si>
  <si>
    <t>LA FERME</t>
  </si>
  <si>
    <t>48.4849573763</t>
  </si>
  <si>
    <t>2.35185842143</t>
  </si>
  <si>
    <t>LA FERTE-ALAIS</t>
  </si>
  <si>
    <t>48.9508199876</t>
  </si>
  <si>
    <t>3.12490902211</t>
  </si>
  <si>
    <t>LA FERTE-SOUS-JOUARRE</t>
  </si>
  <si>
    <t>48.8871839469</t>
  </si>
  <si>
    <t>2.32577967481</t>
  </si>
  <si>
    <t>LA FOURCHE</t>
  </si>
  <si>
    <t>48.9802635207</t>
  </si>
  <si>
    <t>2.18001238078</t>
  </si>
  <si>
    <t>LA FRETTE-MONTIGNY</t>
  </si>
  <si>
    <t>48.909632934</t>
  </si>
  <si>
    <t>2.23968411711</t>
  </si>
  <si>
    <t>LA GARENNE-COLOMBES</t>
  </si>
  <si>
    <t>48.3787957617</t>
  </si>
  <si>
    <t>2.89720178188</t>
  </si>
  <si>
    <t>LA GRANDE PAROISSE</t>
  </si>
  <si>
    <t>48.6952641221</t>
  </si>
  <si>
    <t>2.15164203998</t>
  </si>
  <si>
    <t>LA HACQUINIERE</t>
  </si>
  <si>
    <t>48.8490645635</t>
  </si>
  <si>
    <t>2.29791659184</t>
  </si>
  <si>
    <t>LA MOTTE-PICQUET-GRENELLE</t>
  </si>
  <si>
    <t>M6 / M8 / M10</t>
  </si>
  <si>
    <t>48.8580460554</t>
  </si>
  <si>
    <t>2.27415462837</t>
  </si>
  <si>
    <t>LA MUETTE</t>
  </si>
  <si>
    <t>48.5914608202</t>
  </si>
  <si>
    <t>2.26693797126</t>
  </si>
  <si>
    <t>LA NORVILLE-SAINT-GERMAIN-LES-ARPAJON</t>
  </si>
  <si>
    <t>48.9349758267</t>
  </si>
  <si>
    <t>2.32679331227</t>
  </si>
  <si>
    <t>LA NOUE</t>
  </si>
  <si>
    <t>48.9181138031</t>
  </si>
  <si>
    <t>2.36266559747</t>
  </si>
  <si>
    <t>LA PLAINE-STADE DE FRANCE</t>
  </si>
  <si>
    <t>48.8930946286</t>
  </si>
  <si>
    <t>2.48791098763</t>
  </si>
  <si>
    <t>LA REMISE A JORELLE</t>
  </si>
  <si>
    <t>48.8577254129</t>
  </si>
  <si>
    <t>2.31056596095</t>
  </si>
  <si>
    <t>LA TOUR MAUBOURG</t>
  </si>
  <si>
    <t>48.7953838374</t>
  </si>
  <si>
    <t>2.51342330089</t>
  </si>
  <si>
    <t>LA VARENNE-CHENNEVIERES</t>
  </si>
  <si>
    <t>48.7553892687</t>
  </si>
  <si>
    <t>1.9438351997</t>
  </si>
  <si>
    <t>LA VERRIERE</t>
  </si>
  <si>
    <t>LIGNE N / LIGNE U</t>
  </si>
  <si>
    <t>49.202693603</t>
  </si>
  <si>
    <t>1.92054770607</t>
  </si>
  <si>
    <t>LA VILLETERTRE</t>
  </si>
  <si>
    <t>48.4824105013</t>
  </si>
  <si>
    <t>1.52235765163</t>
  </si>
  <si>
    <t>LA VILLETTE-SAINT-PREST</t>
  </si>
  <si>
    <t>48.9558768749</t>
  </si>
  <si>
    <t>2.31152630869</t>
  </si>
  <si>
    <t>LACEPEDE</t>
  </si>
  <si>
    <t>48.8821891376</t>
  </si>
  <si>
    <t>2.70601418112</t>
  </si>
  <si>
    <t>LAGNY-THORIGNY</t>
  </si>
  <si>
    <t>48.8896740757</t>
  </si>
  <si>
    <t>2.33876065323</t>
  </si>
  <si>
    <t>LAMARCK-CAULAINCOURT</t>
  </si>
  <si>
    <t>48.7831075504</t>
  </si>
  <si>
    <t>2.36715783332</t>
  </si>
  <si>
    <t>LAMARTINE</t>
  </si>
  <si>
    <t>48.8082965895</t>
  </si>
  <si>
    <t>2.33435431099</t>
  </si>
  <si>
    <t>LAPLACE</t>
  </si>
  <si>
    <t>48.5204035911</t>
  </si>
  <si>
    <t>2.25473970107</t>
  </si>
  <si>
    <t>LARDY</t>
  </si>
  <si>
    <t>47.961118247</t>
  </si>
  <si>
    <t>3.51433646502</t>
  </si>
  <si>
    <t>LAROCHE-MIGENNES</t>
  </si>
  <si>
    <t>48.885216183</t>
  </si>
  <si>
    <t>2.37966308156</t>
  </si>
  <si>
    <t>LAUMIERE</t>
  </si>
  <si>
    <t>48.9307395703</t>
  </si>
  <si>
    <t>2.4257914242</t>
  </si>
  <si>
    <t>LE BOURGET</t>
  </si>
  <si>
    <t>RER B / T11</t>
  </si>
  <si>
    <t>48.623332241</t>
  </si>
  <si>
    <t>2.45140908881</t>
  </si>
  <si>
    <t>LE BRAS-DE-FER</t>
  </si>
  <si>
    <t>48.8771578388</t>
  </si>
  <si>
    <t>2.55288164979</t>
  </si>
  <si>
    <t>LE CHENAY-GAGNY</t>
  </si>
  <si>
    <t>48.5661178207</t>
  </si>
  <si>
    <t>2.49271300288</t>
  </si>
  <si>
    <t>LE COUDRAY-MONTCEAUX</t>
  </si>
  <si>
    <t>48.7054039248</t>
  </si>
  <si>
    <t>2.19273488481</t>
  </si>
  <si>
    <t>LE GUICHET</t>
  </si>
  <si>
    <t>48.8101299573</t>
  </si>
  <si>
    <t>2.36226338713</t>
  </si>
  <si>
    <t>LE KREMLIN-BICETRE</t>
  </si>
  <si>
    <t>48.9318139969</t>
  </si>
  <si>
    <t>2.28865600596</t>
  </si>
  <si>
    <t>LE LUTH</t>
  </si>
  <si>
    <t>48.5387752593</t>
  </si>
  <si>
    <t>2.62552215098</t>
  </si>
  <si>
    <t>LE MEE</t>
  </si>
  <si>
    <t>48.8053776631</t>
  </si>
  <si>
    <t>2.48634975285</t>
  </si>
  <si>
    <t>LE PARC-DE-SAINT-MAUR</t>
  </si>
  <si>
    <t>48.8748743434</t>
  </si>
  <si>
    <t>2.34019988439</t>
  </si>
  <si>
    <t>LE PELETIER</t>
  </si>
  <si>
    <t>48.6930965903</t>
  </si>
  <si>
    <t>1.85659206531</t>
  </si>
  <si>
    <t>LE PERRAY</t>
  </si>
  <si>
    <t>49.0961208107</t>
  </si>
  <si>
    <t>2.74468620744</t>
  </si>
  <si>
    <t>LE PLESSIS-BELLEVILLE</t>
  </si>
  <si>
    <t>48.5738077936</t>
  </si>
  <si>
    <t>2.4794691696</t>
  </si>
  <si>
    <t>LE PLESSIS-CHENET</t>
  </si>
  <si>
    <t>48.8890765947</t>
  </si>
  <si>
    <t>2.51256682146</t>
  </si>
  <si>
    <t>LE RAINCY-VILLEMOMBLE-MONTFERMEIL</t>
  </si>
  <si>
    <t>48.9310542278</t>
  </si>
  <si>
    <t>2.26060231561</t>
  </si>
  <si>
    <t>LE STADE</t>
  </si>
  <si>
    <t>48.8564199914</t>
  </si>
  <si>
    <t>2.21657223779</t>
  </si>
  <si>
    <t>LE VAL-D'OR</t>
  </si>
  <si>
    <t>48.7889148994</t>
  </si>
  <si>
    <t>2.43207011656</t>
  </si>
  <si>
    <t>LE VERT-DE-MAISONS</t>
  </si>
  <si>
    <t>48.8900862355</t>
  </si>
  <si>
    <t>2.13460087387</t>
  </si>
  <si>
    <t>LE VESINET-CENTRE</t>
  </si>
  <si>
    <t>48.897973449</t>
  </si>
  <si>
    <t>2.12211744606</t>
  </si>
  <si>
    <t>LE VESINET-LE PECQ</t>
  </si>
  <si>
    <t>48.9333553822</t>
  </si>
  <si>
    <t>2.29460298939</t>
  </si>
  <si>
    <t>LE VILLAGE</t>
  </si>
  <si>
    <t>48.8512711264</t>
  </si>
  <si>
    <t>2.3761187747</t>
  </si>
  <si>
    <t>LEDRU-ROLLIN</t>
  </si>
  <si>
    <t>48.9231037797</t>
  </si>
  <si>
    <t>2.28627957753</t>
  </si>
  <si>
    <t>LES AGNETTES-ASNIERES-GENNEVILLIERS</t>
  </si>
  <si>
    <t>48.7825054355</t>
  </si>
  <si>
    <t>2.4095416551</t>
  </si>
  <si>
    <t>LES ARDOINES</t>
  </si>
  <si>
    <t>48.7396810434</t>
  </si>
  <si>
    <t>2.28766749681</t>
  </si>
  <si>
    <t>LES BACONNETS</t>
  </si>
  <si>
    <t>48.9517087836</t>
  </si>
  <si>
    <t>2.32021652167</t>
  </si>
  <si>
    <t>LES BEATUS</t>
  </si>
  <si>
    <t>48.8248485695</t>
  </si>
  <si>
    <t>2.51185555481</t>
  </si>
  <si>
    <t>LES BOULLEREAUX-CHAMPIGNY</t>
  </si>
  <si>
    <t>48.9926138816</t>
  </si>
  <si>
    <t>1.95547924753</t>
  </si>
  <si>
    <t>LES CLAIRIERES-DE-VERNEUIL</t>
  </si>
  <si>
    <t>48.8925047614</t>
  </si>
  <si>
    <t>2.49938845729</t>
  </si>
  <si>
    <t>LES COQUETIERS</t>
  </si>
  <si>
    <t>48.8574714089</t>
  </si>
  <si>
    <t>2.22060356003</t>
  </si>
  <si>
    <t>LES COTEAUX</t>
  </si>
  <si>
    <t>48.9307570033</t>
  </si>
  <si>
    <t>2.28417444828</t>
  </si>
  <si>
    <t>LES COURTILLES-ASNIERES-GENNEVILLIERS</t>
  </si>
  <si>
    <t>48.9027680256</t>
  </si>
  <si>
    <t>2.23954203632</t>
  </si>
  <si>
    <t>LES FAUVELLES</t>
  </si>
  <si>
    <t>48.9766656914</t>
  </si>
  <si>
    <t>2.37741967331</t>
  </si>
  <si>
    <t>LES FLANADES</t>
  </si>
  <si>
    <t>48.8358634878</t>
  </si>
  <si>
    <t>2.35258892287</t>
  </si>
  <si>
    <t>LES GOBELINS</t>
  </si>
  <si>
    <t>48.9208728035</t>
  </si>
  <si>
    <t>2.31383538247</t>
  </si>
  <si>
    <t>LES GRESILLONS</t>
  </si>
  <si>
    <t>48.8623162796</t>
  </si>
  <si>
    <t>2.34567382821</t>
  </si>
  <si>
    <t>LES HALLES</t>
  </si>
  <si>
    <t>48.9785246243</t>
  </si>
  <si>
    <t>2.38504919201</t>
  </si>
  <si>
    <t>LES LOCHERES</t>
  </si>
  <si>
    <t>48.8498504878</t>
  </si>
  <si>
    <t>2.22123268327</t>
  </si>
  <si>
    <t>LES MILONS</t>
  </si>
  <si>
    <t>48.9499377357</t>
  </si>
  <si>
    <t>2.32883217135</t>
  </si>
  <si>
    <t>LES MOBILES</t>
  </si>
  <si>
    <t>48.8215175225</t>
  </si>
  <si>
    <t>2.25133615621</t>
  </si>
  <si>
    <t>LES MOULINEAUX</t>
  </si>
  <si>
    <t>48.9925919556</t>
  </si>
  <si>
    <t>1.91353050671</t>
  </si>
  <si>
    <t>LES MUREAUX</t>
  </si>
  <si>
    <t>49.0331827681</t>
  </si>
  <si>
    <t>2.47803336649</t>
  </si>
  <si>
    <t>LES NOUES</t>
  </si>
  <si>
    <t>48.9024441906</t>
  </si>
  <si>
    <t>2.51169930327</t>
  </si>
  <si>
    <t>LES PAVILLONS-SOUS-BOIS</t>
  </si>
  <si>
    <t>48.8811915206</t>
  </si>
  <si>
    <t>2.27168672105</t>
  </si>
  <si>
    <t>LES SABLONS (JARDIN D'ACCLIMATATION)</t>
  </si>
  <si>
    <t>48.7450721714</t>
  </si>
  <si>
    <t>2.41752097785</t>
  </si>
  <si>
    <t>LES SAULES</t>
  </si>
  <si>
    <t>48.9136368639</t>
  </si>
  <si>
    <t>2.25732601422</t>
  </si>
  <si>
    <t>LES VALLEES</t>
  </si>
  <si>
    <t>48.8231518567</t>
  </si>
  <si>
    <t>2.5798372539</t>
  </si>
  <si>
    <t>LES YVRIS-NOISY-LE-GRAND</t>
  </si>
  <si>
    <t>48.7219159611</t>
  </si>
  <si>
    <t>1.89000456506</t>
  </si>
  <si>
    <t>LES-ESSARTS-LE-ROI</t>
  </si>
  <si>
    <t>49.2208070506</t>
  </si>
  <si>
    <t>1.90529906189</t>
  </si>
  <si>
    <t>LIANCOURT-SAINT-PIERRE</t>
  </si>
  <si>
    <t>48.9069318321</t>
  </si>
  <si>
    <t>2.43862449586</t>
  </si>
  <si>
    <t>LIBERATION</t>
  </si>
  <si>
    <t>48.8260549992</t>
  </si>
  <si>
    <t>2.40674222317</t>
  </si>
  <si>
    <t>LIBERTE</t>
  </si>
  <si>
    <t>48.8796347607</t>
  </si>
  <si>
    <t>2.32702220089</t>
  </si>
  <si>
    <t>LIEGE</t>
  </si>
  <si>
    <t>48.6283755517</t>
  </si>
  <si>
    <t>2.56958354824</t>
  </si>
  <si>
    <t>LIEUSAINT-MOISSY</t>
  </si>
  <si>
    <t>48.9841727553</t>
  </si>
  <si>
    <t>1.74778618291</t>
  </si>
  <si>
    <t>LIMAY</t>
  </si>
  <si>
    <t>48.5102651753</t>
  </si>
  <si>
    <t>2.67897398269</t>
  </si>
  <si>
    <t>LIVRY-SUR-SEINE</t>
  </si>
  <si>
    <t>49.0217572695</t>
  </si>
  <si>
    <t>3.03175844584</t>
  </si>
  <si>
    <t>LIZY-SUR-OURCQ</t>
  </si>
  <si>
    <t>48.8392192991</t>
  </si>
  <si>
    <t>2.63321091751</t>
  </si>
  <si>
    <t>LOGNES</t>
  </si>
  <si>
    <t>48.7022393878</t>
  </si>
  <si>
    <t>2.29455774648</t>
  </si>
  <si>
    <t>LONGJUMEAU</t>
  </si>
  <si>
    <t>48.513754591</t>
  </si>
  <si>
    <t>3.25003498258</t>
  </si>
  <si>
    <t>LONGUEVILLE</t>
  </si>
  <si>
    <t>48.881584251</t>
  </si>
  <si>
    <t>2.3659210371</t>
  </si>
  <si>
    <t>LOUIS BLANC</t>
  </si>
  <si>
    <t>M7 / M7b</t>
  </si>
  <si>
    <t>48.8887060198</t>
  </si>
  <si>
    <t>2.28808363305</t>
  </si>
  <si>
    <t>LOUISE MICHEL</t>
  </si>
  <si>
    <t>48.8389609394</t>
  </si>
  <si>
    <t>2.28270002724</t>
  </si>
  <si>
    <t>LOURMEL</t>
  </si>
  <si>
    <t>48.8612145286</t>
  </si>
  <si>
    <t>2.12319109596</t>
  </si>
  <si>
    <t>LOUVECIENNES</t>
  </si>
  <si>
    <t>48.780087152</t>
  </si>
  <si>
    <t>2.19650581249</t>
  </si>
  <si>
    <t>LOUVOIS</t>
  </si>
  <si>
    <t>48.8608062913</t>
  </si>
  <si>
    <t>2.34110859163</t>
  </si>
  <si>
    <t>LOUVRE-RIVOLI</t>
  </si>
  <si>
    <t>49.0493255982</t>
  </si>
  <si>
    <t>2.50175806177</t>
  </si>
  <si>
    <t>LOUVRES</t>
  </si>
  <si>
    <t>48.7059689857</t>
  </si>
  <si>
    <t>2.21226237529</t>
  </si>
  <si>
    <t>LOZERE</t>
  </si>
  <si>
    <t>48.8457430696</t>
  </si>
  <si>
    <t>2.3399279984</t>
  </si>
  <si>
    <t>LUXEMBOURG</t>
  </si>
  <si>
    <t>49.1171321315</t>
  </si>
  <si>
    <t>2.42010703417</t>
  </si>
  <si>
    <t>LUZARCHES</t>
  </si>
  <si>
    <t>48.9160965041</t>
  </si>
  <si>
    <t>2.51506144619</t>
  </si>
  <si>
    <t>LYCEE HENRI SELLIER</t>
  </si>
  <si>
    <t>48.853016767</t>
  </si>
  <si>
    <t>2.33550205038</t>
  </si>
  <si>
    <t>MABILLON</t>
  </si>
  <si>
    <t>48.8700997328</t>
  </si>
  <si>
    <t>2.32516410954</t>
  </si>
  <si>
    <t>MADELEINE</t>
  </si>
  <si>
    <t>M8 / M12 / M14</t>
  </si>
  <si>
    <t>48.8809135256</t>
  </si>
  <si>
    <t>2.35883323564</t>
  </si>
  <si>
    <t>MAGENTA</t>
  </si>
  <si>
    <t>48.7836872152</t>
  </si>
  <si>
    <t>2.24697764916</t>
  </si>
  <si>
    <t>MAIL DE LA PLAINE</t>
  </si>
  <si>
    <t>48.5852787101</t>
  </si>
  <si>
    <t>1.5924579153</t>
  </si>
  <si>
    <t>MAINTENON</t>
  </si>
  <si>
    <t>48.8241050307</t>
  </si>
  <si>
    <t>2.27304152378</t>
  </si>
  <si>
    <t>MAIRIE D'ISSY</t>
  </si>
  <si>
    <t>48.8110991977</t>
  </si>
  <si>
    <t>2.38355147965</t>
  </si>
  <si>
    <t>MAIRIE D'IVRY</t>
  </si>
  <si>
    <t>48.9033300946</t>
  </si>
  <si>
    <t>2.30592414987</t>
  </si>
  <si>
    <t>MAIRIE DE CLICHY</t>
  </si>
  <si>
    <t>48.8619369132</t>
  </si>
  <si>
    <t>2.4413109399</t>
  </si>
  <si>
    <t>MAIRIE DE MONTREUIL</t>
  </si>
  <si>
    <t>48.8186764099</t>
  </si>
  <si>
    <t>2.3197403133</t>
  </si>
  <si>
    <t>MAIRIE DE MONTROUGE</t>
  </si>
  <si>
    <t>48.9635179464</t>
  </si>
  <si>
    <t>2.36025075865</t>
  </si>
  <si>
    <t>MAIRIE DE PIERREFITTE</t>
  </si>
  <si>
    <t>48.9119648979</t>
  </si>
  <si>
    <t>2.33392489048</t>
  </si>
  <si>
    <t>MAIRIE DE SAINT-OUEN</t>
  </si>
  <si>
    <t>48.7804547115</t>
  </si>
  <si>
    <t>2.19140991927</t>
  </si>
  <si>
    <t>MAIRIE DE VELIZY</t>
  </si>
  <si>
    <t>48.9356057093</t>
  </si>
  <si>
    <t>2.33433291316</t>
  </si>
  <si>
    <t>MAIRIE DE VILLENEUVE-LA-GARENNE</t>
  </si>
  <si>
    <t>48.879761254</t>
  </si>
  <si>
    <t>2.41647964367</t>
  </si>
  <si>
    <t>MAIRIE DES LILAS</t>
  </si>
  <si>
    <t>48.8224378319</t>
  </si>
  <si>
    <t>2.35847388389</t>
  </si>
  <si>
    <t>MAISON BLANCHE</t>
  </si>
  <si>
    <t>48.8020493803</t>
  </si>
  <si>
    <t>2.42648240848</t>
  </si>
  <si>
    <t>MAISONS-ALFORT-ALFORTVILLE</t>
  </si>
  <si>
    <t>48.8026376907</t>
  </si>
  <si>
    <t>2.44692748424</t>
  </si>
  <si>
    <t>MAISONS-ALFORT-LES JUILLIOTTES</t>
  </si>
  <si>
    <t>48.8091443609</t>
  </si>
  <si>
    <t>2.43450989593</t>
  </si>
  <si>
    <t>MAISONS-ALFORT-STADE</t>
  </si>
  <si>
    <t>48.9457959345</t>
  </si>
  <si>
    <t>2.1445587568</t>
  </si>
  <si>
    <t>MAISONS-LAFFITTE</t>
  </si>
  <si>
    <t>48.3936415468</t>
  </si>
  <si>
    <t>2.39341072138</t>
  </si>
  <si>
    <t>MAISSE</t>
  </si>
  <si>
    <t>48.8225837087</t>
  </si>
  <si>
    <t>2.29846419467</t>
  </si>
  <si>
    <t>MALAKOFF-PLATEAU DE VANVES</t>
  </si>
  <si>
    <t>48.8153075321</t>
  </si>
  <si>
    <t>2.29707779696</t>
  </si>
  <si>
    <t>MALAKOFF-RUE √âTIENNE DOLET</t>
  </si>
  <si>
    <t>48.8828919175</t>
  </si>
  <si>
    <t>2.30905226455</t>
  </si>
  <si>
    <t>MALESHERBES</t>
  </si>
  <si>
    <t>48.2935917687</t>
  </si>
  <si>
    <t>2.40113389443</t>
  </si>
  <si>
    <t>48.9895025071</t>
  </si>
  <si>
    <t>1.70301613419</t>
  </si>
  <si>
    <t>MANTES-LA-JOLIE</t>
  </si>
  <si>
    <t>48.9836545075</t>
  </si>
  <si>
    <t>1.71521098645</t>
  </si>
  <si>
    <t>MANTES-STATION</t>
  </si>
  <si>
    <t>48.8527251193</t>
  </si>
  <si>
    <t>2.40608916324</t>
  </si>
  <si>
    <t>MARAICHERS</t>
  </si>
  <si>
    <t>48.8914809106</t>
  </si>
  <si>
    <t>2.34972889726</t>
  </si>
  <si>
    <t>MARCADET-POISSONNIERS</t>
  </si>
  <si>
    <t>M4 / M12</t>
  </si>
  <si>
    <t>48.83370885</t>
  </si>
  <si>
    <t>2.24384059509</t>
  </si>
  <si>
    <t>MARCEL SEMBAT</t>
  </si>
  <si>
    <t>48.9386164837</t>
  </si>
  <si>
    <t>2.3561784586</t>
  </si>
  <si>
    <t>MARCHE DE SAINT-DENIS</t>
  </si>
  <si>
    <t>T1 / T5</t>
  </si>
  <si>
    <t>48.7684217766</t>
  </si>
  <si>
    <t>1.51333305235</t>
  </si>
  <si>
    <t>MARCHEZAIS BROUE</t>
  </si>
  <si>
    <t>48.8809920799</t>
  </si>
  <si>
    <t>2.07917759066</t>
  </si>
  <si>
    <t>MAREIL-MARLY</t>
  </si>
  <si>
    <t>48.8932385975</t>
  </si>
  <si>
    <t>1.87173847431</t>
  </si>
  <si>
    <t>MAREIL-SUR-MAULDRE</t>
  </si>
  <si>
    <t>49.1354741446</t>
  </si>
  <si>
    <t>3.07562656432</t>
  </si>
  <si>
    <t>MAREUIL-SUR-OURCQ</t>
  </si>
  <si>
    <t>48.8587040102</t>
  </si>
  <si>
    <t>2.40968568697</t>
  </si>
  <si>
    <t>MARIE DE MIRIBEL</t>
  </si>
  <si>
    <t>48.7349392965</t>
  </si>
  <si>
    <t>2.86895583008</t>
  </si>
  <si>
    <t>MARLES-EN-BRIE</t>
  </si>
  <si>
    <t>48.8715031037</t>
  </si>
  <si>
    <t>2.09654825276</t>
  </si>
  <si>
    <t>MARLY-LE-ROI</t>
  </si>
  <si>
    <t>48.5655938619</t>
  </si>
  <si>
    <t>2.29092446986</t>
  </si>
  <si>
    <t>MAROLLES-EN-HUREPOIX</t>
  </si>
  <si>
    <t>48.8904854556</t>
  </si>
  <si>
    <t>2.35999576638</t>
  </si>
  <si>
    <t>MARX DORMOY</t>
  </si>
  <si>
    <t>48.8243283105</t>
  </si>
  <si>
    <t>2.37758367265</t>
  </si>
  <si>
    <t>MARYSE BASTIE</t>
  </si>
  <si>
    <t>48.7246912437</t>
  </si>
  <si>
    <t>2.25827746233</t>
  </si>
  <si>
    <t>MASSY-PALAISEAU</t>
  </si>
  <si>
    <t>RER B / RER C</t>
  </si>
  <si>
    <t>48.7347165868</t>
  </si>
  <si>
    <t>2.2734834644</t>
  </si>
  <si>
    <t>MASSY-VERRIERES</t>
  </si>
  <si>
    <t>48.8501273229</t>
  </si>
  <si>
    <t>2.34805429322</t>
  </si>
  <si>
    <t>MAUBERT-MUTUALITE</t>
  </si>
  <si>
    <t>48.9093053742</t>
  </si>
  <si>
    <t>1.85722754126</t>
  </si>
  <si>
    <t>MAULE</t>
  </si>
  <si>
    <t>48.9870565461</t>
  </si>
  <si>
    <t>2.05978782668</t>
  </si>
  <si>
    <t>MAURECOURT</t>
  </si>
  <si>
    <t>48.9191790277</t>
  </si>
  <si>
    <t>2.41383718232</t>
  </si>
  <si>
    <t>MAURICE LACHATRE</t>
  </si>
  <si>
    <t>48.9572688642</t>
  </si>
  <si>
    <t>2.87344818875</t>
  </si>
  <si>
    <t>MEAUX</t>
  </si>
  <si>
    <t>48.5272433215</t>
  </si>
  <si>
    <t>2.65499028214</t>
  </si>
  <si>
    <t>MELUN</t>
  </si>
  <si>
    <t>LIGNE R  / RER D</t>
  </si>
  <si>
    <t>48.8668000351</t>
  </si>
  <si>
    <t>2.38338325046</t>
  </si>
  <si>
    <t>MENILMONTANT</t>
  </si>
  <si>
    <t>48.570596856</t>
  </si>
  <si>
    <t>2.43209852691</t>
  </si>
  <si>
    <t>MENNECY</t>
  </si>
  <si>
    <t>49.0776990464</t>
  </si>
  <si>
    <t>2.20544672821</t>
  </si>
  <si>
    <t>MERIEL</t>
  </si>
  <si>
    <t>49.0580478163</t>
  </si>
  <si>
    <t>2.19124476186</t>
  </si>
  <si>
    <t>MERY-VAL D'OISE</t>
  </si>
  <si>
    <t>48.8148843142</t>
  </si>
  <si>
    <t>2.24091929487</t>
  </si>
  <si>
    <t>MEUDON</t>
  </si>
  <si>
    <t>48.7835393328</t>
  </si>
  <si>
    <t>2.22528029528</t>
  </si>
  <si>
    <t>MEUDON-LA-FORET</t>
  </si>
  <si>
    <t>48.8191743291</t>
  </si>
  <si>
    <t>2.23859833779</t>
  </si>
  <si>
    <t>MEUDON-SUR-SEINE</t>
  </si>
  <si>
    <t>48.807492624</t>
  </si>
  <si>
    <t>2.24088306664</t>
  </si>
  <si>
    <t>MEUDON-VAL-FLEURY</t>
  </si>
  <si>
    <t>49.0057625368</t>
  </si>
  <si>
    <t>1.90178197858</t>
  </si>
  <si>
    <t>MEULAN-HARDRICOURT</t>
  </si>
  <si>
    <t>48.837117007</t>
  </si>
  <si>
    <t>2.40233316592</t>
  </si>
  <si>
    <t>MICHEL BIZOT</t>
  </si>
  <si>
    <t>48.8479430972</t>
  </si>
  <si>
    <t>2.26413042674</t>
  </si>
  <si>
    <t>MICHEL-ANGE-AUTEUIL</t>
  </si>
  <si>
    <t>M9 / M10</t>
  </si>
  <si>
    <t>48.8452411948</t>
  </si>
  <si>
    <t>2.26189364176</t>
  </si>
  <si>
    <t>MICHEL-ANGE-MOLITOR</t>
  </si>
  <si>
    <t>48.8471310082</t>
  </si>
  <si>
    <t>2.27276375332</t>
  </si>
  <si>
    <t>MIRABEAU</t>
  </si>
  <si>
    <t>48.8736852106</t>
  </si>
  <si>
    <t>2.31446798957</t>
  </si>
  <si>
    <t>MIROMESNIL</t>
  </si>
  <si>
    <t>M9 / M13</t>
  </si>
  <si>
    <t>48.975858754</t>
  </si>
  <si>
    <t>2.64240630231</t>
  </si>
  <si>
    <t>MITRY-CLAYE</t>
  </si>
  <si>
    <t>LIGNE K / RER B</t>
  </si>
  <si>
    <t>48.8804494561</t>
  </si>
  <si>
    <t>2.30945116799</t>
  </si>
  <si>
    <t>MONCEAU</t>
  </si>
  <si>
    <t>48.3484160133</t>
  </si>
  <si>
    <t>2.0322397734</t>
  </si>
  <si>
    <t>MONNERVILLE</t>
  </si>
  <si>
    <t>48.0070317015</t>
  </si>
  <si>
    <t>2.74303831268</t>
  </si>
  <si>
    <t>MONTARGIS</t>
  </si>
  <si>
    <t>48.8398432323</t>
  </si>
  <si>
    <t>2.40886752214</t>
  </si>
  <si>
    <t>MONTEMPOIVRE</t>
  </si>
  <si>
    <t>48.3795261033</t>
  </si>
  <si>
    <t>2.9425234127</t>
  </si>
  <si>
    <t>MONTEREAU</t>
  </si>
  <si>
    <t>48.80260198</t>
  </si>
  <si>
    <t>1.81646679422</t>
  </si>
  <si>
    <t>MONTFORT-L'AMAURY-MERE</t>
  </si>
  <si>
    <t>48.8444086721</t>
  </si>
  <si>
    <t>2.39007511282</t>
  </si>
  <si>
    <t>MONTGALLET</t>
  </si>
  <si>
    <t>48.7082378304</t>
  </si>
  <si>
    <t>2.46228224195</t>
  </si>
  <si>
    <t>MONTGERON-CROSNE</t>
  </si>
  <si>
    <t>49.0804937079</t>
  </si>
  <si>
    <t>2.00371537163</t>
  </si>
  <si>
    <t>MONTGEROULT-COURCELLES</t>
  </si>
  <si>
    <t>49.0074232989</t>
  </si>
  <si>
    <t>2.19761980711</t>
  </si>
  <si>
    <t>MONTIGNY-BEAUCHAMP</t>
  </si>
  <si>
    <t>48.3364817806</t>
  </si>
  <si>
    <t>2.73800162393</t>
  </si>
  <si>
    <t>MONTIGNY-SUR-LOING</t>
  </si>
  <si>
    <t>48.8411869211</t>
  </si>
  <si>
    <t>2.32050922753</t>
  </si>
  <si>
    <t>MONTPARNASSE</t>
  </si>
  <si>
    <t>LIGNE N / M4 / M6 / M12 / M13</t>
  </si>
  <si>
    <t>48.806377449</t>
  </si>
  <si>
    <t>2.15150011465</t>
  </si>
  <si>
    <t>MONTREUIL</t>
  </si>
  <si>
    <t>48.8908567954</t>
  </si>
  <si>
    <t>2.82640549867</t>
  </si>
  <si>
    <t>MONTRY-CONDE</t>
  </si>
  <si>
    <t>49.0662886977</t>
  </si>
  <si>
    <t>2.32292045719</t>
  </si>
  <si>
    <t>MONTSOULT-MAFFLIERS</t>
  </si>
  <si>
    <t>48.8215089174</t>
  </si>
  <si>
    <t>2.33333983286</t>
  </si>
  <si>
    <t>MONTSOURIS</t>
  </si>
  <si>
    <t>48.3785349151</t>
  </si>
  <si>
    <t>2.79888307957</t>
  </si>
  <si>
    <t>MORET-VENEUX-LES-SABLONS</t>
  </si>
  <si>
    <t>48.6140152427</t>
  </si>
  <si>
    <t>2.88825289271</t>
  </si>
  <si>
    <t>MORMANT</t>
  </si>
  <si>
    <t>48.7894966769</t>
  </si>
  <si>
    <t>2.90738727173</t>
  </si>
  <si>
    <t>MORTCERF</t>
  </si>
  <si>
    <t>48.7720742166</t>
  </si>
  <si>
    <t>2.36781500163</t>
  </si>
  <si>
    <t>MOULIN VERT</t>
  </si>
  <si>
    <t>48.587153909</t>
  </si>
  <si>
    <t>2.47349036497</t>
  </si>
  <si>
    <t>MOULIN-GALANT</t>
  </si>
  <si>
    <t>48.8137984812</t>
  </si>
  <si>
    <t>3.04293826741</t>
  </si>
  <si>
    <t>MOUROUX</t>
  </si>
  <si>
    <t>48.8311126604</t>
  </si>
  <si>
    <t>2.32970501262</t>
  </si>
  <si>
    <t>MOUTON-DUVERNET</t>
  </si>
  <si>
    <t>48.8607082325</t>
  </si>
  <si>
    <t>2.3256202919</t>
  </si>
  <si>
    <t>MUSEE D'ORSAY</t>
  </si>
  <si>
    <t>48.8290105028</t>
  </si>
  <si>
    <t>2.22531285328</t>
  </si>
  <si>
    <t>MUSEE DE SEVRES</t>
  </si>
  <si>
    <t>48.5621248368</t>
  </si>
  <si>
    <t>3.01176932363</t>
  </si>
  <si>
    <t>NANGIS</t>
  </si>
  <si>
    <t>48.8957453121</t>
  </si>
  <si>
    <t>2.22321296703</t>
  </si>
  <si>
    <t>NANTERRE-PREFECTURE</t>
  </si>
  <si>
    <t>48.9016550655</t>
  </si>
  <si>
    <t>2.21515587303</t>
  </si>
  <si>
    <t>NANTERRE-UNIVERSITE</t>
  </si>
  <si>
    <t>48.8951258913</t>
  </si>
  <si>
    <t>2.19536398691</t>
  </si>
  <si>
    <t>NANTERRE-VILLE</t>
  </si>
  <si>
    <t>49.1428841983</t>
  </si>
  <si>
    <t>2.79445455011</t>
  </si>
  <si>
    <t>NANTEUIL-LE-HAUDOUIN</t>
  </si>
  <si>
    <t>48.9740265805</t>
  </si>
  <si>
    <t>3.21930281283</t>
  </si>
  <si>
    <t>NANTEUIL-SAACY</t>
  </si>
  <si>
    <t>48.8482371104</t>
  </si>
  <si>
    <t>2.39582358883</t>
  </si>
  <si>
    <t>NATION</t>
  </si>
  <si>
    <t>RER A / M1 / M2 / M6 / M9</t>
  </si>
  <si>
    <t>48.8332167197</t>
  </si>
  <si>
    <t>2.36285639952</t>
  </si>
  <si>
    <t>NATIONALE</t>
  </si>
  <si>
    <t>48.2677581063</t>
  </si>
  <si>
    <t>2.68564709266</t>
  </si>
  <si>
    <t>NEMOURS-SAINT-PIERRE</t>
  </si>
  <si>
    <t>48.853485713</t>
  </si>
  <si>
    <t>2.51382529103</t>
  </si>
  <si>
    <t>NEUILLY-PLAISANCE</t>
  </si>
  <si>
    <t>49.0141336895</t>
  </si>
  <si>
    <t>2.07830659133</t>
  </si>
  <si>
    <t>NEUVILLE UNIVERSITE</t>
  </si>
  <si>
    <t>48.9387192355</t>
  </si>
  <si>
    <t>1.84051703249</t>
  </si>
  <si>
    <t>NEZEL-AULNAY</t>
  </si>
  <si>
    <t>48.9692787821</t>
  </si>
  <si>
    <t>3.32188681725</t>
  </si>
  <si>
    <t>NOGENT-L'ARTAUD-CHARLY</t>
  </si>
  <si>
    <t>48.8393419419</t>
  </si>
  <si>
    <t>2.49418805532</t>
  </si>
  <si>
    <t>NOGENT-LE-PERREUX</t>
  </si>
  <si>
    <t>48.834288898</t>
  </si>
  <si>
    <t>2.47168124122</t>
  </si>
  <si>
    <t>NOGENT-SUR-MARNE</t>
  </si>
  <si>
    <t>49.1325777024</t>
  </si>
  <si>
    <t>2.28051536982</t>
  </si>
  <si>
    <t>NOINTEL-MOURS</t>
  </si>
  <si>
    <t>48.8434916487</t>
  </si>
  <si>
    <t>2.61595248305</t>
  </si>
  <si>
    <t>NOISIEL</t>
  </si>
  <si>
    <t>48.8428848408</t>
  </si>
  <si>
    <t>2.58008591742</t>
  </si>
  <si>
    <t>NOISY-CHAMPS</t>
  </si>
  <si>
    <t>48.8408434319</t>
  </si>
  <si>
    <t>2.5477751893</t>
  </si>
  <si>
    <t>NOISY-LE-GRAND-MONT D'EST</t>
  </si>
  <si>
    <t>48.8413596382</t>
  </si>
  <si>
    <t>2.06132681294</t>
  </si>
  <si>
    <t>NOISY-LE-ROI</t>
  </si>
  <si>
    <t>48.8966044374</t>
  </si>
  <si>
    <t>2.46111931078</t>
  </si>
  <si>
    <t>NOISY-LE-SEC</t>
  </si>
  <si>
    <t>RER E / T1</t>
  </si>
  <si>
    <t>48.8760262116</t>
  </si>
  <si>
    <t>2.33788648907</t>
  </si>
  <si>
    <t>NOTRE-DAME-DE-LORETTE</t>
  </si>
  <si>
    <t>48.8449426352</t>
  </si>
  <si>
    <t>2.3287780255</t>
  </si>
  <si>
    <t>NOTRE-DAME-DES-CHAMPS</t>
  </si>
  <si>
    <t>48.8647276207</t>
  </si>
  <si>
    <t>2.36849638711</t>
  </si>
  <si>
    <t>OBERKAMPF</t>
  </si>
  <si>
    <t>M5 / M9</t>
  </si>
  <si>
    <t>48.8521672611</t>
  </si>
  <si>
    <t>2.33964633593</t>
  </si>
  <si>
    <t>ODEON</t>
  </si>
  <si>
    <t>M4 / M10</t>
  </si>
  <si>
    <t>48.827270836</t>
  </si>
  <si>
    <t>2.36803264776</t>
  </si>
  <si>
    <t>OLYMPIADES</t>
  </si>
  <si>
    <t>48.8706776818</t>
  </si>
  <si>
    <t>2.33235463926</t>
  </si>
  <si>
    <t>OPERA</t>
  </si>
  <si>
    <t>M3 / M7 / M8</t>
  </si>
  <si>
    <t>48.636351368</t>
  </si>
  <si>
    <t>2.40779628345</t>
  </si>
  <si>
    <t>ORANGIS-BOIS DE L'EPINE</t>
  </si>
  <si>
    <t>48.8265784281</t>
  </si>
  <si>
    <t>1.70321842548</t>
  </si>
  <si>
    <t>ORGERUS-BEHOUST</t>
  </si>
  <si>
    <t>48.7418787066</t>
  </si>
  <si>
    <t>2.40290860736</t>
  </si>
  <si>
    <t>ORLY VILLE</t>
  </si>
  <si>
    <t>49.2008770791</t>
  </si>
  <si>
    <t>2.83810847804</t>
  </si>
  <si>
    <t>ORMOY-VILLERS</t>
  </si>
  <si>
    <t>49.1382863753</t>
  </si>
  <si>
    <t>2.49017898542</t>
  </si>
  <si>
    <t>ORRY-LA-VILLE-COYE</t>
  </si>
  <si>
    <t>48.6975056708</t>
  </si>
  <si>
    <t>2.18105443904</t>
  </si>
  <si>
    <t>ORSAY-VILLE</t>
  </si>
  <si>
    <t>49.0629696795</t>
  </si>
  <si>
    <t>2.05790299051</t>
  </si>
  <si>
    <t>OSNY</t>
  </si>
  <si>
    <t>48.8871348691</t>
  </si>
  <si>
    <t>2.38696001714</t>
  </si>
  <si>
    <t>OURCQ</t>
  </si>
  <si>
    <t>48.7707789162</t>
  </si>
  <si>
    <t>2.6902527822</t>
  </si>
  <si>
    <t>OZOIR-LA-FERRIERE</t>
  </si>
  <si>
    <t>48.956671846</t>
  </si>
  <si>
    <t>2.34310923573</t>
  </si>
  <si>
    <t>PABLO NERUDA</t>
  </si>
  <si>
    <t>48.8625955368</t>
  </si>
  <si>
    <t>2.33668417</t>
  </si>
  <si>
    <t>PALAIS ROYAL-MUSEE DU LOUVRE</t>
  </si>
  <si>
    <t>M1 / M7</t>
  </si>
  <si>
    <t>48.7169462903</t>
  </si>
  <si>
    <t>2.2456725159</t>
  </si>
  <si>
    <t>PALAISEAU</t>
  </si>
  <si>
    <t>48.7081405864</t>
  </si>
  <si>
    <t>2.23731436596</t>
  </si>
  <si>
    <t>PALAISEAU-VILLEBON</t>
  </si>
  <si>
    <t>48.8981123054</t>
  </si>
  <si>
    <t>2.40036170181</t>
  </si>
  <si>
    <t>PANTIN</t>
  </si>
  <si>
    <t>48.7998873832</t>
  </si>
  <si>
    <t>2.28195132017</t>
  </si>
  <si>
    <t>PARC ANDRE MALRAUX</t>
  </si>
  <si>
    <t>48.8431243999</t>
  </si>
  <si>
    <t>2.22185149475</t>
  </si>
  <si>
    <t>PARC DE SAINT-CLOUD</t>
  </si>
  <si>
    <t>48.9339320289</t>
  </si>
  <si>
    <t>2.3131326405</t>
  </si>
  <si>
    <t>PARC DES CHANTERAINES</t>
  </si>
  <si>
    <t>48.9734249081</t>
  </si>
  <si>
    <t>2.51436028553</t>
  </si>
  <si>
    <t>PARC DES EXPOSITIONS</t>
  </si>
  <si>
    <t>48.9175149076</t>
  </si>
  <si>
    <t>2.22481218888</t>
  </si>
  <si>
    <t>PARC PIERRE LAGRAVERE</t>
  </si>
  <si>
    <t>49.008978461</t>
  </si>
  <si>
    <t>2.54483189792</t>
  </si>
  <si>
    <t>PARC PR</t>
  </si>
  <si>
    <t>CDGVAL</t>
  </si>
  <si>
    <t>48.770721989</t>
  </si>
  <si>
    <t>2.31020545193</t>
  </si>
  <si>
    <t>PARC-DE-SCEAUX</t>
  </si>
  <si>
    <t>48.8390812802</t>
  </si>
  <si>
    <t>2.38302808115</t>
  </si>
  <si>
    <t>PARIS-BERCY</t>
  </si>
  <si>
    <t>48.8652537861</t>
  </si>
  <si>
    <t>2.37458197</t>
  </si>
  <si>
    <t>PARMENTIER</t>
  </si>
  <si>
    <t>48.857448691</t>
  </si>
  <si>
    <t>2.28581244413</t>
  </si>
  <si>
    <t>PASSY</t>
  </si>
  <si>
    <t>48.8429206191</t>
  </si>
  <si>
    <t>2.31260704965</t>
  </si>
  <si>
    <t>PASTEUR</t>
  </si>
  <si>
    <t>M6 / M12</t>
  </si>
  <si>
    <t>48.9396887087</t>
  </si>
  <si>
    <t>2.34520750593</t>
  </si>
  <si>
    <t>PAUL ELUARD</t>
  </si>
  <si>
    <t>48.9792761263</t>
  </si>
  <si>
    <t>2.38020425433</t>
  </si>
  <si>
    <t>PAUL VALERY</t>
  </si>
  <si>
    <t>48.7807309692</t>
  </si>
  <si>
    <t>2.23983201762</t>
  </si>
  <si>
    <t>PAVE BLANC</t>
  </si>
  <si>
    <t>48.8684401633</t>
  </si>
  <si>
    <t>2.40156171274</t>
  </si>
  <si>
    <t>PELLEPORT</t>
  </si>
  <si>
    <t>M3bis</t>
  </si>
  <si>
    <t>48.862949833</t>
  </si>
  <si>
    <t>2.387434951</t>
  </si>
  <si>
    <t>PERE LACHAISE</t>
  </si>
  <si>
    <t>M2 / M3</t>
  </si>
  <si>
    <t>48.8850284222</t>
  </si>
  <si>
    <t>2.29736230072</t>
  </si>
  <si>
    <t>PEREIRE-LEVALLOIS</t>
  </si>
  <si>
    <t>RER C / M3</t>
  </si>
  <si>
    <t>48.8339363926</t>
  </si>
  <si>
    <t>2.31807828413</t>
  </si>
  <si>
    <t>PERNETY</t>
  </si>
  <si>
    <t>49.1477195074</t>
  </si>
  <si>
    <t>2.27782319472</t>
  </si>
  <si>
    <t>PERSAN-BEAUMONT</t>
  </si>
  <si>
    <t>48.9004173041</t>
  </si>
  <si>
    <t>2.46546048136</t>
  </si>
  <si>
    <t>PETIT NOISY</t>
  </si>
  <si>
    <t>48.9526378826</t>
  </si>
  <si>
    <t>2.35797833108</t>
  </si>
  <si>
    <t>PETIT PIERREFITTE</t>
  </si>
  <si>
    <t>48.7704252066</t>
  </si>
  <si>
    <t>2.14683164469</t>
  </si>
  <si>
    <t>PETIT-JOUY-LES-LOGES</t>
  </si>
  <si>
    <t>48.6763813235</t>
  </si>
  <si>
    <t>2.3332494626</t>
  </si>
  <si>
    <t>PETIT-VAUX</t>
  </si>
  <si>
    <t>48.8584665494</t>
  </si>
  <si>
    <t>2.38972985235</t>
  </si>
  <si>
    <t>PHILIPPE AUGUSTE</t>
  </si>
  <si>
    <t>48.8450615799</t>
  </si>
  <si>
    <t>2.40128901983</t>
  </si>
  <si>
    <t>PICPUS</t>
  </si>
  <si>
    <t>48.815930763</t>
  </si>
  <si>
    <t>2.37726720015</t>
  </si>
  <si>
    <t>PIERRE CURIE</t>
  </si>
  <si>
    <t>48.9320518227</t>
  </si>
  <si>
    <t>2.35270198439</t>
  </si>
  <si>
    <t>PIERRE DE GEYTER</t>
  </si>
  <si>
    <t>48.9637554269</t>
  </si>
  <si>
    <t>2.37210313434</t>
  </si>
  <si>
    <t>PIERREFITTE-STAINS</t>
  </si>
  <si>
    <t>RER D / T11</t>
  </si>
  <si>
    <t>49.0191367416</t>
  </si>
  <si>
    <t>2.15466347741</t>
  </si>
  <si>
    <t>PIERRELAYE</t>
  </si>
  <si>
    <t>48.8824426909</t>
  </si>
  <si>
    <t>2.3370851365</t>
  </si>
  <si>
    <t>PIGALLE</t>
  </si>
  <si>
    <t>M2 / M12</t>
  </si>
  <si>
    <t>48.8309953013</t>
  </si>
  <si>
    <t>2.35583489797</t>
  </si>
  <si>
    <t>PLACE D'ITALIE</t>
  </si>
  <si>
    <t>M5 / M6 / M7</t>
  </si>
  <si>
    <t>48.8834300138</t>
  </si>
  <si>
    <t>2.32722833572</t>
  </si>
  <si>
    <t>PLACE DE CLICHY</t>
  </si>
  <si>
    <t>M2 / M13</t>
  </si>
  <si>
    <t>48.7528113597</t>
  </si>
  <si>
    <t>2.36195215258</t>
  </si>
  <si>
    <t>PLACE DE LA LOGISTIQUE</t>
  </si>
  <si>
    <t>48.8768063892</t>
  </si>
  <si>
    <t>2.39305609332</t>
  </si>
  <si>
    <t>PLACE DES FETES</t>
  </si>
  <si>
    <t>M7bis / M11</t>
  </si>
  <si>
    <t>48.8428668307</t>
  </si>
  <si>
    <t>2.35222472818</t>
  </si>
  <si>
    <t>PLACE MONGE (JARDIN DES PLANTES)</t>
  </si>
  <si>
    <t>48.8318256496</t>
  </si>
  <si>
    <t>2.31412232347</t>
  </si>
  <si>
    <t>PLAISANCE</t>
  </si>
  <si>
    <t>48.8319161843</t>
  </si>
  <si>
    <t>1.94440175262</t>
  </si>
  <si>
    <t>PLAISIR-GRIGNON</t>
  </si>
  <si>
    <t>48.8309595287</t>
  </si>
  <si>
    <t>1.96002656297</t>
  </si>
  <si>
    <t>PLAISIR-LES-CLAYES</t>
  </si>
  <si>
    <t>48.8772363191</t>
  </si>
  <si>
    <t>2.34929390111</t>
  </si>
  <si>
    <t>POISSONNIERE</t>
  </si>
  <si>
    <t>48.9332654061</t>
  </si>
  <si>
    <t>2.04107228968</t>
  </si>
  <si>
    <t>POISSY</t>
  </si>
  <si>
    <t>LIGNE J / RER A</t>
  </si>
  <si>
    <t>48.9232682542</t>
  </si>
  <si>
    <t>2.21758979935</t>
  </si>
  <si>
    <t>PONT DE BEZONS</t>
  </si>
  <si>
    <t>48.9047032038</t>
  </si>
  <si>
    <t>2.46997154361</t>
  </si>
  <si>
    <t>PONT DE BONDY</t>
  </si>
  <si>
    <t>48.8626624517</t>
  </si>
  <si>
    <t>2.30098996393</t>
  </si>
  <si>
    <t>PONT DE L'ALMA</t>
  </si>
  <si>
    <t>48.8978210671</t>
  </si>
  <si>
    <t>2.27980958669</t>
  </si>
  <si>
    <t>PONT DE LEVALLOIS-BECON</t>
  </si>
  <si>
    <t>48.8847082013</t>
  </si>
  <si>
    <t>2.26051507789</t>
  </si>
  <si>
    <t>PONT DE NEUILLY (AVENUE DE MADRID)</t>
  </si>
  <si>
    <t>48.7483496833</t>
  </si>
  <si>
    <t>2.37311194069</t>
  </si>
  <si>
    <t>PONT DE RUNGIS</t>
  </si>
  <si>
    <t>48.8296748438</t>
  </si>
  <si>
    <t>2.23079959132</t>
  </si>
  <si>
    <t>PONT DE SEVRES</t>
  </si>
  <si>
    <t>48.8390897554</t>
  </si>
  <si>
    <t>2.27045824379</t>
  </si>
  <si>
    <t>PONT DU GARIGLIANO - HOPITAL EUROPEEN GEORGES POMPIDOU</t>
  </si>
  <si>
    <t>RER C / T3A</t>
  </si>
  <si>
    <t>48.8882201628</t>
  </si>
  <si>
    <t>2.31373245152</t>
  </si>
  <si>
    <t>PONT-CARDINET</t>
  </si>
  <si>
    <t>48.8535754734</t>
  </si>
  <si>
    <t>2.35716256888</t>
  </si>
  <si>
    <t>PONT-MARIE (CITE DES ARTS)</t>
  </si>
  <si>
    <t>48.8585538273</t>
  </si>
  <si>
    <t>2.34223275799</t>
  </si>
  <si>
    <t>PONT-NEUF (LA MONNAIE)</t>
  </si>
  <si>
    <t>49.0605916812</t>
  </si>
  <si>
    <t>2.13087413428</t>
  </si>
  <si>
    <t>PONT-PETIT</t>
  </si>
  <si>
    <t>48.2863911796</t>
  </si>
  <si>
    <t>3.20189382787</t>
  </si>
  <si>
    <t>PONT-SUR-YONNE</t>
  </si>
  <si>
    <t>48.5351397661</t>
  </si>
  <si>
    <t>2.54434895173</t>
  </si>
  <si>
    <t>PONTHIERRY-PRINGY</t>
  </si>
  <si>
    <t>49.0466457626</t>
  </si>
  <si>
    <t>2.09519506723</t>
  </si>
  <si>
    <t>PONTOISE</t>
  </si>
  <si>
    <t>48.7965281811</t>
  </si>
  <si>
    <t>2.15237865481</t>
  </si>
  <si>
    <t>PORCHEFONTAINE</t>
  </si>
  <si>
    <t>48.8400337892</t>
  </si>
  <si>
    <t>2.33709643086</t>
  </si>
  <si>
    <t>PORT ROYAL</t>
  </si>
  <si>
    <t>48.8986011722</t>
  </si>
  <si>
    <t>2.36903694932</t>
  </si>
  <si>
    <t>PORTE D AUBERVILLIERS</t>
  </si>
  <si>
    <t>48.8896574347</t>
  </si>
  <si>
    <t>2.30310461766</t>
  </si>
  <si>
    <t>Porte d'Asni√®res Marguerite Long</t>
  </si>
  <si>
    <t>48.8479715406</t>
  </si>
  <si>
    <t>2.25774468038</t>
  </si>
  <si>
    <t>PORTE D'AUTEUIL</t>
  </si>
  <si>
    <t>48.8316965931</t>
  </si>
  <si>
    <t>2.28147044408</t>
  </si>
  <si>
    <t>PORTE D'ISSY</t>
  </si>
  <si>
    <t>48.8190515147</t>
  </si>
  <si>
    <t>2.36012974202</t>
  </si>
  <si>
    <t>PORTE D'ITALIE</t>
  </si>
  <si>
    <t>M7 / T3A</t>
  </si>
  <si>
    <t>48.8213557838</t>
  </si>
  <si>
    <t>2.36929058735</t>
  </si>
  <si>
    <t>PORTE D'IVRY</t>
  </si>
  <si>
    <t>48.8231516331</t>
  </si>
  <si>
    <t>2.32550957782</t>
  </si>
  <si>
    <t>PORTE D'ORLEANS</t>
  </si>
  <si>
    <t>M4 / T3A</t>
  </si>
  <si>
    <t>48.8714665781</t>
  </si>
  <si>
    <t>2.27708301705</t>
  </si>
  <si>
    <t>PORTE DAUPHINE</t>
  </si>
  <si>
    <t>48.8645851911</t>
  </si>
  <si>
    <t>2.40875994842</t>
  </si>
  <si>
    <t>PORTE DE BAGNOLET</t>
  </si>
  <si>
    <t>M3 / T3B</t>
  </si>
  <si>
    <t>48.8286719395</t>
  </si>
  <si>
    <t>2.30085182613</t>
  </si>
  <si>
    <t>PORTE DE BRANCION</t>
  </si>
  <si>
    <t>48.8857931052</t>
  </si>
  <si>
    <t>2.2925823141</t>
  </si>
  <si>
    <t>PORTE DE CHAMPERRET</t>
  </si>
  <si>
    <t>48.8323049605</t>
  </si>
  <si>
    <t>2.39918151028</t>
  </si>
  <si>
    <t>PORTE DE CHARENTON</t>
  </si>
  <si>
    <t>48.8197612667</t>
  </si>
  <si>
    <t>2.36401545947</t>
  </si>
  <si>
    <t>PORTE DE CHOISY</t>
  </si>
  <si>
    <t>48.8941683862</t>
  </si>
  <si>
    <t>2.31559921918</t>
  </si>
  <si>
    <t>PORTE DE CLICHY</t>
  </si>
  <si>
    <t>RER C / M13 / T3B</t>
  </si>
  <si>
    <t>48.8977647714</t>
  </si>
  <si>
    <t>2.34486089248</t>
  </si>
  <si>
    <t>PORTE DE CLIGNANCOURT</t>
  </si>
  <si>
    <t>M4 / T3B</t>
  </si>
  <si>
    <t>48.7145127253</t>
  </si>
  <si>
    <t>2.37174714346</t>
  </si>
  <si>
    <t>PORTE DE L'ESSONNE</t>
  </si>
  <si>
    <t>48.8983929533</t>
  </si>
  <si>
    <t>2.35939390112</t>
  </si>
  <si>
    <t>PORTE DE LA CHAPELLE</t>
  </si>
  <si>
    <t>M12 / T3B</t>
  </si>
  <si>
    <t>48.8973898916</t>
  </si>
  <si>
    <t>2.38550838767</t>
  </si>
  <si>
    <t>PORTE DE LA VILLETTE</t>
  </si>
  <si>
    <t>M7 / T3B</t>
  </si>
  <si>
    <t>48.8535439161</t>
  </si>
  <si>
    <t>2.41062642574</t>
  </si>
  <si>
    <t>PORTE DE MONTREUIL</t>
  </si>
  <si>
    <t>M9 / T3B</t>
  </si>
  <si>
    <t>48.8894726577</t>
  </si>
  <si>
    <t>2.39579532816</t>
  </si>
  <si>
    <t>PORTE DE PANTIN</t>
  </si>
  <si>
    <t>M5 / T3B</t>
  </si>
  <si>
    <t>48.7526743518</t>
  </si>
  <si>
    <t>2.35536098908</t>
  </si>
  <si>
    <t>PORTE DE RUNGIS</t>
  </si>
  <si>
    <t>48.8379612135</t>
  </si>
  <si>
    <t>2.25712222985</t>
  </si>
  <si>
    <t>PORTE DE SAINT-CLOUD</t>
  </si>
  <si>
    <t>48.8973747955</t>
  </si>
  <si>
    <t>2.32894281278</t>
  </si>
  <si>
    <t>PORTE DE SAINT-OUEN</t>
  </si>
  <si>
    <t>48.7595735353</t>
  </si>
  <si>
    <t>2.36639800004</t>
  </si>
  <si>
    <t>PORTE DE THIAIS</t>
  </si>
  <si>
    <t>48.8277046117</t>
  </si>
  <si>
    <t>2.30534093081</t>
  </si>
  <si>
    <t>PORTE DE VANVES</t>
  </si>
  <si>
    <t>M13 / T3A</t>
  </si>
  <si>
    <t>48.8326011924</t>
  </si>
  <si>
    <t>2.28825267741</t>
  </si>
  <si>
    <t>PORTE DE VERSAILLES</t>
  </si>
  <si>
    <t>M12 / T3A</t>
  </si>
  <si>
    <t>48.8471584794</t>
  </si>
  <si>
    <t>2.41014036797</t>
  </si>
  <si>
    <t>PORTE DE VINCENNES</t>
  </si>
  <si>
    <t>M1 / T3A / T3B</t>
  </si>
  <si>
    <t>48.8772136604</t>
  </si>
  <si>
    <t>2.40660986512</t>
  </si>
  <si>
    <t>PORTE DES LILAS</t>
  </si>
  <si>
    <t>M3bis / M11 / T3B</t>
  </si>
  <si>
    <t>48.8347644599</t>
  </si>
  <si>
    <t>2.40534934295</t>
  </si>
  <si>
    <t>PORTE DOREE</t>
  </si>
  <si>
    <t>48.8773496006</t>
  </si>
  <si>
    <t>2.28379555701</t>
  </si>
  <si>
    <t>PORTE MAILLOT</t>
  </si>
  <si>
    <t>RER C / M1</t>
  </si>
  <si>
    <t>48.8208733552</t>
  </si>
  <si>
    <t>2.35093287806</t>
  </si>
  <si>
    <t>POTERNE DES PEUPLIERS</t>
  </si>
  <si>
    <t>48.8799957944</t>
  </si>
  <si>
    <t>2.39894666246</t>
  </si>
  <si>
    <t>PRE SAINT-GERVAIS</t>
  </si>
  <si>
    <t>49.2032657335</t>
  </si>
  <si>
    <t>2.37660117732</t>
  </si>
  <si>
    <t>PRECY-SUR-OISE</t>
  </si>
  <si>
    <t>49.1140619506</t>
  </si>
  <si>
    <t>2.28791534354</t>
  </si>
  <si>
    <t>PRESLES-COURCELLES</t>
  </si>
  <si>
    <t>48.5555915569</t>
  </si>
  <si>
    <t>3.3028712226</t>
  </si>
  <si>
    <t>PROVINS</t>
  </si>
  <si>
    <t>48.8833623419</t>
  </si>
  <si>
    <t>2.23378168065</t>
  </si>
  <si>
    <t>PUTEAUX</t>
  </si>
  <si>
    <t>LIGNE L / LIGNE U / T2</t>
  </si>
  <si>
    <t>48.8657611028</t>
  </si>
  <si>
    <t>2.33442748591</t>
  </si>
  <si>
    <t>PYRAMIDES</t>
  </si>
  <si>
    <t>M7 / M14</t>
  </si>
  <si>
    <t>48.8738818542</t>
  </si>
  <si>
    <t>2.3853162151</t>
  </si>
  <si>
    <t>PYRENEES</t>
  </si>
  <si>
    <t>48.8370451202</t>
  </si>
  <si>
    <t>2.37282572454</t>
  </si>
  <si>
    <t>QUAI DE LA GARE</t>
  </si>
  <si>
    <t>48.8465154069</t>
  </si>
  <si>
    <t>2.36587346665</t>
  </si>
  <si>
    <t>QUAI DE LA RAPEE</t>
  </si>
  <si>
    <t>48.8695852435</t>
  </si>
  <si>
    <t>2.33621884752</t>
  </si>
  <si>
    <t>QUATRE SEPTEMBRE</t>
  </si>
  <si>
    <t>48.6442219526</t>
  </si>
  <si>
    <t>1.83293547037</t>
  </si>
  <si>
    <t>RAMBOUILLET</t>
  </si>
  <si>
    <t>48.8612049903</t>
  </si>
  <si>
    <t>2.35349574013</t>
  </si>
  <si>
    <t>RAMBUTEAU</t>
  </si>
  <si>
    <t>48.8554850495</t>
  </si>
  <si>
    <t>2.27010913895</t>
  </si>
  <si>
    <t>RANELAGH</t>
  </si>
  <si>
    <t>48.8389642807</t>
  </si>
  <si>
    <t>2.33075419209</t>
  </si>
  <si>
    <t>RASPAIL</t>
  </si>
  <si>
    <t>M4 / M6</t>
  </si>
  <si>
    <t>48.866235133</t>
  </si>
  <si>
    <t>2.3525493044</t>
  </si>
  <si>
    <t>REAUMUR-SEBASTOPOL</t>
  </si>
  <si>
    <t>M3 / M4</t>
  </si>
  <si>
    <t>48.8484578485</t>
  </si>
  <si>
    <t>2.32778212715</t>
  </si>
  <si>
    <t>RENNES</t>
  </si>
  <si>
    <t>48.8675034238</t>
  </si>
  <si>
    <t>2.36382614398</t>
  </si>
  <si>
    <t>REPUBLIQUE</t>
  </si>
  <si>
    <t>M3 / M5 / M8 / M9 / M11</t>
  </si>
  <si>
    <t>48.8473545169</t>
  </si>
  <si>
    <t>2.38680844578</t>
  </si>
  <si>
    <t>REUILLY-DIDEROT</t>
  </si>
  <si>
    <t>M1 / M8</t>
  </si>
  <si>
    <t>48.8598736217</t>
  </si>
  <si>
    <t>2.37191397876</t>
  </si>
  <si>
    <t>RICHARD LENOIR</t>
  </si>
  <si>
    <t>48.8720134638</t>
  </si>
  <si>
    <t>2.34005178574</t>
  </si>
  <si>
    <t>RICHELIEU-DROUOT</t>
  </si>
  <si>
    <t>48.8882676206</t>
  </si>
  <si>
    <t>2.37420401608</t>
  </si>
  <si>
    <t>RIQUET</t>
  </si>
  <si>
    <t>48.6589754229</t>
  </si>
  <si>
    <t>2.4152068427</t>
  </si>
  <si>
    <t>RIS-ORANGIS</t>
  </si>
  <si>
    <t>48.7465685866</t>
  </si>
  <si>
    <t>2.35287534134</t>
  </si>
  <si>
    <t>ROBERT SCHUMAN</t>
  </si>
  <si>
    <t>48.7851214133</t>
  </si>
  <si>
    <t>2.17879859027</t>
  </si>
  <si>
    <t>ROBERT WAGNER</t>
  </si>
  <si>
    <t>48.8557264286</t>
  </si>
  <si>
    <t>2.42298321615</t>
  </si>
  <si>
    <t>ROBESPIERRE</t>
  </si>
  <si>
    <t>48.7802372971</t>
  </si>
  <si>
    <t>2.28143059544</t>
  </si>
  <si>
    <t>ROBINSON</t>
  </si>
  <si>
    <t>48.9448189327</t>
  </si>
  <si>
    <t>2.35700635511</t>
  </si>
  <si>
    <t>ROGER SEMAT</t>
  </si>
  <si>
    <t>48.7956548205</t>
  </si>
  <si>
    <t>2.65038766981</t>
  </si>
  <si>
    <t>ROISSY-EN-BRIE</t>
  </si>
  <si>
    <t>48.8822269008</t>
  </si>
  <si>
    <t>2.32127492677</t>
  </si>
  <si>
    <t>ROME</t>
  </si>
  <si>
    <t>48.8966738112</t>
  </si>
  <si>
    <t>2.37412297553</t>
  </si>
  <si>
    <t>ROSA PARKS</t>
  </si>
  <si>
    <t>RER E / T3B</t>
  </si>
  <si>
    <t>48.9531682468</t>
  </si>
  <si>
    <t>2.31540361211</t>
  </si>
  <si>
    <t>ROSE BERTIN</t>
  </si>
  <si>
    <t>48.8823040066</t>
  </si>
  <si>
    <t>2.48142125733</t>
  </si>
  <si>
    <t>ROSNY-BOIS-PERRIER</t>
  </si>
  <si>
    <t>48.8699124183</t>
  </si>
  <si>
    <t>2.48576114198</t>
  </si>
  <si>
    <t>ROSNY-SOUS-BOIS</t>
  </si>
  <si>
    <t>48.9973920018</t>
  </si>
  <si>
    <t>1.63016762727</t>
  </si>
  <si>
    <t>ROSNY-SUR-SEINE</t>
  </si>
  <si>
    <t>48.930934183</t>
  </si>
  <si>
    <t>2.51504966242</t>
  </si>
  <si>
    <t>ROUGEMONT-CHANTELOUP</t>
  </si>
  <si>
    <t>48.8639744458</t>
  </si>
  <si>
    <t>2.27811256254</t>
  </si>
  <si>
    <t>RUE DE LA POMPE (AVENUE GEORGES MANDEL)</t>
  </si>
  <si>
    <t>48.8523154274</t>
  </si>
  <si>
    <t>2.38937812792</t>
  </si>
  <si>
    <t>RUE DES BOULETS</t>
  </si>
  <si>
    <t>48.8555509402</t>
  </si>
  <si>
    <t>2.32571242217</t>
  </si>
  <si>
    <t>RUE DU BAC</t>
  </si>
  <si>
    <t>48.8875736186</t>
  </si>
  <si>
    <t>2.17257944908</t>
  </si>
  <si>
    <t>RUEIL-MALMAISON</t>
  </si>
  <si>
    <t>48.7405841228</t>
  </si>
  <si>
    <t>2.35330704843</t>
  </si>
  <si>
    <t>RUNGIS-LA FRATERNELLE</t>
  </si>
  <si>
    <t>RER C / T7</t>
  </si>
  <si>
    <t>48.7501740371</t>
  </si>
  <si>
    <t>2.35436727915</t>
  </si>
  <si>
    <t>SAARINEN</t>
  </si>
  <si>
    <t>48.8610192599</t>
  </si>
  <si>
    <t>2.37473343128</t>
  </si>
  <si>
    <t>SAINT-AMBROISE</t>
  </si>
  <si>
    <t>48.8745583847</t>
  </si>
  <si>
    <t>2.3213619281</t>
  </si>
  <si>
    <t>SAINT-AUGUSTIN</t>
  </si>
  <si>
    <t>48.5510919756</t>
  </si>
  <si>
    <t>2.1257072677</t>
  </si>
  <si>
    <t>SAINT-CHERON</t>
  </si>
  <si>
    <t>48.8461029486</t>
  </si>
  <si>
    <t>2.21762108089</t>
  </si>
  <si>
    <t>SAINT-CLOUD</t>
  </si>
  <si>
    <t>LIGNE L / LIGNE U</t>
  </si>
  <si>
    <t>48.7987076352</t>
  </si>
  <si>
    <t>2.07184700048</t>
  </si>
  <si>
    <t>SAINT-CYR</t>
  </si>
  <si>
    <t>LIGNE N / LIGNE U / RER C</t>
  </si>
  <si>
    <t>48.9360306059</t>
  </si>
  <si>
    <t>2.34527468468</t>
  </si>
  <si>
    <t>SAINT-DENIS</t>
  </si>
  <si>
    <t>LIGNE H / RER D / T1 / T8</t>
  </si>
  <si>
    <t>48.9299358906</t>
  </si>
  <si>
    <t>2.35603579553</t>
  </si>
  <si>
    <t>SAINT-DENIS-PORTE DE PARIS</t>
  </si>
  <si>
    <t>M13 / T8</t>
  </si>
  <si>
    <t>48.9458456578</t>
  </si>
  <si>
    <t>2.36454176212</t>
  </si>
  <si>
    <t>SAINT-DENIS-UNIVERSITE</t>
  </si>
  <si>
    <t>48.8721014421</t>
  </si>
  <si>
    <t>2.40451494238</t>
  </si>
  <si>
    <t>SAINT-FARGEAU</t>
  </si>
  <si>
    <t>48.5644858719</t>
  </si>
  <si>
    <t>2.5426518227</t>
  </si>
  <si>
    <t>48.8514417092</t>
  </si>
  <si>
    <t>2.31440812145</t>
  </si>
  <si>
    <t>SAINT-FRANCOIS-XAVIER</t>
  </si>
  <si>
    <t>48.8784252594</t>
  </si>
  <si>
    <t>2.33759508007</t>
  </si>
  <si>
    <t>SAINT-GEORGES</t>
  </si>
  <si>
    <t>48.8946076266</t>
  </si>
  <si>
    <t>2.06993796549</t>
  </si>
  <si>
    <t>SAINT-GERMAIN-BEL-AIR-FOURQUEUX</t>
  </si>
  <si>
    <t>48.853718934</t>
  </si>
  <si>
    <t>2.33377613822</t>
  </si>
  <si>
    <t>SAINT-GERMAIN-DES-PRES</t>
  </si>
  <si>
    <t>48.8980764111</t>
  </si>
  <si>
    <t>2.0948366283</t>
  </si>
  <si>
    <t>SAINT-GERMAIN-EN-LAYE</t>
  </si>
  <si>
    <t>48.9032046155</t>
  </si>
  <si>
    <t>2.07297145657</t>
  </si>
  <si>
    <t>SAINT-GERMAIN-GRANDE-CEINTURE</t>
  </si>
  <si>
    <t>48.9635896849</t>
  </si>
  <si>
    <t>2.28593071957</t>
  </si>
  <si>
    <t>SAINT-GRATIEN</t>
  </si>
  <si>
    <t>48.8329008157</t>
  </si>
  <si>
    <t>2.33713519471</t>
  </si>
  <si>
    <t>SAINT-JACQUES</t>
  </si>
  <si>
    <t>48.0266866323</t>
  </si>
  <si>
    <t>3.30256453785</t>
  </si>
  <si>
    <t>SAINT-JULIEN-DU-SAULT</t>
  </si>
  <si>
    <t>48.8759331524</t>
  </si>
  <si>
    <t>2.32572796139</t>
  </si>
  <si>
    <t>SAINT-LAZARE</t>
  </si>
  <si>
    <t>LIGNE J / LIGNE L / RER E / M3 / M12 / M13 / M14</t>
  </si>
  <si>
    <t>49.2138563248</t>
  </si>
  <si>
    <t>2.41736939105</t>
  </si>
  <si>
    <t>SAINT-LEU D‚ÄôESSERENT</t>
  </si>
  <si>
    <t>49.0155849728</t>
  </si>
  <si>
    <t>2.24247911127</t>
  </si>
  <si>
    <t>SAINT-LEU-LA-FORET</t>
  </si>
  <si>
    <t>48.3823580058</t>
  </si>
  <si>
    <t>2.81595676708</t>
  </si>
  <si>
    <t>SAINT-MAMMES</t>
  </si>
  <si>
    <t>48.8463569889</t>
  </si>
  <si>
    <t>2.41947990037</t>
  </si>
  <si>
    <t>SAINT-MANDE</t>
  </si>
  <si>
    <t>48.8384272961</t>
  </si>
  <si>
    <t>2.36096716635</t>
  </si>
  <si>
    <t>SAINT-MARCEL</t>
  </si>
  <si>
    <t>48.4273625842</t>
  </si>
  <si>
    <t>2.1452465929</t>
  </si>
  <si>
    <t>SAINT-MARTIN-D'ETAMPES</t>
  </si>
  <si>
    <t>48.8640865748</t>
  </si>
  <si>
    <t>2.38079798618</t>
  </si>
  <si>
    <t>SAINT-MAUR</t>
  </si>
  <si>
    <t>48.8062000248</t>
  </si>
  <si>
    <t>2.4727204038</t>
  </si>
  <si>
    <t>SAINT-MAUR-CRETEIL</t>
  </si>
  <si>
    <t>48.8532518986</t>
  </si>
  <si>
    <t>2.34466048015</t>
  </si>
  <si>
    <t>SAINT-MICHEL</t>
  </si>
  <si>
    <t>RER B / RER C / M4</t>
  </si>
  <si>
    <t>48.6358758658</t>
  </si>
  <si>
    <t>2.30683316396</t>
  </si>
  <si>
    <t>SAINT-MICHEL-SUR-ORGE</t>
  </si>
  <si>
    <t>48.8677920986</t>
  </si>
  <si>
    <t>2.05076784532</t>
  </si>
  <si>
    <t>SAINT-NOM-LA-BRETECHE-FORET-DE-MARLY</t>
  </si>
  <si>
    <t>48.9056549558</t>
  </si>
  <si>
    <t>2.32240040314</t>
  </si>
  <si>
    <t>SAINT-OUEN</t>
  </si>
  <si>
    <t>49.0453116484</t>
  </si>
  <si>
    <t>2.10511071028</t>
  </si>
  <si>
    <t>SAINT-OUEN-L'AUMONE</t>
  </si>
  <si>
    <t>49.0339876363</t>
  </si>
  <si>
    <t>2.12826387256</t>
  </si>
  <si>
    <t>SAINT-OUEN-L'AUMONE-LIESSE</t>
  </si>
  <si>
    <t>49.0399813093</t>
  </si>
  <si>
    <t>2.10385269645</t>
  </si>
  <si>
    <t>SAINT-OUEN-L'AUMONE-QUARTIER DE L'EGLISE</t>
  </si>
  <si>
    <t>48.8552362528</t>
  </si>
  <si>
    <t>2.36095648866</t>
  </si>
  <si>
    <t>SAINT-PAUL (LE MARAIS)</t>
  </si>
  <si>
    <t>48.8724223837</t>
  </si>
  <si>
    <t>2.31003834462</t>
  </si>
  <si>
    <t>SAINT-PHILIPPE-DU-ROULE</t>
  </si>
  <si>
    <t>48.5421836112</t>
  </si>
  <si>
    <t>1.58998527987</t>
  </si>
  <si>
    <t>SAINT-PIAT</t>
  </si>
  <si>
    <t>48.846878238</t>
  </si>
  <si>
    <t>2.32679278504</t>
  </si>
  <si>
    <t>SAINT-PLACIDE</t>
  </si>
  <si>
    <t>48.7873902392</t>
  </si>
  <si>
    <t>2.04462198988</t>
  </si>
  <si>
    <t>SAINT-QUENTIN-EN-YVELINES</t>
  </si>
  <si>
    <t>48.702751043</t>
  </si>
  <si>
    <t>2.07124284766</t>
  </si>
  <si>
    <t>SAINT-REMY-LES-CHEVREUSE</t>
  </si>
  <si>
    <t>48.8611688655</t>
  </si>
  <si>
    <t>2.36721086641</t>
  </si>
  <si>
    <t>SAINT-SEBASTIEN FROISSART</t>
  </si>
  <si>
    <t>48.8516722456</t>
  </si>
  <si>
    <t>2.33125629137</t>
  </si>
  <si>
    <t>SAINT-SULPICE</t>
  </si>
  <si>
    <t>48.5291489677</t>
  </si>
  <si>
    <t>3.25536815138</t>
  </si>
  <si>
    <t>SAINTE-COLOMBE-SEPTVEILLES</t>
  </si>
  <si>
    <t>48.6528113996</t>
  </si>
  <si>
    <t>2.31273624701</t>
  </si>
  <si>
    <t>SAINTE-GENEVIEVE-DES-BOIS</t>
  </si>
  <si>
    <t>48.9705199221</t>
  </si>
  <si>
    <t>2.26392495979</t>
  </si>
  <si>
    <t>SANNOIS</t>
  </si>
  <si>
    <t>49.1234518541</t>
  </si>
  <si>
    <t>1.94933268165</t>
  </si>
  <si>
    <t>SANTEUIL-LE-PERCHAY</t>
  </si>
  <si>
    <t>48.9960068278</t>
  </si>
  <si>
    <t>2.36868456283</t>
  </si>
  <si>
    <t>SARCELLES-SAINT-BRICE</t>
  </si>
  <si>
    <t>48.9377360634</t>
  </si>
  <si>
    <t>2.1570864951</t>
  </si>
  <si>
    <t>SARTROUVILLE</t>
  </si>
  <si>
    <t>48.5955638398</t>
  </si>
  <si>
    <t>2.58394770969</t>
  </si>
  <si>
    <t>SAVIGNY-LE-TEMPLE-NANDY</t>
  </si>
  <si>
    <t>48.676446657</t>
  </si>
  <si>
    <t>2.35248140105</t>
  </si>
  <si>
    <t>SAVIGNY-SUR-ORGE</t>
  </si>
  <si>
    <t>48.7813567213</t>
  </si>
  <si>
    <t>2.29764767643</t>
  </si>
  <si>
    <t>SCEAUX</t>
  </si>
  <si>
    <t>48.8470661332</t>
  </si>
  <si>
    <t>2.30740224062</t>
  </si>
  <si>
    <t>SEGUR</t>
  </si>
  <si>
    <t>48.1984174943</t>
  </si>
  <si>
    <t>3.26732002874</t>
  </si>
  <si>
    <t>SENS</t>
  </si>
  <si>
    <t>48.867309475</t>
  </si>
  <si>
    <t>2.34751621328</t>
  </si>
  <si>
    <t>SENTIER</t>
  </si>
  <si>
    <t>48.5358065092</t>
  </si>
  <si>
    <t>2.06938152489</t>
  </si>
  <si>
    <t>SERMAISE</t>
  </si>
  <si>
    <t>49.1190226463</t>
  </si>
  <si>
    <t>2.39972485389</t>
  </si>
  <si>
    <t>SEUGY</t>
  </si>
  <si>
    <t>48.8675213572</t>
  </si>
  <si>
    <t>2.40897893974</t>
  </si>
  <si>
    <t>SEVERINE</t>
  </si>
  <si>
    <t>48.9476075586</t>
  </si>
  <si>
    <t>2.52471638939</t>
  </si>
  <si>
    <t>SEVRAN-BEAUDOTTES</t>
  </si>
  <si>
    <t>48.9362801847</t>
  </si>
  <si>
    <t>2.53471497339</t>
  </si>
  <si>
    <t>SEVRAN-LIVRY</t>
  </si>
  <si>
    <t>48.8212170379</t>
  </si>
  <si>
    <t>2.21485979135</t>
  </si>
  <si>
    <t>SEVRES RIVE GAUCHE</t>
  </si>
  <si>
    <t>48.8513788297</t>
  </si>
  <si>
    <t>2.32693524475</t>
  </si>
  <si>
    <t>SEVRES-BABYLONE</t>
  </si>
  <si>
    <t>M10 / M12</t>
  </si>
  <si>
    <t>48.8456269668</t>
  </si>
  <si>
    <t>2.30953149282</t>
  </si>
  <si>
    <t>SEVRES-LECOURBE</t>
  </si>
  <si>
    <t>48.8272387727</t>
  </si>
  <si>
    <t>2.20072125663</t>
  </si>
  <si>
    <t>SEVRES-VILLE-D'AVRAY</t>
  </si>
  <si>
    <t>48.893941388</t>
  </si>
  <si>
    <t>2.34776550172</t>
  </si>
  <si>
    <t>SIMPLON</t>
  </si>
  <si>
    <t>48.9299710262</t>
  </si>
  <si>
    <t>2.38475886144</t>
  </si>
  <si>
    <t>SIX ROUTES</t>
  </si>
  <si>
    <t>48.7903330019</t>
  </si>
  <si>
    <t>2.26338916602</t>
  </si>
  <si>
    <t>SOLEIL LEVANT</t>
  </si>
  <si>
    <t>48.8585111299</t>
  </si>
  <si>
    <t>2.32315485584</t>
  </si>
  <si>
    <t>SOLFERINO</t>
  </si>
  <si>
    <t>48.1809368558</t>
  </si>
  <si>
    <t>2.73624984291</t>
  </si>
  <si>
    <t>SOUPPES</t>
  </si>
  <si>
    <t>48.8195005099</t>
  </si>
  <si>
    <t>2.34580357984</t>
  </si>
  <si>
    <t>STADE CHARLETY (PORTE DE GENTILLY)</t>
  </si>
  <si>
    <t>48.917567173</t>
  </si>
  <si>
    <t>2.35038953793</t>
  </si>
  <si>
    <t>STADE DE FRANCE-SAINT-DENIS</t>
  </si>
  <si>
    <t>48.9243751434</t>
  </si>
  <si>
    <t>2.40207341436</t>
  </si>
  <si>
    <t>STADE GEO ANDRE</t>
  </si>
  <si>
    <t>48.8839952205</t>
  </si>
  <si>
    <t>2.36891270331</t>
  </si>
  <si>
    <t>STALINGRAD</t>
  </si>
  <si>
    <t>M2 / M5 / M7</t>
  </si>
  <si>
    <t>49.01004496</t>
  </si>
  <si>
    <t>2.57064006889</t>
  </si>
  <si>
    <t>STATION PX</t>
  </si>
  <si>
    <t>48.8692940077</t>
  </si>
  <si>
    <t>2.35428087908</t>
  </si>
  <si>
    <t>STRASBOURG-SAINT-DENIS</t>
  </si>
  <si>
    <t>M4 / M8 / M9</t>
  </si>
  <si>
    <t>48.7717079088</t>
  </si>
  <si>
    <t>2.5074826457</t>
  </si>
  <si>
    <t>SUCY-BONNEUIL</t>
  </si>
  <si>
    <t>48.8512376071</t>
  </si>
  <si>
    <t>2.36198522639</t>
  </si>
  <si>
    <t>SULLY-MORLAND</t>
  </si>
  <si>
    <t>48.8682387849</t>
  </si>
  <si>
    <t>2.22141060398</t>
  </si>
  <si>
    <t>SURESNES-LONGCHAMP</t>
  </si>
  <si>
    <t>48.8717141866</t>
  </si>
  <si>
    <t>2.22102954777</t>
  </si>
  <si>
    <t>SURESNES-MONT VALERIEN</t>
  </si>
  <si>
    <t>49.0995869383</t>
  </si>
  <si>
    <t>2.525531714</t>
  </si>
  <si>
    <t>SURVILLIERS-FOSSES</t>
  </si>
  <si>
    <t>48.8333653438</t>
  </si>
  <si>
    <t>2.27671209053</t>
  </si>
  <si>
    <t>SUZANNE LENGLEN</t>
  </si>
  <si>
    <t>48.9591210983</t>
  </si>
  <si>
    <t>2.35874250448</t>
  </si>
  <si>
    <t>SUZANNE VALADON</t>
  </si>
  <si>
    <t>48.8294290162</t>
  </si>
  <si>
    <t>1.6690101627</t>
  </si>
  <si>
    <t>TACOIGNIERES-RICHEBOURG</t>
  </si>
  <si>
    <t>49.024778547</t>
  </si>
  <si>
    <t>2.22272732219</t>
  </si>
  <si>
    <t>TAVERNY</t>
  </si>
  <si>
    <t>48.8754744576</t>
  </si>
  <si>
    <t>2.39886759934</t>
  </si>
  <si>
    <t>TELEGRAPHE</t>
  </si>
  <si>
    <t>48.8666826802</t>
  </si>
  <si>
    <t>2.36154153207</t>
  </si>
  <si>
    <t>TEMPLE</t>
  </si>
  <si>
    <t>49.0134027057</t>
  </si>
  <si>
    <t>2.54195169681</t>
  </si>
  <si>
    <t>TERMINAL 1</t>
  </si>
  <si>
    <t>48.8779727014</t>
  </si>
  <si>
    <t>2.29831037512</t>
  </si>
  <si>
    <t>TERNES</t>
  </si>
  <si>
    <t>48.9375098964</t>
  </si>
  <si>
    <t>2.35040001854</t>
  </si>
  <si>
    <t>THEATRE GERARD PHILIPE</t>
  </si>
  <si>
    <t>49.008114015</t>
  </si>
  <si>
    <t>2.68025245462</t>
  </si>
  <si>
    <t>THIEUX-NANTOUILLET</t>
  </si>
  <si>
    <t>48.3943084388</t>
  </si>
  <si>
    <t>2.76402818744</t>
  </si>
  <si>
    <t>THOMERY</t>
  </si>
  <si>
    <t>49.0067002768</t>
  </si>
  <si>
    <t>1.91923711175</t>
  </si>
  <si>
    <t>THUN-LE-PARADIS</t>
  </si>
  <si>
    <t>48.9332722746</t>
  </si>
  <si>
    <t>2.30182635534</t>
  </si>
  <si>
    <t>TIMBAUD</t>
  </si>
  <si>
    <t>48.8264260109</t>
  </si>
  <si>
    <t>2.35724565076</t>
  </si>
  <si>
    <t>TOLBIAC</t>
  </si>
  <si>
    <t>48.8396455173</t>
  </si>
  <si>
    <t>2.65513008664</t>
  </si>
  <si>
    <t>TORCY</t>
  </si>
  <si>
    <t>48.7394872073</t>
  </si>
  <si>
    <t>2.75882454867</t>
  </si>
  <si>
    <t>TOURNAN</t>
  </si>
  <si>
    <t>48.7748028107</t>
  </si>
  <si>
    <t>2.00656687176</t>
  </si>
  <si>
    <t>TRAPPES</t>
  </si>
  <si>
    <t>49.2825897349</t>
  </si>
  <si>
    <t>1.81808238251</t>
  </si>
  <si>
    <t>TRIE-CHATEAU</t>
  </si>
  <si>
    <t>48.981071911</t>
  </si>
  <si>
    <t>2.00593089169</t>
  </si>
  <si>
    <t>TRIEL-SUR-SEINE</t>
  </si>
  <si>
    <t>48.9602264907</t>
  </si>
  <si>
    <t>2.95006038275</t>
  </si>
  <si>
    <t>TRILPORT</t>
  </si>
  <si>
    <t>48.8763179623</t>
  </si>
  <si>
    <t>2.3325430273</t>
  </si>
  <si>
    <t>TRINITE-D'ESTIENNE D'ORVES</t>
  </si>
  <si>
    <t>48.8630737822</t>
  </si>
  <si>
    <t>2.2871668755</t>
  </si>
  <si>
    <t>TROCADERO</t>
  </si>
  <si>
    <t>M6 / M9</t>
  </si>
  <si>
    <t>48.8643437787</t>
  </si>
  <si>
    <t>2.33012987711</t>
  </si>
  <si>
    <t>TUILERIES</t>
  </si>
  <si>
    <t>49.0996501217</t>
  </si>
  <si>
    <t>1.97053572369</t>
  </si>
  <si>
    <t>US</t>
  </si>
  <si>
    <t>48.8752082655</t>
  </si>
  <si>
    <t>2.63759072126</t>
  </si>
  <si>
    <t>VAIRES-TORCY</t>
  </si>
  <si>
    <t>48.9503043535</t>
  </si>
  <si>
    <t>2.23111003501</t>
  </si>
  <si>
    <t>VAL D'ARGENTEUIL</t>
  </si>
  <si>
    <t>48.8553948099</t>
  </si>
  <si>
    <t>2.77343391924</t>
  </si>
  <si>
    <t>VAL-D'EUROPE</t>
  </si>
  <si>
    <t>48.8543530972</t>
  </si>
  <si>
    <t>2.48913730642</t>
  </si>
  <si>
    <t>VAL-DE-FONTENAY</t>
  </si>
  <si>
    <t>RER A / RER E</t>
  </si>
  <si>
    <t>49.0910734513</t>
  </si>
  <si>
    <t>2.20182348425</t>
  </si>
  <si>
    <t>VALMONDOIS</t>
  </si>
  <si>
    <t>48.8488163725</t>
  </si>
  <si>
    <t>2.32125786291</t>
  </si>
  <si>
    <t>VANEAU</t>
  </si>
  <si>
    <t>48.8183876405</t>
  </si>
  <si>
    <t>2.29206181727</t>
  </si>
  <si>
    <t>VANVES-MALAKOFF</t>
  </si>
  <si>
    <t>48.8568713792</t>
  </si>
  <si>
    <t>2.31505663732</t>
  </si>
  <si>
    <t>VARENNE</t>
  </si>
  <si>
    <t>48.8071698468</t>
  </si>
  <si>
    <t>2.29409124432</t>
  </si>
  <si>
    <t>VAUBAN</t>
  </si>
  <si>
    <t>48.7591889859</t>
  </si>
  <si>
    <t>2.19213580582</t>
  </si>
  <si>
    <t>VAUBOYEN</t>
  </si>
  <si>
    <t>49.0217739562</t>
  </si>
  <si>
    <t>2.22937648839</t>
  </si>
  <si>
    <t>VAUCELLES</t>
  </si>
  <si>
    <t>48.8366433163</t>
  </si>
  <si>
    <t>2.15269740303</t>
  </si>
  <si>
    <t>VAUCRESSON</t>
  </si>
  <si>
    <t>48.8395165854</t>
  </si>
  <si>
    <t>2.30110751488</t>
  </si>
  <si>
    <t>VAUGIRARD (ADOLPHE CHERIOU)</t>
  </si>
  <si>
    <t>49.0071272463</t>
  </si>
  <si>
    <t>1.96355177166</t>
  </si>
  <si>
    <t>VAUX-SUR-SEINE</t>
  </si>
  <si>
    <t>48.8422184136</t>
  </si>
  <si>
    <t>2.32900892624</t>
  </si>
  <si>
    <t>VAVIN</t>
  </si>
  <si>
    <t>48.7849697633</t>
  </si>
  <si>
    <t>2.22000951686</t>
  </si>
  <si>
    <t>VELIZY 2</t>
  </si>
  <si>
    <t>48.644373624</t>
  </si>
  <si>
    <t>2.82516993433</t>
  </si>
  <si>
    <t>VERNEUIL-L'ETANG</t>
  </si>
  <si>
    <t>49.0910096787</t>
  </si>
  <si>
    <t>1.47870360947</t>
  </si>
  <si>
    <t>VERNON</t>
  </si>
  <si>
    <t>48.3867709865</t>
  </si>
  <si>
    <t>2.84203739017</t>
  </si>
  <si>
    <t>VERNOU-SUR-SEINE</t>
  </si>
  <si>
    <t>48.9814459694</t>
  </si>
  <si>
    <t>1.98314335209</t>
  </si>
  <si>
    <t>VERNOUILLET-VERNEUIL</t>
  </si>
  <si>
    <t>48.8002155781</t>
  </si>
  <si>
    <t>2.12904386737</t>
  </si>
  <si>
    <t>VERSAILLES CHATEAU</t>
  </si>
  <si>
    <t>48.809482263</t>
  </si>
  <si>
    <t>2.13508745661</t>
  </si>
  <si>
    <t>VERSAILLES RIVE DROITE</t>
  </si>
  <si>
    <t>48.7952802463</t>
  </si>
  <si>
    <t>2.13605048966</t>
  </si>
  <si>
    <t>VERSAILLES-CHANTIERS</t>
  </si>
  <si>
    <t>48.9441810651</t>
  </si>
  <si>
    <t>2.56644801561</t>
  </si>
  <si>
    <t>VERT-GALANT</t>
  </si>
  <si>
    <t>49.1166278816</t>
  </si>
  <si>
    <t>2.36825354625</t>
  </si>
  <si>
    <t>VIARMES</t>
  </si>
  <si>
    <t>48.9140476807</t>
  </si>
  <si>
    <t>2.22957161329</t>
  </si>
  <si>
    <t>VICTOR BASCH</t>
  </si>
  <si>
    <t>48.8697985565</t>
  </si>
  <si>
    <t>2.28533509469</t>
  </si>
  <si>
    <t>VICTOR HUGO</t>
  </si>
  <si>
    <t>48.7083664326</t>
  </si>
  <si>
    <t>2.4143588798</t>
  </si>
  <si>
    <t>VIGNEUX-SUR-SEINE</t>
  </si>
  <si>
    <t>48.5926277422</t>
  </si>
  <si>
    <t>2.46180638748</t>
  </si>
  <si>
    <t>VILLABE</t>
  </si>
  <si>
    <t>49.0794702322</t>
  </si>
  <si>
    <t>2.35083083084</t>
  </si>
  <si>
    <t>VILLAINES</t>
  </si>
  <si>
    <t>48.8046881209</t>
  </si>
  <si>
    <t>2.3639531966</t>
  </si>
  <si>
    <t>VILLEJUIF-LEO LAGRANGE</t>
  </si>
  <si>
    <t>48.7875627921</t>
  </si>
  <si>
    <t>2.36780410698</t>
  </si>
  <si>
    <t>VILLEJUIF-LOUIS ARAGON</t>
  </si>
  <si>
    <t>M7 / T7</t>
  </si>
  <si>
    <t>48.7964830846</t>
  </si>
  <si>
    <t>2.36826954005</t>
  </si>
  <si>
    <t>VILLEJUIF-PAUL VAILLANT-COUTURIER</t>
  </si>
  <si>
    <t>48.3426136802</t>
  </si>
  <si>
    <t>3.07174645374</t>
  </si>
  <si>
    <t>VILLENEUVE-LA-GUYARD</t>
  </si>
  <si>
    <t>48.7398306985</t>
  </si>
  <si>
    <t>2.42639982184</t>
  </si>
  <si>
    <t>VILLENEUVE-LE-ROI</t>
  </si>
  <si>
    <t>48.7301168278</t>
  </si>
  <si>
    <t>2.44613582961</t>
  </si>
  <si>
    <t>VILLENEUVE-SAINT-GEORGES</t>
  </si>
  <si>
    <t>48.0851844953</t>
  </si>
  <si>
    <t>3.28625649812</t>
  </si>
  <si>
    <t>VILLENEUVE-SUR-YONNE</t>
  </si>
  <si>
    <t>48.7452308149</t>
  </si>
  <si>
    <t>2.43834424057</t>
  </si>
  <si>
    <t>VILLENEUVE-TRIAGE</t>
  </si>
  <si>
    <t>48.9394868108</t>
  </si>
  <si>
    <t>1.99960360966</t>
  </si>
  <si>
    <t>VILLENNES-SUR-SEINE</t>
  </si>
  <si>
    <t>48.9531483885</t>
  </si>
  <si>
    <t>2.60313531057</t>
  </si>
  <si>
    <t>VILLEPARISIS-MITRY-LE-NEUF</t>
  </si>
  <si>
    <t>48.9627095151</t>
  </si>
  <si>
    <t>2.51264462644</t>
  </si>
  <si>
    <t>VILLEPINTE</t>
  </si>
  <si>
    <t>48.8236532714</t>
  </si>
  <si>
    <t>1.99286453238</t>
  </si>
  <si>
    <t>VILLEPREUX-LES-CLAYES</t>
  </si>
  <si>
    <t>48.9596759565</t>
  </si>
  <si>
    <t>2.34273416795</t>
  </si>
  <si>
    <t>VILLETANEUSE-UNIVERSITE</t>
  </si>
  <si>
    <t>T8 / T11</t>
  </si>
  <si>
    <t>48.8811500285</t>
  </si>
  <si>
    <t>2.31517662622</t>
  </si>
  <si>
    <t>VILLIERS</t>
  </si>
  <si>
    <t>48.9937771478</t>
  </si>
  <si>
    <t>2.41618749165</t>
  </si>
  <si>
    <t>VILLIERS-LE-BEL-GONESSE-ARNOUVILLE</t>
  </si>
  <si>
    <t>48.86329024</t>
  </si>
  <si>
    <t>2.88320172581</t>
  </si>
  <si>
    <t>VILLIERS-MONTBARBIN</t>
  </si>
  <si>
    <t>48.8153286196</t>
  </si>
  <si>
    <t>1.87750420433</t>
  </si>
  <si>
    <t>VILLIERS-NEAUPHLE PONTCHARTRAIN</t>
  </si>
  <si>
    <t>48.8232666341</t>
  </si>
  <si>
    <t>2.54267979265</t>
  </si>
  <si>
    <t>VILLIERS-SUR-MARNE-PLESSIS-TREVISE</t>
  </si>
  <si>
    <t>48.8473083586</t>
  </si>
  <si>
    <t>2.43329972174</t>
  </si>
  <si>
    <t>VINCENNES</t>
  </si>
  <si>
    <t>48.8054930338</t>
  </si>
  <si>
    <t>2.16852039696</t>
  </si>
  <si>
    <t>VIROFLAY RD</t>
  </si>
  <si>
    <t>LIGNE L / T6</t>
  </si>
  <si>
    <t>48.8007184639</t>
  </si>
  <si>
    <t>2.17138981412</t>
  </si>
  <si>
    <t>VIROFLAY RG</t>
  </si>
  <si>
    <t>LIGNE N / RER C / T6</t>
  </si>
  <si>
    <t>48.676092434</t>
  </si>
  <si>
    <t>2.38678379703</t>
  </si>
  <si>
    <t>VIRY-CHATILLON</t>
  </si>
  <si>
    <t>48.8002094001</t>
  </si>
  <si>
    <t>2.40271281716</t>
  </si>
  <si>
    <t>VITRY-SUR-SEINE</t>
  </si>
  <si>
    <t>48.8415055224</t>
  </si>
  <si>
    <t>2.30794867934</t>
  </si>
  <si>
    <t>VOLONTAIRES</t>
  </si>
  <si>
    <t>48.8574537227</t>
  </si>
  <si>
    <t>2.38071878586</t>
  </si>
  <si>
    <t>VOLTAIRE (LEON BLUM)</t>
  </si>
  <si>
    <t>48.5151514533</t>
  </si>
  <si>
    <t>2.5993042727</t>
  </si>
  <si>
    <t>VOSVES</t>
  </si>
  <si>
    <t>48.2746323892</t>
  </si>
  <si>
    <t>1.62149862568</t>
  </si>
  <si>
    <t>VOVES</t>
  </si>
  <si>
    <t>48.4309707214</t>
  </si>
  <si>
    <t>2.7531775675</t>
  </si>
  <si>
    <t>VULAINES-SUR-SEINE-SAMOREAU</t>
  </si>
  <si>
    <t>48.8838092012</t>
  </si>
  <si>
    <t>2.30467444053</t>
  </si>
  <si>
    <t>WAGRAM</t>
  </si>
  <si>
    <t>48.7066109469</t>
  </si>
  <si>
    <t>2.4842451493</t>
  </si>
  <si>
    <t>YERRES</t>
  </si>
  <si>
    <t>coords wikipedia</t>
  </si>
  <si>
    <t>stops</t>
  </si>
  <si>
    <t>latitude</t>
  </si>
  <si>
    <t>longitude</t>
  </si>
  <si>
    <t>index ratp</t>
  </si>
  <si>
    <t>ratp name</t>
  </si>
  <si>
    <t>wsl</t>
  </si>
  <si>
    <t>wcst</t>
  </si>
  <si>
    <t>wcdt</t>
  </si>
  <si>
    <t>sl</t>
  </si>
  <si>
    <t>48° 47′ 58″ N, 2° 11′ 03″ E</t>
  </si>
  <si>
    <t>49° 05′ 28″ N, 1° 28′ 42″ E</t>
  </si>
  <si>
    <t>49° 02′ 19″ N, 1° 34′ 53″ E</t>
  </si>
  <si>
    <t>48° 59′ 50″ N, 1° 37′ 51″ E</t>
  </si>
  <si>
    <t>48° 48′ 52″ N, 3° 09′ 07″ E</t>
  </si>
  <si>
    <t>48° 48′ 55″ N, 3° 10′ 16″ E</t>
  </si>
  <si>
    <t>48° 47′ 57″ N, 3° 12′ 31″ E</t>
  </si>
  <si>
    <t>48° 47′ 27″ N, 3° 16′ 26″ E</t>
  </si>
  <si>
    <t>48° 46′ 56″ N, 3° 17′ 52″ E</t>
  </si>
  <si>
    <t>48° 26′ 52″ N, 2° 43′ 46″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</si>
</sst>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2" formatCode="0.00000000"/>
    <numFmt numFmtId="178" formatCode="0.00000%"/>
    <numFmt numFmtId="181" formatCode="0.00000000%"/>
  </numFmts>
  <fonts count="10"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theme="5"/>
      <name val="Arial"/>
      <family val="2"/>
    </font>
    <font>
      <b/>
      <sz val="10"/>
      <color theme="5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" fontId="0" fillId="0" borderId="0" xfId="0" quotePrefix="1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2" fillId="0" borderId="0" xfId="0" applyFont="1"/>
    <xf numFmtId="49" fontId="3" fillId="0" borderId="0" xfId="0" applyNumberFormat="1" applyFont="1"/>
    <xf numFmtId="49" fontId="3" fillId="0" borderId="0" xfId="0" applyNumberFormat="1" applyFont="1" applyFill="1"/>
    <xf numFmtId="0" fontId="2" fillId="0" borderId="0" xfId="0" applyFont="1" applyAlignment="1">
      <alignment horizontal="center"/>
    </xf>
    <xf numFmtId="0" fontId="6" fillId="0" borderId="0" xfId="0" applyFont="1"/>
    <xf numFmtId="2" fontId="3" fillId="0" borderId="0" xfId="0" applyNumberFormat="1" applyFont="1"/>
    <xf numFmtId="2" fontId="3" fillId="0" borderId="0" xfId="0" applyNumberFormat="1" applyFont="1" applyFill="1"/>
    <xf numFmtId="172" fontId="3" fillId="0" borderId="0" xfId="0" applyNumberFormat="1" applyFont="1"/>
    <xf numFmtId="172" fontId="3" fillId="0" borderId="0" xfId="0" applyNumberFormat="1" applyFont="1" applyFill="1"/>
    <xf numFmtId="178" fontId="3" fillId="0" borderId="0" xfId="1" applyNumberFormat="1" applyFont="1"/>
    <xf numFmtId="178" fontId="3" fillId="0" borderId="0" xfId="1" applyNumberFormat="1" applyFont="1" applyFill="1"/>
    <xf numFmtId="181" fontId="3" fillId="0" borderId="0" xfId="1" applyNumberFormat="1" applyFont="1"/>
    <xf numFmtId="181" fontId="3" fillId="0" borderId="0" xfId="1" applyNumberFormat="1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7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49" fontId="1" fillId="0" borderId="0" xfId="0" applyNumberFormat="1" applyFont="1" applyFill="1"/>
    <xf numFmtId="2" fontId="1" fillId="0" borderId="0" xfId="0" applyNumberFormat="1" applyFont="1" applyFill="1"/>
    <xf numFmtId="172" fontId="1" fillId="0" borderId="0" xfId="0" applyNumberFormat="1" applyFont="1" applyFill="1"/>
    <xf numFmtId="181" fontId="1" fillId="0" borderId="0" xfId="1" applyNumberFormat="1" applyFont="1" applyFill="1"/>
    <xf numFmtId="178" fontId="1" fillId="0" borderId="0" xfId="1" applyNumberFormat="1" applyFont="1" applyFill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 applyAlignment="1">
      <alignment horizontal="center"/>
    </xf>
    <xf numFmtId="49" fontId="8" fillId="0" borderId="0" xfId="0" applyNumberFormat="1" applyFont="1" applyFill="1"/>
    <xf numFmtId="2" fontId="8" fillId="0" borderId="0" xfId="0" applyNumberFormat="1" applyFont="1" applyFill="1"/>
    <xf numFmtId="172" fontId="8" fillId="0" borderId="0" xfId="0" applyNumberFormat="1" applyFont="1" applyFill="1"/>
    <xf numFmtId="181" fontId="8" fillId="0" borderId="0" xfId="1" applyNumberFormat="1" applyFont="1" applyFill="1"/>
    <xf numFmtId="178" fontId="8" fillId="0" borderId="0" xfId="1" applyNumberFormat="1" applyFont="1" applyFill="1"/>
    <xf numFmtId="0" fontId="8" fillId="0" borderId="0" xfId="0" applyFont="1" applyFill="1" applyAlignment="1">
      <alignment horizontal="left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3"/>
  <sheetViews>
    <sheetView zoomScale="160" zoomScaleNormal="160" workbookViewId="0">
      <selection activeCell="I6" sqref="I6"/>
    </sheetView>
  </sheetViews>
  <sheetFormatPr baseColWidth="10" defaultRowHeight="13"/>
  <cols>
    <col min="1" max="1" width="2" style="1" customWidth="1"/>
    <col min="2" max="2" width="2" style="1" bestFit="1" customWidth="1"/>
    <col min="3" max="3" width="3" style="1" bestFit="1" customWidth="1"/>
    <col min="4" max="4" width="3.6640625" style="1" bestFit="1" customWidth="1"/>
    <col min="5" max="5" width="8" style="1" bestFit="1" customWidth="1"/>
    <col min="6" max="6" width="3.1640625" customWidth="1"/>
    <col min="7" max="8" width="3.83203125" bestFit="1" customWidth="1"/>
    <col min="9" max="9" width="7.5" bestFit="1" customWidth="1"/>
    <col min="10" max="10" width="3.1640625" customWidth="1"/>
  </cols>
  <sheetData>
    <row r="1" spans="1:9">
      <c r="A1" s="1">
        <v>7</v>
      </c>
      <c r="C1" s="1">
        <f>A1*(A1-1)/2</f>
        <v>21</v>
      </c>
    </row>
    <row r="2" spans="1:9">
      <c r="A2" s="3" t="s">
        <v>0</v>
      </c>
      <c r="B2" s="3" t="s">
        <v>1</v>
      </c>
      <c r="C2" s="4" t="s">
        <v>3</v>
      </c>
      <c r="D2" s="2" t="s">
        <v>2</v>
      </c>
      <c r="E2" s="2" t="s">
        <v>4</v>
      </c>
      <c r="H2" s="5"/>
    </row>
    <row r="3" spans="1:9">
      <c r="A3" s="1">
        <v>0</v>
      </c>
      <c r="B3" s="1">
        <v>1</v>
      </c>
      <c r="C3" s="1">
        <v>0</v>
      </c>
      <c r="D3" s="1" t="s">
        <v>5</v>
      </c>
      <c r="E3" s="7" t="str">
        <f>VLOOKUP(A3*$A$1+B3-(A3+1)*(A3+2)/2,C3:D23,2)</f>
        <v>a</v>
      </c>
    </row>
    <row r="4" spans="1:9">
      <c r="A4" s="1">
        <v>0</v>
      </c>
      <c r="B4" s="1">
        <v>2</v>
      </c>
      <c r="C4" s="1">
        <v>1</v>
      </c>
      <c r="D4" s="1" t="s">
        <v>6</v>
      </c>
      <c r="E4" s="7" t="str">
        <f t="shared" ref="E4:E23" si="0">VLOOKUP(A4*$A$1+B4-(A4+1)*(A4+2)/2,C4:D24,2)</f>
        <v>b</v>
      </c>
    </row>
    <row r="5" spans="1:9">
      <c r="A5" s="1">
        <v>0</v>
      </c>
      <c r="B5" s="1">
        <v>3</v>
      </c>
      <c r="C5" s="1">
        <v>2</v>
      </c>
      <c r="D5" s="1" t="s">
        <v>7</v>
      </c>
      <c r="E5" s="7" t="str">
        <f t="shared" si="0"/>
        <v>c</v>
      </c>
    </row>
    <row r="6" spans="1:9">
      <c r="A6" s="1">
        <v>0</v>
      </c>
      <c r="B6" s="1">
        <v>4</v>
      </c>
      <c r="C6" s="1">
        <v>3</v>
      </c>
      <c r="D6" s="1" t="s">
        <v>8</v>
      </c>
      <c r="E6" s="7" t="str">
        <f t="shared" si="0"/>
        <v>d</v>
      </c>
    </row>
    <row r="7" spans="1:9">
      <c r="A7" s="1">
        <v>0</v>
      </c>
      <c r="B7" s="1">
        <v>5</v>
      </c>
      <c r="C7" s="1">
        <v>4</v>
      </c>
      <c r="D7" s="1" t="s">
        <v>9</v>
      </c>
      <c r="E7" s="7" t="str">
        <f t="shared" si="0"/>
        <v>e</v>
      </c>
    </row>
    <row r="8" spans="1:9">
      <c r="A8" s="1">
        <v>0</v>
      </c>
      <c r="B8" s="1">
        <v>6</v>
      </c>
      <c r="C8" s="1">
        <v>5</v>
      </c>
      <c r="D8" s="1" t="s">
        <v>10</v>
      </c>
      <c r="E8" s="7" t="str">
        <f t="shared" si="0"/>
        <v>f</v>
      </c>
    </row>
    <row r="9" spans="1:9">
      <c r="A9" s="1">
        <v>1</v>
      </c>
      <c r="B9" s="1">
        <v>2</v>
      </c>
      <c r="C9" s="1">
        <v>6</v>
      </c>
      <c r="D9" s="1" t="s">
        <v>11</v>
      </c>
      <c r="E9" s="7" t="str">
        <f t="shared" si="0"/>
        <v>g</v>
      </c>
    </row>
    <row r="10" spans="1:9">
      <c r="A10" s="1">
        <v>1</v>
      </c>
      <c r="B10" s="1">
        <v>3</v>
      </c>
      <c r="C10" s="1">
        <v>7</v>
      </c>
      <c r="D10" s="1" t="s">
        <v>12</v>
      </c>
      <c r="E10" s="7" t="str">
        <f t="shared" si="0"/>
        <v>h</v>
      </c>
    </row>
    <row r="11" spans="1:9">
      <c r="A11" s="1">
        <v>1</v>
      </c>
      <c r="B11" s="1">
        <v>4</v>
      </c>
      <c r="C11" s="1">
        <v>8</v>
      </c>
      <c r="D11" s="1" t="s">
        <v>0</v>
      </c>
      <c r="E11" s="7" t="str">
        <f t="shared" si="0"/>
        <v>i</v>
      </c>
      <c r="I11" s="6"/>
    </row>
    <row r="12" spans="1:9">
      <c r="A12" s="1">
        <v>1</v>
      </c>
      <c r="B12" s="1">
        <v>5</v>
      </c>
      <c r="C12" s="1">
        <v>9</v>
      </c>
      <c r="D12" s="1" t="s">
        <v>1</v>
      </c>
      <c r="E12" s="7" t="str">
        <f t="shared" si="0"/>
        <v>j</v>
      </c>
      <c r="I12" s="6"/>
    </row>
    <row r="13" spans="1:9">
      <c r="A13" s="1">
        <v>1</v>
      </c>
      <c r="B13" s="1">
        <v>6</v>
      </c>
      <c r="C13" s="1">
        <v>10</v>
      </c>
      <c r="D13" s="1" t="s">
        <v>3</v>
      </c>
      <c r="E13" s="7" t="str">
        <f t="shared" si="0"/>
        <v>k</v>
      </c>
      <c r="I13" s="6"/>
    </row>
    <row r="14" spans="1:9">
      <c r="A14" s="1">
        <v>2</v>
      </c>
      <c r="B14" s="1">
        <v>3</v>
      </c>
      <c r="C14" s="1">
        <v>11</v>
      </c>
      <c r="D14" s="1" t="s">
        <v>13</v>
      </c>
      <c r="E14" s="7" t="str">
        <f t="shared" si="0"/>
        <v>l</v>
      </c>
      <c r="I14" s="6"/>
    </row>
    <row r="15" spans="1:9">
      <c r="A15" s="1">
        <v>2</v>
      </c>
      <c r="B15" s="1">
        <v>4</v>
      </c>
      <c r="C15" s="1">
        <v>12</v>
      </c>
      <c r="D15" s="1" t="s">
        <v>14</v>
      </c>
      <c r="E15" s="7" t="str">
        <f t="shared" si="0"/>
        <v>m</v>
      </c>
      <c r="I15" s="6"/>
    </row>
    <row r="16" spans="1:9">
      <c r="A16" s="1">
        <v>2</v>
      </c>
      <c r="B16" s="1">
        <v>5</v>
      </c>
      <c r="C16" s="1">
        <v>13</v>
      </c>
      <c r="D16" s="1" t="s">
        <v>15</v>
      </c>
      <c r="E16" s="7" t="str">
        <f t="shared" si="0"/>
        <v>n</v>
      </c>
      <c r="I16" s="6"/>
    </row>
    <row r="17" spans="1:5">
      <c r="A17" s="1">
        <v>2</v>
      </c>
      <c r="B17" s="1">
        <v>6</v>
      </c>
      <c r="C17" s="1">
        <v>14</v>
      </c>
      <c r="D17" s="1" t="s">
        <v>16</v>
      </c>
      <c r="E17" s="7" t="str">
        <f t="shared" si="0"/>
        <v>o</v>
      </c>
    </row>
    <row r="18" spans="1:5">
      <c r="A18" s="1">
        <v>3</v>
      </c>
      <c r="B18" s="1">
        <v>4</v>
      </c>
      <c r="C18" s="1">
        <v>15</v>
      </c>
      <c r="D18" s="1" t="s">
        <v>17</v>
      </c>
      <c r="E18" s="7" t="str">
        <f t="shared" si="0"/>
        <v>p</v>
      </c>
    </row>
    <row r="19" spans="1:5">
      <c r="A19" s="1">
        <v>3</v>
      </c>
      <c r="B19" s="1">
        <v>5</v>
      </c>
      <c r="C19" s="1">
        <v>16</v>
      </c>
      <c r="D19" s="1" t="s">
        <v>18</v>
      </c>
      <c r="E19" s="7" t="str">
        <f t="shared" si="0"/>
        <v>q</v>
      </c>
    </row>
    <row r="20" spans="1:5">
      <c r="A20" s="1">
        <v>3</v>
      </c>
      <c r="B20" s="1">
        <v>6</v>
      </c>
      <c r="C20" s="1">
        <v>17</v>
      </c>
      <c r="D20" s="1" t="s">
        <v>19</v>
      </c>
      <c r="E20" s="7" t="str">
        <f t="shared" si="0"/>
        <v>r</v>
      </c>
    </row>
    <row r="21" spans="1:5">
      <c r="A21" s="1">
        <v>4</v>
      </c>
      <c r="B21" s="1">
        <v>5</v>
      </c>
      <c r="C21" s="1">
        <v>18</v>
      </c>
      <c r="D21" s="1" t="s">
        <v>20</v>
      </c>
      <c r="E21" s="7" t="str">
        <f t="shared" si="0"/>
        <v>s</v>
      </c>
    </row>
    <row r="22" spans="1:5">
      <c r="A22" s="1">
        <v>4</v>
      </c>
      <c r="B22" s="1">
        <v>6</v>
      </c>
      <c r="C22" s="1">
        <v>19</v>
      </c>
      <c r="D22" s="1" t="s">
        <v>21</v>
      </c>
      <c r="E22" s="7" t="str">
        <f t="shared" si="0"/>
        <v>t</v>
      </c>
    </row>
    <row r="23" spans="1:5">
      <c r="A23" s="1">
        <v>5</v>
      </c>
      <c r="B23" s="1">
        <v>6</v>
      </c>
      <c r="C23" s="1">
        <v>20</v>
      </c>
      <c r="D23" s="1" t="s">
        <v>22</v>
      </c>
      <c r="E23" s="7" t="str">
        <f t="shared" si="0"/>
        <v>u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D1139"/>
  <sheetViews>
    <sheetView topLeftCell="E1" zoomScale="137" zoomScaleNormal="70" workbookViewId="0">
      <selection activeCell="P10" sqref="P10"/>
    </sheetView>
  </sheetViews>
  <sheetFormatPr baseColWidth="10" defaultColWidth="10.83203125" defaultRowHeight="13"/>
  <cols>
    <col min="1" max="1" width="10.83203125" style="10" customWidth="1"/>
    <col min="2" max="2" width="9.33203125" style="10" bestFit="1" customWidth="1"/>
    <col min="3" max="3" width="10.83203125" style="9" customWidth="1"/>
    <col min="4" max="4" width="15.5" style="11" customWidth="1"/>
    <col min="5" max="5" width="38.6640625" style="9" customWidth="1"/>
    <col min="6" max="6" width="25.5" style="9" customWidth="1"/>
    <col min="7" max="7" width="51.1640625" style="8" hidden="1" customWidth="1"/>
    <col min="8" max="8" width="23.5" style="17" hidden="1" customWidth="1"/>
    <col min="9" max="9" width="24.5" style="17" hidden="1" customWidth="1"/>
    <col min="10" max="10" width="8.6640625" style="9" hidden="1" customWidth="1"/>
    <col min="11" max="11" width="6.5" style="9" hidden="1" customWidth="1"/>
    <col min="12" max="13" width="7.33203125" style="9" hidden="1" customWidth="1"/>
    <col min="14" max="14" width="59" style="9" hidden="1" customWidth="1"/>
    <col min="15" max="15" width="13.6640625" style="9" customWidth="1"/>
    <col min="16" max="17" width="12.1640625" style="9" bestFit="1" customWidth="1"/>
    <col min="18" max="18" width="5.83203125" style="21" bestFit="1" customWidth="1"/>
    <col min="19" max="19" width="5.6640625" style="21" bestFit="1" customWidth="1"/>
    <col min="20" max="20" width="5.83203125" style="21" bestFit="1" customWidth="1"/>
    <col min="21" max="21" width="13.6640625" style="23" bestFit="1" customWidth="1"/>
    <col min="22" max="22" width="14.1640625" style="27" bestFit="1" customWidth="1"/>
    <col min="23" max="23" width="6" style="21" bestFit="1" customWidth="1"/>
    <col min="24" max="24" width="5.6640625" style="21" bestFit="1" customWidth="1"/>
    <col min="25" max="25" width="5.83203125" style="21" bestFit="1" customWidth="1"/>
    <col min="26" max="26" width="12.1640625" style="9" bestFit="1" customWidth="1"/>
    <col min="27" max="27" width="11.1640625" style="25" bestFit="1" customWidth="1"/>
    <col min="28" max="28" width="11.1640625" style="25" customWidth="1"/>
    <col min="29" max="29" width="11.6640625" style="9" bestFit="1" customWidth="1"/>
    <col min="30" max="16384" width="10.83203125" style="9"/>
  </cols>
  <sheetData>
    <row r="1" spans="1:30">
      <c r="A1" s="10" t="s">
        <v>1564</v>
      </c>
      <c r="B1" s="10" t="s">
        <v>80</v>
      </c>
      <c r="C1" s="9" t="s">
        <v>1566</v>
      </c>
      <c r="D1" s="11" t="s">
        <v>81</v>
      </c>
      <c r="E1" s="8" t="s">
        <v>82</v>
      </c>
      <c r="F1" s="9" t="s">
        <v>6016</v>
      </c>
      <c r="G1" s="8" t="s">
        <v>144</v>
      </c>
      <c r="H1" s="17" t="s">
        <v>1568</v>
      </c>
      <c r="I1" s="17" t="s">
        <v>1567</v>
      </c>
      <c r="J1" s="9" t="s">
        <v>6025</v>
      </c>
      <c r="K1" s="9" t="s">
        <v>6022</v>
      </c>
      <c r="L1" s="9" t="s">
        <v>6023</v>
      </c>
      <c r="M1" s="9" t="s">
        <v>6024</v>
      </c>
      <c r="N1" s="9" t="s">
        <v>6021</v>
      </c>
      <c r="O1" s="9" t="s">
        <v>6020</v>
      </c>
      <c r="P1" s="9" t="s">
        <v>6018</v>
      </c>
      <c r="Q1" s="9" t="s">
        <v>6019</v>
      </c>
    </row>
    <row r="2" spans="1:30" s="30" customFormat="1">
      <c r="A2" s="12">
        <v>0</v>
      </c>
      <c r="B2" s="12" t="s">
        <v>115</v>
      </c>
      <c r="C2" s="14" t="str">
        <f>VLOOKUP(B2,weights!A:B,2,FALSE)</f>
        <v>P</v>
      </c>
      <c r="D2" s="13">
        <v>0</v>
      </c>
      <c r="E2" s="14" t="s">
        <v>68</v>
      </c>
      <c r="F2" s="14" t="s">
        <v>23</v>
      </c>
      <c r="G2" s="15" t="s">
        <v>67</v>
      </c>
      <c r="H2" s="18"/>
      <c r="I2" s="18" t="s">
        <v>1582</v>
      </c>
      <c r="J2" s="14"/>
      <c r="K2" s="14">
        <f>VLOOKUP(B2,weights!A:G,5,FALSE)</f>
        <v>1.44</v>
      </c>
      <c r="L2" s="14">
        <f>VLOOKUP(B2,weights!A:G,6,FALSE)</f>
        <v>7</v>
      </c>
      <c r="M2" s="14">
        <f>VLOOKUP(B2,weights!A:G,7,FALSE)</f>
        <v>10</v>
      </c>
      <c r="N2" t="s">
        <v>4391</v>
      </c>
      <c r="O2">
        <v>719</v>
      </c>
      <c r="P2">
        <v>48.892187076399999</v>
      </c>
      <c r="Q2">
        <v>2.2370180564000002</v>
      </c>
      <c r="R2" s="22">
        <v>48</v>
      </c>
      <c r="S2" s="22">
        <v>53</v>
      </c>
      <c r="T2" s="22">
        <v>31</v>
      </c>
      <c r="U2" s="24">
        <f>R2+S2/60+T2/3600</f>
        <v>48.891944444444441</v>
      </c>
      <c r="V2" s="28">
        <f>ABS(U2-P2)/P2</f>
        <v>4.9625915727402272E-6</v>
      </c>
      <c r="W2" s="22">
        <v>2</v>
      </c>
      <c r="X2" s="22">
        <v>14</v>
      </c>
      <c r="Y2" s="22">
        <v>16</v>
      </c>
      <c r="Z2" s="14">
        <f>W2+X2/60+Y2/3600</f>
        <v>2.2377777777777776</v>
      </c>
      <c r="AA2" s="26">
        <f>ABS(Z2-Q2)/Q2</f>
        <v>3.3961343119423689E-4</v>
      </c>
      <c r="AB2" s="26"/>
      <c r="AC2" s="24">
        <f>U2</f>
        <v>48.891944444444441</v>
      </c>
      <c r="AD2" s="14">
        <f>Z2</f>
        <v>2.2377777777777776</v>
      </c>
    </row>
    <row r="3" spans="1:30" s="30" customFormat="1">
      <c r="A3" s="12">
        <v>1</v>
      </c>
      <c r="B3" s="12" t="s">
        <v>115</v>
      </c>
      <c r="C3" s="14" t="str">
        <f>VLOOKUP(B3,weights!A:B,2,FALSE)</f>
        <v>P</v>
      </c>
      <c r="D3" s="13">
        <v>1</v>
      </c>
      <c r="E3" s="14" t="s">
        <v>762</v>
      </c>
      <c r="F3" s="14" t="s">
        <v>24</v>
      </c>
      <c r="G3" s="15"/>
      <c r="H3" s="18"/>
      <c r="I3" s="18"/>
      <c r="J3" s="14"/>
      <c r="K3" s="14">
        <f>VLOOKUP(B3,weights!A:G,5,FALSE)</f>
        <v>1.44</v>
      </c>
      <c r="L3" s="14">
        <f>VLOOKUP(B3,weights!A:G,6,FALSE)</f>
        <v>7</v>
      </c>
      <c r="M3" s="14">
        <f>VLOOKUP(B3,weights!A:G,7,FALSE)</f>
        <v>10</v>
      </c>
      <c r="N3" t="s">
        <v>3975</v>
      </c>
      <c r="O3">
        <v>500</v>
      </c>
      <c r="P3">
        <v>48.888631217799997</v>
      </c>
      <c r="Q3">
        <v>2.2479324353200001</v>
      </c>
      <c r="R3" s="22">
        <v>48</v>
      </c>
      <c r="S3" s="22">
        <v>53</v>
      </c>
      <c r="T3" s="22">
        <v>16</v>
      </c>
      <c r="U3" s="24">
        <f>R3+S3/60+T3/3600</f>
        <v>48.887777777777778</v>
      </c>
      <c r="V3" s="28">
        <f>ABS(U3-P3)/P3</f>
        <v>1.7456819734158259E-5</v>
      </c>
      <c r="W3" s="22">
        <v>2</v>
      </c>
      <c r="X3" s="22">
        <v>15</v>
      </c>
      <c r="Y3" s="22">
        <v>2</v>
      </c>
      <c r="Z3" s="14">
        <f>W3+X3/60+Y3/3600</f>
        <v>2.2505555555555556</v>
      </c>
      <c r="AA3" s="26">
        <f>ABS(Z3-Q3)/Q3</f>
        <v>1.166903504011296E-3</v>
      </c>
      <c r="AB3" s="26"/>
      <c r="AC3" s="24">
        <f>U3</f>
        <v>48.887777777777778</v>
      </c>
      <c r="AD3" s="14">
        <f>Z3</f>
        <v>2.2505555555555556</v>
      </c>
    </row>
    <row r="4" spans="1:30" s="39" customFormat="1">
      <c r="A4" s="12">
        <v>2</v>
      </c>
      <c r="B4" s="12" t="s">
        <v>115</v>
      </c>
      <c r="C4" s="14" t="str">
        <f>VLOOKUP(B4,weights!A:B,2,FALSE)</f>
        <v>P</v>
      </c>
      <c r="D4" s="13">
        <v>2</v>
      </c>
      <c r="E4" s="14" t="s">
        <v>25</v>
      </c>
      <c r="F4" s="14" t="s">
        <v>26</v>
      </c>
      <c r="G4" s="15"/>
      <c r="H4" s="18"/>
      <c r="I4" s="18"/>
      <c r="J4" s="14"/>
      <c r="K4" s="14">
        <f>VLOOKUP(B4,weights!A:G,5,FALSE)</f>
        <v>1.44</v>
      </c>
      <c r="L4" s="14">
        <f>VLOOKUP(B4,weights!A:G,6,FALSE)</f>
        <v>7</v>
      </c>
      <c r="M4" s="14">
        <f>VLOOKUP(B4,weights!A:G,7,FALSE)</f>
        <v>10</v>
      </c>
      <c r="N4" t="s">
        <v>5234</v>
      </c>
      <c r="O4">
        <v>302</v>
      </c>
      <c r="P4">
        <v>48.8847082013</v>
      </c>
      <c r="Q4">
        <v>2.2605150778900001</v>
      </c>
      <c r="R4" s="22">
        <v>48</v>
      </c>
      <c r="S4" s="22">
        <v>53</v>
      </c>
      <c r="T4" s="22">
        <v>4</v>
      </c>
      <c r="U4" s="24">
        <f>R4+S4/60+T4/3600</f>
        <v>48.884444444444441</v>
      </c>
      <c r="V4" s="28">
        <f>ABS(U4-P4)/P4</f>
        <v>5.3954879811042924E-6</v>
      </c>
      <c r="W4" s="22">
        <v>2</v>
      </c>
      <c r="X4" s="22">
        <v>15</v>
      </c>
      <c r="Y4" s="22">
        <v>36</v>
      </c>
      <c r="Z4" s="14">
        <f>W4+X4/60+Y4/3600</f>
        <v>2.2599999999999998</v>
      </c>
      <c r="AA4" s="26">
        <f>ABS(Z4-Q4)/Q4</f>
        <v>2.2785863940401243E-4</v>
      </c>
      <c r="AB4" s="26"/>
      <c r="AC4" s="24">
        <f>U4</f>
        <v>48.884444444444441</v>
      </c>
      <c r="AD4" s="14">
        <f>Z4</f>
        <v>2.2599999999999998</v>
      </c>
    </row>
    <row r="5" spans="1:30" s="39" customFormat="1">
      <c r="A5" s="12">
        <v>3</v>
      </c>
      <c r="B5" s="12" t="s">
        <v>115</v>
      </c>
      <c r="C5" s="14" t="str">
        <f>VLOOKUP(B5,weights!A:B,2,FALSE)</f>
        <v>P</v>
      </c>
      <c r="D5" s="13">
        <v>3</v>
      </c>
      <c r="E5" s="14" t="s">
        <v>323</v>
      </c>
      <c r="F5" s="14" t="s">
        <v>27</v>
      </c>
      <c r="G5" s="15"/>
      <c r="H5" s="18"/>
      <c r="I5" s="18"/>
      <c r="J5" s="14"/>
      <c r="K5" s="14">
        <f>VLOOKUP(B5,weights!A:G,5,FALSE)</f>
        <v>1.44</v>
      </c>
      <c r="L5" s="14">
        <f>VLOOKUP(B5,weights!A:G,6,FALSE)</f>
        <v>7</v>
      </c>
      <c r="M5" s="14">
        <f>VLOOKUP(B5,weights!A:G,7,FALSE)</f>
        <v>10</v>
      </c>
      <c r="N5" t="s">
        <v>4605</v>
      </c>
      <c r="O5">
        <v>203</v>
      </c>
      <c r="P5">
        <v>48.881191520599998</v>
      </c>
      <c r="Q5">
        <v>2.27168672105</v>
      </c>
      <c r="R5" s="22">
        <v>48</v>
      </c>
      <c r="S5" s="22">
        <v>52</v>
      </c>
      <c r="T5" s="22">
        <v>51</v>
      </c>
      <c r="U5" s="24">
        <f>R5+S5/60+T5/3600</f>
        <v>48.880833333333335</v>
      </c>
      <c r="V5" s="28">
        <f>ABS(U5-P5)/P5</f>
        <v>7.327711447295079E-6</v>
      </c>
      <c r="W5" s="22">
        <v>2</v>
      </c>
      <c r="X5" s="22">
        <v>16</v>
      </c>
      <c r="Y5" s="22">
        <v>21</v>
      </c>
      <c r="Z5" s="14">
        <f>W5+X5/60+Y5/3600</f>
        <v>2.2725</v>
      </c>
      <c r="AA5" s="26">
        <f>ABS(Z5-Q5)/Q5</f>
        <v>3.5800664874425706E-4</v>
      </c>
      <c r="AB5" s="26"/>
      <c r="AC5" s="24">
        <f>U5</f>
        <v>48.880833333333335</v>
      </c>
      <c r="AD5" s="14">
        <f>Z5</f>
        <v>2.2725</v>
      </c>
    </row>
    <row r="6" spans="1:30" s="39" customFormat="1">
      <c r="A6" s="12">
        <v>4</v>
      </c>
      <c r="B6" s="12" t="s">
        <v>115</v>
      </c>
      <c r="C6" s="14" t="str">
        <f>VLOOKUP(B6,weights!A:B,2,FALSE)</f>
        <v>P</v>
      </c>
      <c r="D6" s="13">
        <v>4</v>
      </c>
      <c r="E6" s="14" t="s">
        <v>324</v>
      </c>
      <c r="F6" s="14" t="s">
        <v>28</v>
      </c>
      <c r="G6" s="15" t="s">
        <v>69</v>
      </c>
      <c r="H6" s="18"/>
      <c r="I6" s="18" t="s">
        <v>1583</v>
      </c>
      <c r="J6" s="14"/>
      <c r="K6" s="14">
        <f>VLOOKUP(B6,weights!A:G,5,FALSE)</f>
        <v>1.44</v>
      </c>
      <c r="L6" s="14">
        <f>VLOOKUP(B6,weights!A:G,6,FALSE)</f>
        <v>7</v>
      </c>
      <c r="M6" s="14">
        <f>VLOOKUP(B6,weights!A:G,7,FALSE)</f>
        <v>10</v>
      </c>
      <c r="N6" t="s">
        <v>5374</v>
      </c>
      <c r="O6">
        <v>575</v>
      </c>
      <c r="P6">
        <v>48.877349600599999</v>
      </c>
      <c r="Q6">
        <v>2.2837955570099999</v>
      </c>
      <c r="R6" s="22">
        <v>48</v>
      </c>
      <c r="S6" s="22">
        <v>52</v>
      </c>
      <c r="T6" s="22">
        <v>41</v>
      </c>
      <c r="U6" s="24">
        <f>R6+S6/60+T6/3600</f>
        <v>48.878055555555555</v>
      </c>
      <c r="V6" s="28">
        <f>ABS(U6-P6)/P6</f>
        <v>1.4443396815192673E-5</v>
      </c>
      <c r="W6" s="22">
        <v>2</v>
      </c>
      <c r="X6" s="22">
        <v>16</v>
      </c>
      <c r="Y6" s="22">
        <v>55</v>
      </c>
      <c r="Z6" s="14">
        <f>W6+X6/60+Y6/3600</f>
        <v>2.2819444444444446</v>
      </c>
      <c r="AA6" s="26">
        <f>ABS(Z6-Q6)/Q6</f>
        <v>8.1054215202121228E-4</v>
      </c>
      <c r="AB6" s="26"/>
      <c r="AC6" s="24">
        <f>U6</f>
        <v>48.878055555555555</v>
      </c>
      <c r="AD6" s="14">
        <f>Z6</f>
        <v>2.2819444444444446</v>
      </c>
    </row>
    <row r="7" spans="1:30" s="39" customFormat="1">
      <c r="A7" s="12">
        <v>5</v>
      </c>
      <c r="B7" s="12" t="s">
        <v>115</v>
      </c>
      <c r="C7" s="14" t="str">
        <f>VLOOKUP(B7,weights!A:B,2,FALSE)</f>
        <v>P</v>
      </c>
      <c r="D7" s="13">
        <v>5</v>
      </c>
      <c r="E7" s="14" t="s">
        <v>29</v>
      </c>
      <c r="F7" s="14" t="s">
        <v>30</v>
      </c>
      <c r="G7" s="15"/>
      <c r="H7" s="18"/>
      <c r="I7" s="18"/>
      <c r="J7" s="14"/>
      <c r="K7" s="14">
        <f>VLOOKUP(B7,weights!A:G,5,FALSE)</f>
        <v>1.44</v>
      </c>
      <c r="L7" s="14">
        <f>VLOOKUP(B7,weights!A:G,6,FALSE)</f>
        <v>7</v>
      </c>
      <c r="M7" s="14">
        <f>VLOOKUP(B7,weights!A:G,7,FALSE)</f>
        <v>10</v>
      </c>
      <c r="N7" t="s">
        <v>3195</v>
      </c>
      <c r="O7">
        <v>103</v>
      </c>
      <c r="P7">
        <v>48.875594049900002</v>
      </c>
      <c r="Q7">
        <v>2.2893225896099998</v>
      </c>
      <c r="R7" s="22">
        <v>48</v>
      </c>
      <c r="S7" s="22">
        <v>52</v>
      </c>
      <c r="T7" s="22">
        <v>32</v>
      </c>
      <c r="U7" s="24">
        <f>R7+S7/60+T7/3600</f>
        <v>48.875555555555557</v>
      </c>
      <c r="V7" s="28">
        <f>ABS(U7-P7)/P7</f>
        <v>7.8759849762995835E-7</v>
      </c>
      <c r="W7" s="22">
        <v>2</v>
      </c>
      <c r="X7" s="22">
        <v>17</v>
      </c>
      <c r="Y7" s="22">
        <v>22</v>
      </c>
      <c r="Z7" s="14">
        <f>W7+X7/60+Y7/3600</f>
        <v>2.2894444444444444</v>
      </c>
      <c r="AA7" s="26">
        <f>ABS(Z7-Q7)/Q7</f>
        <v>5.322746344164631E-5</v>
      </c>
      <c r="AB7" s="26"/>
      <c r="AC7" s="24">
        <f>U7</f>
        <v>48.875555555555557</v>
      </c>
      <c r="AD7" s="14">
        <f>Z7</f>
        <v>2.2894444444444444</v>
      </c>
    </row>
    <row r="8" spans="1:30" s="39" customFormat="1">
      <c r="A8" s="12">
        <v>6</v>
      </c>
      <c r="B8" s="12" t="s">
        <v>115</v>
      </c>
      <c r="C8" s="14" t="str">
        <f>VLOOKUP(B8,weights!A:B,2,FALSE)</f>
        <v>P</v>
      </c>
      <c r="D8" s="13">
        <v>6</v>
      </c>
      <c r="E8" s="14" t="s">
        <v>31</v>
      </c>
      <c r="F8" s="14" t="s">
        <v>32</v>
      </c>
      <c r="G8" s="15" t="s">
        <v>70</v>
      </c>
      <c r="H8" s="18" t="s">
        <v>1584</v>
      </c>
      <c r="I8" s="18" t="s">
        <v>1585</v>
      </c>
      <c r="J8" s="14"/>
      <c r="K8" s="14">
        <f>VLOOKUP(B8,weights!A:G,5,FALSE)</f>
        <v>1.44</v>
      </c>
      <c r="L8" s="14">
        <f>VLOOKUP(B8,weights!A:G,6,FALSE)</f>
        <v>7</v>
      </c>
      <c r="M8" s="14">
        <f>VLOOKUP(B8,weights!A:G,7,FALSE)</f>
        <v>10</v>
      </c>
      <c r="N8" t="s">
        <v>3597</v>
      </c>
      <c r="O8">
        <v>485</v>
      </c>
      <c r="P8">
        <v>48.874238476599999</v>
      </c>
      <c r="Q8">
        <v>2.2944905914699998</v>
      </c>
      <c r="R8" s="22">
        <v>48</v>
      </c>
      <c r="S8" s="22">
        <v>52</v>
      </c>
      <c r="T8" s="22">
        <v>28</v>
      </c>
      <c r="U8" s="24">
        <f>R8+S8/60+T8/3600</f>
        <v>48.874444444444443</v>
      </c>
      <c r="V8" s="28">
        <f>ABS(U8-P8)/P8</f>
        <v>4.2142415076716956E-6</v>
      </c>
      <c r="W8" s="22">
        <v>2</v>
      </c>
      <c r="X8" s="22">
        <v>17</v>
      </c>
      <c r="Y8" s="22">
        <v>45</v>
      </c>
      <c r="Z8" s="14">
        <f>W8+X8/60+Y8/3600</f>
        <v>2.2958333333333334</v>
      </c>
      <c r="AA8" s="26">
        <f>ABS(Z8-Q8)/Q8</f>
        <v>5.8520260153839196E-4</v>
      </c>
      <c r="AB8" s="26"/>
      <c r="AC8" s="24">
        <f>U8</f>
        <v>48.874444444444443</v>
      </c>
      <c r="AD8" s="14">
        <f>Z8</f>
        <v>2.2958333333333334</v>
      </c>
    </row>
    <row r="9" spans="1:30" s="39" customFormat="1">
      <c r="A9" s="12">
        <v>7</v>
      </c>
      <c r="B9" s="12" t="s">
        <v>115</v>
      </c>
      <c r="C9" s="14" t="str">
        <f>VLOOKUP(B9,weights!A:B,2,FALSE)</f>
        <v>P</v>
      </c>
      <c r="D9" s="13">
        <v>7</v>
      </c>
      <c r="E9" s="14" t="s">
        <v>33</v>
      </c>
      <c r="F9" s="14" t="s">
        <v>34</v>
      </c>
      <c r="G9" s="15"/>
      <c r="H9" s="18"/>
      <c r="I9" s="18"/>
      <c r="J9" s="14"/>
      <c r="K9" s="14">
        <f>VLOOKUP(B9,weights!A:G,5,FALSE)</f>
        <v>1.44</v>
      </c>
      <c r="L9" s="14">
        <f>VLOOKUP(B9,weights!A:G,6,FALSE)</f>
        <v>7</v>
      </c>
      <c r="M9" s="14">
        <f>VLOOKUP(B9,weights!A:G,7,FALSE)</f>
        <v>10</v>
      </c>
      <c r="N9" t="s">
        <v>4139</v>
      </c>
      <c r="O9">
        <v>102</v>
      </c>
      <c r="P9">
        <v>48.8720238095</v>
      </c>
      <c r="Q9">
        <v>2.30056045125</v>
      </c>
      <c r="R9" s="22">
        <v>48</v>
      </c>
      <c r="S9" s="22">
        <v>52</v>
      </c>
      <c r="T9" s="22">
        <v>19</v>
      </c>
      <c r="U9" s="24">
        <f>R9+S9/60+T9/3600</f>
        <v>48.871944444444445</v>
      </c>
      <c r="V9" s="28">
        <f>ABS(U9-P9)/P9</f>
        <v>1.6239363416669286E-6</v>
      </c>
      <c r="W9" s="22">
        <v>2</v>
      </c>
      <c r="X9" s="22">
        <v>18</v>
      </c>
      <c r="Y9" s="22">
        <v>2</v>
      </c>
      <c r="Z9" s="14">
        <f>W9+X9/60+Y9/3600</f>
        <v>2.3005555555555555</v>
      </c>
      <c r="AA9" s="26">
        <f>ABS(Z9-Q9)/Q9</f>
        <v>2.1280442519328733E-6</v>
      </c>
      <c r="AB9" s="26"/>
      <c r="AC9" s="24">
        <f>U9</f>
        <v>48.871944444444445</v>
      </c>
      <c r="AD9" s="14">
        <f>Z9</f>
        <v>2.3005555555555555</v>
      </c>
    </row>
    <row r="10" spans="1:30" s="39" customFormat="1">
      <c r="A10" s="12">
        <v>8</v>
      </c>
      <c r="B10" s="12" t="s">
        <v>115</v>
      </c>
      <c r="C10" s="14" t="str">
        <f>VLOOKUP(B10,weights!A:B,2,FALSE)</f>
        <v>P</v>
      </c>
      <c r="D10" s="13">
        <v>8</v>
      </c>
      <c r="E10" s="14" t="s">
        <v>35</v>
      </c>
      <c r="F10" s="14" t="s">
        <v>36</v>
      </c>
      <c r="G10" s="15" t="s">
        <v>71</v>
      </c>
      <c r="H10" s="18" t="s">
        <v>1586</v>
      </c>
      <c r="I10" s="18"/>
      <c r="J10" s="14"/>
      <c r="K10" s="14">
        <f>VLOOKUP(B10,weights!A:G,5,FALSE)</f>
        <v>1.44</v>
      </c>
      <c r="L10" s="14">
        <f>VLOOKUP(B10,weights!A:G,6,FALSE)</f>
        <v>7</v>
      </c>
      <c r="M10" s="14">
        <f>VLOOKUP(B10,weights!A:G,7,FALSE)</f>
        <v>10</v>
      </c>
      <c r="N10" t="s">
        <v>4056</v>
      </c>
      <c r="O10">
        <v>853</v>
      </c>
      <c r="P10">
        <v>48.869026527300001</v>
      </c>
      <c r="Q10">
        <v>2.30993538871</v>
      </c>
      <c r="R10" s="22">
        <v>48</v>
      </c>
      <c r="S10" s="22">
        <v>52</v>
      </c>
      <c r="T10" s="22">
        <v>9</v>
      </c>
      <c r="U10" s="24">
        <f>R10+S10/60+T10/3600</f>
        <v>48.869166666666665</v>
      </c>
      <c r="V10" s="28">
        <f>ABS(U10-P10)/P10</f>
        <v>2.8676521024156096E-6</v>
      </c>
      <c r="W10" s="22">
        <v>2</v>
      </c>
      <c r="X10" s="22">
        <v>18</v>
      </c>
      <c r="Y10" s="22">
        <v>30</v>
      </c>
      <c r="Z10" s="14">
        <f>W10+X10/60+Y10/3600</f>
        <v>2.3083333333333331</v>
      </c>
      <c r="AA10" s="26">
        <f>ABS(Z10-Q10)/Q10</f>
        <v>6.9354986485643236E-4</v>
      </c>
      <c r="AB10" s="26"/>
      <c r="AC10" s="24">
        <f>U10</f>
        <v>48.869166666666665</v>
      </c>
      <c r="AD10" s="14">
        <f>Z10</f>
        <v>2.3083333333333331</v>
      </c>
    </row>
    <row r="11" spans="1:30" s="39" customFormat="1">
      <c r="A11" s="12">
        <v>9</v>
      </c>
      <c r="B11" s="12" t="s">
        <v>115</v>
      </c>
      <c r="C11" s="14" t="str">
        <f>VLOOKUP(B11,weights!A:B,2,FALSE)</f>
        <v>P</v>
      </c>
      <c r="D11" s="13">
        <v>9</v>
      </c>
      <c r="E11" s="14" t="s">
        <v>507</v>
      </c>
      <c r="F11" s="14" t="s">
        <v>37</v>
      </c>
      <c r="G11" s="15" t="s">
        <v>72</v>
      </c>
      <c r="H11" s="18" t="s">
        <v>1587</v>
      </c>
      <c r="I11" s="18"/>
      <c r="J11" s="14"/>
      <c r="K11" s="14">
        <f>VLOOKUP(B11,weights!A:G,5,FALSE)</f>
        <v>1.44</v>
      </c>
      <c r="L11" s="14">
        <f>VLOOKUP(B11,weights!A:G,6,FALSE)</f>
        <v>7</v>
      </c>
      <c r="M11" s="14">
        <f>VLOOKUP(B11,weights!A:G,7,FALSE)</f>
        <v>10</v>
      </c>
      <c r="N11" t="s">
        <v>3572</v>
      </c>
      <c r="O11">
        <v>499</v>
      </c>
      <c r="P11">
        <v>48.867799734499997</v>
      </c>
      <c r="Q11">
        <v>2.3138819376800002</v>
      </c>
      <c r="R11" s="22">
        <v>48</v>
      </c>
      <c r="S11" s="22">
        <v>52</v>
      </c>
      <c r="T11" s="22">
        <v>3</v>
      </c>
      <c r="U11" s="24">
        <f>R11+S11/60+T11/3600</f>
        <v>48.8675</v>
      </c>
      <c r="V11" s="28">
        <f>ABS(U11-P11)/P11</f>
        <v>6.1335787906420666E-6</v>
      </c>
      <c r="W11" s="22">
        <v>2</v>
      </c>
      <c r="X11" s="22">
        <v>18</v>
      </c>
      <c r="Y11" s="22">
        <v>50</v>
      </c>
      <c r="Z11" s="14">
        <f>W11+X11/60+Y11/3600</f>
        <v>2.3138888888888887</v>
      </c>
      <c r="AA11" s="26">
        <f>ABS(Z11-Q11)/Q11</f>
        <v>3.004132914172995E-6</v>
      </c>
      <c r="AB11" s="26"/>
      <c r="AC11" s="24">
        <f>U11</f>
        <v>48.8675</v>
      </c>
      <c r="AD11" s="14">
        <f>Z11</f>
        <v>2.3138888888888887</v>
      </c>
    </row>
    <row r="12" spans="1:30" s="39" customFormat="1">
      <c r="A12" s="12">
        <v>10</v>
      </c>
      <c r="B12" s="12" t="s">
        <v>115</v>
      </c>
      <c r="C12" s="14" t="str">
        <f>VLOOKUP(B12,weights!A:B,2,FALSE)</f>
        <v>P</v>
      </c>
      <c r="D12" s="13">
        <v>10</v>
      </c>
      <c r="E12" s="14" t="s">
        <v>38</v>
      </c>
      <c r="F12" s="14" t="s">
        <v>39</v>
      </c>
      <c r="G12" s="15" t="s">
        <v>73</v>
      </c>
      <c r="H12" s="18" t="s">
        <v>1588</v>
      </c>
      <c r="I12" s="18"/>
      <c r="J12" s="14"/>
      <c r="K12" s="14">
        <f>VLOOKUP(B12,weights!A:G,5,FALSE)</f>
        <v>1.44</v>
      </c>
      <c r="L12" s="14">
        <f>VLOOKUP(B12,weights!A:G,6,FALSE)</f>
        <v>7</v>
      </c>
      <c r="M12" s="14">
        <f>VLOOKUP(B12,weights!A:G,7,FALSE)</f>
        <v>10</v>
      </c>
      <c r="N12" t="s">
        <v>3740</v>
      </c>
      <c r="O12">
        <v>2</v>
      </c>
      <c r="P12">
        <v>48.866285804599997</v>
      </c>
      <c r="Q12">
        <v>2.3229434122399999</v>
      </c>
      <c r="R12" s="22">
        <v>48</v>
      </c>
      <c r="S12" s="22">
        <v>51</v>
      </c>
      <c r="T12" s="22">
        <v>58</v>
      </c>
      <c r="U12" s="24">
        <f>R12+S12/60+T12/3600</f>
        <v>48.86611111111111</v>
      </c>
      <c r="V12" s="28">
        <f>ABS(U12-P12)/P12</f>
        <v>3.5749287266407373E-6</v>
      </c>
      <c r="W12" s="22">
        <v>2</v>
      </c>
      <c r="X12" s="22">
        <v>19</v>
      </c>
      <c r="Y12" s="22">
        <v>21</v>
      </c>
      <c r="Z12" s="14">
        <f>W12+X12/60+Y12/3600</f>
        <v>2.3224999999999998</v>
      </c>
      <c r="AA12" s="26">
        <f>ABS(Z12-Q12)/Q12</f>
        <v>1.9088378893075472E-4</v>
      </c>
      <c r="AB12" s="26"/>
      <c r="AC12" s="24">
        <f>U12</f>
        <v>48.86611111111111</v>
      </c>
      <c r="AD12" s="14">
        <f>Z12</f>
        <v>2.3224999999999998</v>
      </c>
    </row>
    <row r="13" spans="1:30" s="39" customFormat="1">
      <c r="A13" s="12">
        <v>11</v>
      </c>
      <c r="B13" s="12" t="s">
        <v>115</v>
      </c>
      <c r="C13" s="14" t="str">
        <f>VLOOKUP(B13,weights!A:B,2,FALSE)</f>
        <v>P</v>
      </c>
      <c r="D13" s="13">
        <v>11</v>
      </c>
      <c r="E13" s="14" t="s">
        <v>40</v>
      </c>
      <c r="F13" s="14" t="s">
        <v>41</v>
      </c>
      <c r="G13" s="15"/>
      <c r="H13" s="18"/>
      <c r="I13" s="18"/>
      <c r="J13" s="14"/>
      <c r="K13" s="14">
        <f>VLOOKUP(B13,weights!A:G,5,FALSE)</f>
        <v>1.44</v>
      </c>
      <c r="L13" s="14">
        <f>VLOOKUP(B13,weights!A:G,6,FALSE)</f>
        <v>7</v>
      </c>
      <c r="M13" s="14">
        <f>VLOOKUP(B13,weights!A:G,7,FALSE)</f>
        <v>10</v>
      </c>
      <c r="N13" t="s">
        <v>5827</v>
      </c>
      <c r="O13">
        <v>498</v>
      </c>
      <c r="P13">
        <v>48.864343778699997</v>
      </c>
      <c r="Q13">
        <v>2.3301298771100001</v>
      </c>
      <c r="R13" s="22">
        <v>48</v>
      </c>
      <c r="S13" s="22">
        <v>51</v>
      </c>
      <c r="T13" s="22">
        <v>52</v>
      </c>
      <c r="U13" s="24">
        <f>R13+S13/60+T13/3600</f>
        <v>48.864444444444445</v>
      </c>
      <c r="V13" s="28">
        <f>ABS(U13-P13)/P13</f>
        <v>2.0601063406004698E-6</v>
      </c>
      <c r="W13" s="22">
        <v>2</v>
      </c>
      <c r="X13" s="22">
        <v>19</v>
      </c>
      <c r="Y13" s="22">
        <v>49</v>
      </c>
      <c r="Z13" s="14">
        <f>W13+X13/60+Y13/3600</f>
        <v>2.3302777777777774</v>
      </c>
      <c r="AA13" s="26">
        <f>ABS(Z13-Q13)/Q13</f>
        <v>6.3473143377228798E-5</v>
      </c>
      <c r="AB13" s="26"/>
      <c r="AC13" s="24">
        <f>U13</f>
        <v>48.864444444444445</v>
      </c>
      <c r="AD13" s="14">
        <f>Z13</f>
        <v>2.3302777777777774</v>
      </c>
    </row>
    <row r="14" spans="1:30" s="39" customFormat="1">
      <c r="A14" s="12">
        <v>12</v>
      </c>
      <c r="B14" s="12" t="s">
        <v>115</v>
      </c>
      <c r="C14" s="14" t="str">
        <f>VLOOKUP(B14,weights!A:B,2,FALSE)</f>
        <v>P</v>
      </c>
      <c r="D14" s="13">
        <v>12</v>
      </c>
      <c r="E14" s="14" t="s">
        <v>42</v>
      </c>
      <c r="F14" s="14" t="s">
        <v>43</v>
      </c>
      <c r="G14" s="15" t="s">
        <v>74</v>
      </c>
      <c r="H14" s="18" t="s">
        <v>1589</v>
      </c>
      <c r="I14" s="18"/>
      <c r="J14" s="14"/>
      <c r="K14" s="14">
        <f>VLOOKUP(B14,weights!A:G,5,FALSE)</f>
        <v>1.44</v>
      </c>
      <c r="L14" s="14">
        <f>VLOOKUP(B14,weights!A:G,6,FALSE)</f>
        <v>7</v>
      </c>
      <c r="M14" s="14">
        <f>VLOOKUP(B14,weights!A:G,7,FALSE)</f>
        <v>10</v>
      </c>
      <c r="N14" t="s">
        <v>5078</v>
      </c>
      <c r="O14">
        <v>325</v>
      </c>
      <c r="P14">
        <v>48.862595536800001</v>
      </c>
      <c r="Q14">
        <v>2.3366841699999998</v>
      </c>
      <c r="R14" s="22">
        <v>48</v>
      </c>
      <c r="S14" s="22">
        <v>51</v>
      </c>
      <c r="T14" s="22">
        <v>46</v>
      </c>
      <c r="U14" s="24">
        <f>R14+S14/60+T14/3600</f>
        <v>48.862777777777779</v>
      </c>
      <c r="V14" s="28">
        <f>ABS(U14-P14)/P14</f>
        <v>3.729662245254562E-6</v>
      </c>
      <c r="W14" s="22">
        <v>2</v>
      </c>
      <c r="X14" s="22">
        <v>20</v>
      </c>
      <c r="Y14" s="22">
        <v>9</v>
      </c>
      <c r="Z14" s="14">
        <f>W14+X14/60+Y14/3600</f>
        <v>2.3358333333333334</v>
      </c>
      <c r="AA14" s="26">
        <f>ABS(Z14-Q14)/Q14</f>
        <v>3.6412138088238528E-4</v>
      </c>
      <c r="AB14" s="26"/>
      <c r="AC14" s="24">
        <f>U14</f>
        <v>48.862777777777779</v>
      </c>
      <c r="AD14" s="14">
        <f>Z14</f>
        <v>2.3358333333333334</v>
      </c>
    </row>
    <row r="15" spans="1:30" s="14" customFormat="1">
      <c r="A15" s="12">
        <v>13</v>
      </c>
      <c r="B15" s="12" t="s">
        <v>115</v>
      </c>
      <c r="C15" s="14" t="str">
        <f>VLOOKUP(B15,weights!A:B,2,FALSE)</f>
        <v>P</v>
      </c>
      <c r="D15" s="13">
        <v>13</v>
      </c>
      <c r="E15" s="14" t="s">
        <v>44</v>
      </c>
      <c r="F15" s="14" t="s">
        <v>45</v>
      </c>
      <c r="G15" s="15"/>
      <c r="H15" s="18"/>
      <c r="I15" s="18"/>
      <c r="K15" s="14">
        <f>VLOOKUP(B15,weights!A:G,5,FALSE)</f>
        <v>1.44</v>
      </c>
      <c r="L15" s="14">
        <f>VLOOKUP(B15,weights!A:G,6,FALSE)</f>
        <v>7</v>
      </c>
      <c r="M15" s="14">
        <f>VLOOKUP(B15,weights!A:G,7,FALSE)</f>
        <v>10</v>
      </c>
      <c r="N15" t="s">
        <v>4669</v>
      </c>
      <c r="O15">
        <v>101</v>
      </c>
      <c r="P15">
        <v>48.860806291300001</v>
      </c>
      <c r="Q15">
        <v>2.3411085916299998</v>
      </c>
      <c r="R15" s="22">
        <v>48</v>
      </c>
      <c r="S15" s="22">
        <v>51</v>
      </c>
      <c r="T15" s="22">
        <v>40</v>
      </c>
      <c r="U15" s="24">
        <f>R15+S15/60+T15/3600</f>
        <v>48.861111111111114</v>
      </c>
      <c r="V15" s="28">
        <f>ABS(U15-P15)/P15</f>
        <v>6.2385342005163056E-6</v>
      </c>
      <c r="W15" s="22">
        <v>2</v>
      </c>
      <c r="X15" s="22">
        <v>20</v>
      </c>
      <c r="Y15" s="22">
        <v>25</v>
      </c>
      <c r="Z15" s="14">
        <f>W15+X15/60+Y15/3600</f>
        <v>2.3402777777777781</v>
      </c>
      <c r="AA15" s="26">
        <f>ABS(Z15-Q15)/Q15</f>
        <v>3.5488052762356839E-4</v>
      </c>
      <c r="AB15" s="26"/>
      <c r="AC15" s="24">
        <f>U15</f>
        <v>48.861111111111114</v>
      </c>
      <c r="AD15" s="14">
        <f>Z15</f>
        <v>2.3402777777777781</v>
      </c>
    </row>
    <row r="16" spans="1:30" s="14" customFormat="1">
      <c r="A16" s="12">
        <v>14</v>
      </c>
      <c r="B16" s="12" t="s">
        <v>115</v>
      </c>
      <c r="C16" s="14" t="str">
        <f>VLOOKUP(B16,weights!A:B,2,FALSE)</f>
        <v>P</v>
      </c>
      <c r="D16" s="13">
        <v>14</v>
      </c>
      <c r="E16" s="14" t="s">
        <v>46</v>
      </c>
      <c r="F16" s="14" t="s">
        <v>47</v>
      </c>
      <c r="G16" s="15" t="s">
        <v>75</v>
      </c>
      <c r="H16" s="18" t="s">
        <v>1590</v>
      </c>
      <c r="I16" s="18" t="s">
        <v>1592</v>
      </c>
      <c r="K16" s="14">
        <f>VLOOKUP(B16,weights!A:G,5,FALSE)</f>
        <v>1.44</v>
      </c>
      <c r="L16" s="14">
        <f>VLOOKUP(B16,weights!A:G,6,FALSE)</f>
        <v>7</v>
      </c>
      <c r="M16" s="14">
        <f>VLOOKUP(B16,weights!A:G,7,FALSE)</f>
        <v>10</v>
      </c>
      <c r="N16" t="s">
        <v>3634</v>
      </c>
      <c r="O16">
        <v>222</v>
      </c>
      <c r="P16">
        <v>48.858061862299998</v>
      </c>
      <c r="Q16">
        <v>2.3476251557199999</v>
      </c>
      <c r="R16" s="22">
        <v>48</v>
      </c>
      <c r="S16" s="22">
        <v>51</v>
      </c>
      <c r="T16" s="22">
        <v>31</v>
      </c>
      <c r="U16" s="24">
        <f>R16+S16/60+T16/3600</f>
        <v>48.858611111111109</v>
      </c>
      <c r="V16" s="28">
        <f>ABS(U16-P16)/P16</f>
        <v>1.1241723273010907E-5</v>
      </c>
      <c r="W16" s="22">
        <v>2</v>
      </c>
      <c r="X16" s="22">
        <v>20</v>
      </c>
      <c r="Y16" s="22">
        <v>50</v>
      </c>
      <c r="Z16" s="14">
        <f>W16+X16/60+Y16/3600</f>
        <v>2.3472222222222223</v>
      </c>
      <c r="AA16" s="26">
        <f>ABS(Z16-Q16)/Q16</f>
        <v>1.7163451192188251E-4</v>
      </c>
      <c r="AB16" s="26"/>
      <c r="AC16" s="24">
        <f>U16</f>
        <v>48.858611111111109</v>
      </c>
      <c r="AD16" s="14">
        <f>Z16</f>
        <v>2.3472222222222223</v>
      </c>
    </row>
    <row r="17" spans="1:30" s="14" customFormat="1">
      <c r="A17" s="12">
        <v>15</v>
      </c>
      <c r="B17" s="12" t="s">
        <v>115</v>
      </c>
      <c r="C17" s="14" t="str">
        <f>VLOOKUP(B17,weights!A:B,2,FALSE)</f>
        <v>P</v>
      </c>
      <c r="D17" s="13">
        <v>15</v>
      </c>
      <c r="E17" s="14" t="s">
        <v>48</v>
      </c>
      <c r="F17" s="14" t="s">
        <v>49</v>
      </c>
      <c r="G17" s="15" t="s">
        <v>76</v>
      </c>
      <c r="H17" s="18" t="s">
        <v>1593</v>
      </c>
      <c r="I17" s="18"/>
      <c r="K17" s="14">
        <f>VLOOKUP(B17,weights!A:G,5,FALSE)</f>
        <v>1.44</v>
      </c>
      <c r="L17" s="14">
        <f>VLOOKUP(B17,weights!A:G,6,FALSE)</f>
        <v>7</v>
      </c>
      <c r="M17" s="14">
        <f>VLOOKUP(B17,weights!A:G,7,FALSE)</f>
        <v>10</v>
      </c>
      <c r="N17" t="s">
        <v>4239</v>
      </c>
      <c r="O17">
        <v>301</v>
      </c>
      <c r="P17">
        <v>48.857551553299999</v>
      </c>
      <c r="Q17">
        <v>2.3512922093299999</v>
      </c>
      <c r="R17" s="22">
        <v>48</v>
      </c>
      <c r="S17" s="22">
        <v>51</v>
      </c>
      <c r="T17" s="22">
        <v>24</v>
      </c>
      <c r="U17" s="24">
        <f>R17+S17/60+T17/3600</f>
        <v>48.856666666666669</v>
      </c>
      <c r="V17" s="28">
        <f>ABS(U17-P17)/P17</f>
        <v>1.8111563211762316E-5</v>
      </c>
      <c r="W17" s="22">
        <v>2</v>
      </c>
      <c r="X17" s="22">
        <v>21</v>
      </c>
      <c r="Y17" s="22">
        <v>5</v>
      </c>
      <c r="Z17" s="14">
        <f>W17+X17/60+Y17/3600</f>
        <v>2.3513888888888892</v>
      </c>
      <c r="AA17" s="26">
        <f>ABS(Z17-Q17)/Q17</f>
        <v>4.1117628215510238E-5</v>
      </c>
      <c r="AB17" s="26"/>
      <c r="AC17" s="24">
        <f>U17</f>
        <v>48.856666666666669</v>
      </c>
      <c r="AD17" s="14">
        <f>Z17</f>
        <v>2.3513888888888892</v>
      </c>
    </row>
    <row r="18" spans="1:30" s="14" customFormat="1">
      <c r="A18" s="12">
        <v>16</v>
      </c>
      <c r="B18" s="12" t="s">
        <v>115</v>
      </c>
      <c r="C18" s="14" t="str">
        <f>VLOOKUP(B18,weights!A:B,2,FALSE)</f>
        <v>P</v>
      </c>
      <c r="D18" s="13">
        <v>16</v>
      </c>
      <c r="E18" s="14" t="s">
        <v>325</v>
      </c>
      <c r="F18" s="14" t="s">
        <v>50</v>
      </c>
      <c r="G18" s="15"/>
      <c r="H18" s="18"/>
      <c r="I18" s="18"/>
      <c r="K18" s="14">
        <f>VLOOKUP(B18,weights!A:G,5,FALSE)</f>
        <v>1.44</v>
      </c>
      <c r="L18" s="14">
        <f>VLOOKUP(B18,weights!A:G,6,FALSE)</f>
        <v>7</v>
      </c>
      <c r="M18" s="14">
        <f>VLOOKUP(B18,weights!A:G,7,FALSE)</f>
        <v>10</v>
      </c>
      <c r="N18" t="s">
        <v>5622</v>
      </c>
      <c r="O18">
        <v>497</v>
      </c>
      <c r="P18">
        <v>48.855236252799997</v>
      </c>
      <c r="Q18">
        <v>2.3609564886599999</v>
      </c>
      <c r="R18" s="22">
        <v>48</v>
      </c>
      <c r="S18" s="22">
        <v>51</v>
      </c>
      <c r="T18" s="22">
        <v>19</v>
      </c>
      <c r="U18" s="24">
        <f>R18+S18/60+T18/3600</f>
        <v>48.855277777777779</v>
      </c>
      <c r="V18" s="28">
        <f>ABS(U18-P18)/P18</f>
        <v>8.4995961470288758E-7</v>
      </c>
      <c r="W18" s="22">
        <v>2</v>
      </c>
      <c r="X18" s="22">
        <v>21</v>
      </c>
      <c r="Y18" s="22">
        <v>38</v>
      </c>
      <c r="Z18" s="14">
        <f>W18+X18/60+Y18/3600</f>
        <v>2.3605555555555555</v>
      </c>
      <c r="AA18" s="26">
        <f>ABS(Z18-Q18)/Q18</f>
        <v>1.6981808278554534E-4</v>
      </c>
      <c r="AB18" s="26"/>
      <c r="AC18" s="24">
        <f>U18</f>
        <v>48.855277777777779</v>
      </c>
      <c r="AD18" s="14">
        <f>Z18</f>
        <v>2.3605555555555555</v>
      </c>
    </row>
    <row r="19" spans="1:30" s="14" customFormat="1">
      <c r="A19" s="12">
        <v>17</v>
      </c>
      <c r="B19" s="12" t="s">
        <v>115</v>
      </c>
      <c r="C19" s="14" t="str">
        <f>VLOOKUP(B19,weights!A:B,2,FALSE)</f>
        <v>P</v>
      </c>
      <c r="D19" s="13">
        <v>17</v>
      </c>
      <c r="E19" s="14" t="s">
        <v>51</v>
      </c>
      <c r="F19" s="14" t="s">
        <v>52</v>
      </c>
      <c r="G19" s="15" t="s">
        <v>77</v>
      </c>
      <c r="H19" s="18" t="s">
        <v>1594</v>
      </c>
      <c r="I19" s="18"/>
      <c r="K19" s="14">
        <f>VLOOKUP(B19,weights!A:G,5,FALSE)</f>
        <v>1.44</v>
      </c>
      <c r="L19" s="14">
        <f>VLOOKUP(B19,weights!A:G,6,FALSE)</f>
        <v>7</v>
      </c>
      <c r="M19" s="14">
        <f>VLOOKUP(B19,weights!A:G,7,FALSE)</f>
        <v>10</v>
      </c>
      <c r="N19" t="s">
        <v>3287</v>
      </c>
      <c r="O19">
        <v>324</v>
      </c>
      <c r="P19">
        <v>48.853436962300002</v>
      </c>
      <c r="Q19">
        <v>2.36873657263</v>
      </c>
      <c r="R19" s="22">
        <v>48</v>
      </c>
      <c r="S19" s="22">
        <v>51</v>
      </c>
      <c r="T19" s="22">
        <v>11</v>
      </c>
      <c r="U19" s="24">
        <f>R19+S19/60+T19/3600</f>
        <v>48.853055555555557</v>
      </c>
      <c r="V19" s="28">
        <f>ABS(U19-P19)/P19</f>
        <v>7.8071629789226651E-6</v>
      </c>
      <c r="W19" s="22">
        <v>2</v>
      </c>
      <c r="X19" s="22">
        <v>22</v>
      </c>
      <c r="Y19" s="22">
        <v>9</v>
      </c>
      <c r="Z19" s="14">
        <f>W19+X19/60+Y19/3600</f>
        <v>2.3691666666666666</v>
      </c>
      <c r="AA19" s="26">
        <f>ABS(Z19-Q19)/Q19</f>
        <v>1.8157107110862658E-4</v>
      </c>
      <c r="AB19" s="26"/>
      <c r="AC19" s="24">
        <f>U19</f>
        <v>48.853055555555557</v>
      </c>
      <c r="AD19" s="14">
        <f>Z19</f>
        <v>2.3691666666666666</v>
      </c>
    </row>
    <row r="20" spans="1:30" s="14" customFormat="1">
      <c r="A20" s="12">
        <v>18</v>
      </c>
      <c r="B20" s="12" t="s">
        <v>115</v>
      </c>
      <c r="C20" s="14" t="str">
        <f>VLOOKUP(B20,weights!A:B,2,FALSE)</f>
        <v>P</v>
      </c>
      <c r="D20" s="13">
        <v>18</v>
      </c>
      <c r="E20" s="14" t="s">
        <v>53</v>
      </c>
      <c r="F20" s="14" t="s">
        <v>54</v>
      </c>
      <c r="G20" s="15" t="s">
        <v>1452</v>
      </c>
      <c r="H20" s="18" t="s">
        <v>1595</v>
      </c>
      <c r="I20" s="18" t="s">
        <v>1597</v>
      </c>
      <c r="K20" s="14">
        <f>VLOOKUP(B20,weights!A:G,5,FALSE)</f>
        <v>1.44</v>
      </c>
      <c r="L20" s="14">
        <f>VLOOKUP(B20,weights!A:G,6,FALSE)</f>
        <v>7</v>
      </c>
      <c r="M20" s="14">
        <f>VLOOKUP(B20,weights!A:G,7,FALSE)</f>
        <v>10</v>
      </c>
      <c r="N20" t="s">
        <v>4102</v>
      </c>
      <c r="O20">
        <v>638</v>
      </c>
      <c r="P20">
        <v>48.844139349899997</v>
      </c>
      <c r="Q20">
        <v>2.3732599780700001</v>
      </c>
      <c r="R20" s="22">
        <v>48</v>
      </c>
      <c r="S20" s="22">
        <v>50</v>
      </c>
      <c r="T20" s="22">
        <v>41</v>
      </c>
      <c r="U20" s="24">
        <f>R20+S20/60+T20/3600</f>
        <v>48.844722222222224</v>
      </c>
      <c r="V20" s="28">
        <f>ABS(U20-P20)/P20</f>
        <v>1.1933311344705445E-5</v>
      </c>
      <c r="W20" s="22">
        <v>2</v>
      </c>
      <c r="X20" s="22">
        <v>22</v>
      </c>
      <c r="Y20" s="22">
        <v>27</v>
      </c>
      <c r="Z20" s="14">
        <f>W20+X20/60+Y20/3600</f>
        <v>2.3741666666666665</v>
      </c>
      <c r="AA20" s="26">
        <f>ABS(Z20-Q20)/Q20</f>
        <v>3.8204352032421296E-4</v>
      </c>
      <c r="AB20" s="26"/>
      <c r="AC20" s="24">
        <f>U20</f>
        <v>48.844722222222224</v>
      </c>
      <c r="AD20" s="14">
        <f>Z20</f>
        <v>2.3741666666666665</v>
      </c>
    </row>
    <row r="21" spans="1:30" s="14" customFormat="1">
      <c r="A21" s="12">
        <v>19</v>
      </c>
      <c r="B21" s="12" t="s">
        <v>115</v>
      </c>
      <c r="C21" s="14" t="str">
        <f>VLOOKUP(B21,weights!A:B,2,FALSE)</f>
        <v>P</v>
      </c>
      <c r="D21" s="13">
        <v>19</v>
      </c>
      <c r="E21" s="14" t="s">
        <v>55</v>
      </c>
      <c r="F21" s="14" t="s">
        <v>56</v>
      </c>
      <c r="G21" s="15" t="s">
        <v>220</v>
      </c>
      <c r="H21" s="18" t="s">
        <v>1598</v>
      </c>
      <c r="I21" s="18"/>
      <c r="K21" s="14">
        <f>VLOOKUP(B21,weights!A:G,5,FALSE)</f>
        <v>1.44</v>
      </c>
      <c r="L21" s="14">
        <f>VLOOKUP(B21,weights!A:G,6,FALSE)</f>
        <v>7</v>
      </c>
      <c r="M21" s="14">
        <f>VLOOKUP(B21,weights!A:G,7,FALSE)</f>
        <v>10</v>
      </c>
      <c r="N21" t="s">
        <v>5437</v>
      </c>
      <c r="O21">
        <v>202</v>
      </c>
      <c r="P21">
        <v>48.847354516899998</v>
      </c>
      <c r="Q21">
        <v>2.3868084457799998</v>
      </c>
      <c r="R21" s="22">
        <v>48</v>
      </c>
      <c r="S21" s="22">
        <v>50</v>
      </c>
      <c r="T21" s="22">
        <v>50</v>
      </c>
      <c r="U21" s="24">
        <f>R21+S21/60+T21/3600</f>
        <v>48.847222222222221</v>
      </c>
      <c r="V21" s="28">
        <f>ABS(U21-P21)/P21</f>
        <v>2.7083284055931945E-6</v>
      </c>
      <c r="W21" s="22">
        <v>2</v>
      </c>
      <c r="X21" s="22">
        <v>23</v>
      </c>
      <c r="Y21" s="22">
        <v>12</v>
      </c>
      <c r="Z21" s="14">
        <f>W21+X21/60+Y21/3600</f>
        <v>2.3866666666666667</v>
      </c>
      <c r="AA21" s="26">
        <f>ABS(Z21-Q21)/Q21</f>
        <v>5.9401127720911988E-5</v>
      </c>
      <c r="AB21" s="26"/>
      <c r="AC21" s="24">
        <f>U21</f>
        <v>48.847222222222221</v>
      </c>
      <c r="AD21" s="14">
        <f>Z21</f>
        <v>2.3866666666666667</v>
      </c>
    </row>
    <row r="22" spans="1:30" s="14" customFormat="1">
      <c r="A22" s="12">
        <v>20</v>
      </c>
      <c r="B22" s="12" t="s">
        <v>115</v>
      </c>
      <c r="C22" s="14" t="str">
        <f>VLOOKUP(B22,weights!A:B,2,FALSE)</f>
        <v>P</v>
      </c>
      <c r="D22" s="13">
        <v>20</v>
      </c>
      <c r="E22" s="14" t="s">
        <v>57</v>
      </c>
      <c r="F22" s="14" t="s">
        <v>58</v>
      </c>
      <c r="G22" s="15" t="s">
        <v>771</v>
      </c>
      <c r="H22" s="18" t="s">
        <v>1599</v>
      </c>
      <c r="I22" s="18" t="s">
        <v>1600</v>
      </c>
      <c r="K22" s="14">
        <f>VLOOKUP(B22,weights!A:G,5,FALSE)</f>
        <v>1.44</v>
      </c>
      <c r="L22" s="14">
        <f>VLOOKUP(B22,weights!A:G,6,FALSE)</f>
        <v>7</v>
      </c>
      <c r="M22" s="14">
        <f>VLOOKUP(B22,weights!A:G,7,FALSE)</f>
        <v>10</v>
      </c>
      <c r="N22" t="s">
        <v>4980</v>
      </c>
      <c r="O22">
        <v>475</v>
      </c>
      <c r="P22">
        <v>48.848237110399999</v>
      </c>
      <c r="Q22">
        <v>2.3958235888299999</v>
      </c>
      <c r="R22" s="22">
        <v>48</v>
      </c>
      <c r="S22" s="22">
        <v>50</v>
      </c>
      <c r="T22" s="22">
        <v>54</v>
      </c>
      <c r="U22" s="24">
        <f>R22+S22/60+T22/3600</f>
        <v>48.848333333333336</v>
      </c>
      <c r="V22" s="28">
        <f>ABS(U22-P22)/P22</f>
        <v>1.9698343078237643E-6</v>
      </c>
      <c r="W22" s="22">
        <v>2</v>
      </c>
      <c r="X22" s="22">
        <v>23</v>
      </c>
      <c r="Y22" s="22">
        <v>45</v>
      </c>
      <c r="Z22" s="14">
        <f>W22+X22/60+Y22/3600</f>
        <v>2.3958333333333335</v>
      </c>
      <c r="AA22" s="26">
        <f>ABS(Z22-Q22)/Q22</f>
        <v>4.0672874993830263E-6</v>
      </c>
      <c r="AB22" s="26"/>
      <c r="AC22" s="24">
        <f>U22</f>
        <v>48.848333333333336</v>
      </c>
      <c r="AD22" s="14">
        <f>Z22</f>
        <v>2.3958333333333335</v>
      </c>
    </row>
    <row r="23" spans="1:30" s="14" customFormat="1">
      <c r="A23" s="12">
        <v>21</v>
      </c>
      <c r="B23" s="12" t="s">
        <v>115</v>
      </c>
      <c r="C23" s="14" t="str">
        <f>VLOOKUP(B23,weights!A:B,2,FALSE)</f>
        <v>P</v>
      </c>
      <c r="D23" s="13">
        <v>21</v>
      </c>
      <c r="E23" s="14" t="s">
        <v>59</v>
      </c>
      <c r="F23" s="14" t="s">
        <v>60</v>
      </c>
      <c r="G23" s="15" t="s">
        <v>78</v>
      </c>
      <c r="H23" s="18"/>
      <c r="I23" s="18" t="s">
        <v>1602</v>
      </c>
      <c r="K23" s="14">
        <f>VLOOKUP(B23,weights!A:G,5,FALSE)</f>
        <v>1.44</v>
      </c>
      <c r="L23" s="14">
        <f>VLOOKUP(B23,weights!A:G,6,FALSE)</f>
        <v>7</v>
      </c>
      <c r="M23" s="14">
        <f>VLOOKUP(B23,weights!A:G,7,FALSE)</f>
        <v>10</v>
      </c>
      <c r="N23" t="s">
        <v>5363</v>
      </c>
      <c r="O23">
        <v>569</v>
      </c>
      <c r="P23">
        <v>48.847158479400001</v>
      </c>
      <c r="Q23">
        <v>2.41014036797</v>
      </c>
      <c r="R23" s="22">
        <v>48</v>
      </c>
      <c r="S23" s="22">
        <v>50</v>
      </c>
      <c r="T23" s="22">
        <v>50</v>
      </c>
      <c r="U23" s="24">
        <f>R23+S23/60+T23/3600</f>
        <v>48.847222222222221</v>
      </c>
      <c r="V23" s="28">
        <f>ABS(U23-P23)/P23</f>
        <v>1.3049443243956354E-6</v>
      </c>
      <c r="W23" s="22">
        <v>2</v>
      </c>
      <c r="X23" s="22">
        <v>24</v>
      </c>
      <c r="Y23" s="22">
        <v>32</v>
      </c>
      <c r="Z23" s="14">
        <f>W23+X23/60+Y23/3600</f>
        <v>2.4088888888888889</v>
      </c>
      <c r="AA23" s="26">
        <f>ABS(Z23-Q23)/Q23</f>
        <v>5.1925568225937263E-4</v>
      </c>
      <c r="AB23" s="26"/>
      <c r="AC23" s="24">
        <f>U23</f>
        <v>48.847222222222221</v>
      </c>
      <c r="AD23" s="14">
        <f>Z23</f>
        <v>2.4088888888888889</v>
      </c>
    </row>
    <row r="24" spans="1:30" s="14" customFormat="1">
      <c r="A24" s="12">
        <v>22</v>
      </c>
      <c r="B24" s="12" t="s">
        <v>115</v>
      </c>
      <c r="C24" s="14" t="str">
        <f>VLOOKUP(B24,weights!A:B,2,FALSE)</f>
        <v>P</v>
      </c>
      <c r="D24" s="13">
        <v>22</v>
      </c>
      <c r="E24" s="14" t="s">
        <v>61</v>
      </c>
      <c r="F24" s="14" t="s">
        <v>62</v>
      </c>
      <c r="G24" s="15"/>
      <c r="H24" s="18"/>
      <c r="I24" s="18"/>
      <c r="K24" s="14">
        <f>VLOOKUP(B24,weights!A:G,5,FALSE)</f>
        <v>1.44</v>
      </c>
      <c r="L24" s="14">
        <f>VLOOKUP(B24,weights!A:G,6,FALSE)</f>
        <v>7</v>
      </c>
      <c r="M24" s="14">
        <f>VLOOKUP(B24,weights!A:G,7,FALSE)</f>
        <v>10</v>
      </c>
      <c r="N24" t="s">
        <v>5585</v>
      </c>
      <c r="O24">
        <v>1</v>
      </c>
      <c r="P24">
        <v>48.846356988899998</v>
      </c>
      <c r="Q24">
        <v>2.4194799003699998</v>
      </c>
      <c r="R24" s="22">
        <v>48</v>
      </c>
      <c r="S24" s="22">
        <v>50</v>
      </c>
      <c r="T24" s="22">
        <v>47</v>
      </c>
      <c r="U24" s="24">
        <f>R24+S24/60+T24/3600</f>
        <v>48.846388888888889</v>
      </c>
      <c r="V24" s="28">
        <f>ABS(U24-P24)/P24</f>
        <v>6.5306792270434733E-7</v>
      </c>
      <c r="W24" s="22">
        <v>2</v>
      </c>
      <c r="X24" s="22">
        <v>25</v>
      </c>
      <c r="Y24" s="22">
        <v>7</v>
      </c>
      <c r="Z24" s="14">
        <f>W24+X24/60+Y24/3600</f>
        <v>2.4186111111111108</v>
      </c>
      <c r="AA24" s="26">
        <f>ABS(Z24-Q24)/Q24</f>
        <v>3.5908099867088889E-4</v>
      </c>
      <c r="AB24" s="26"/>
      <c r="AC24" s="24">
        <f>U24</f>
        <v>48.846388888888889</v>
      </c>
      <c r="AD24" s="14">
        <f>Z24</f>
        <v>2.4186111111111108</v>
      </c>
    </row>
    <row r="25" spans="1:30" s="14" customFormat="1">
      <c r="A25" s="12">
        <v>23</v>
      </c>
      <c r="B25" s="12" t="s">
        <v>115</v>
      </c>
      <c r="C25" s="14" t="str">
        <f>VLOOKUP(B25,weights!A:B,2,FALSE)</f>
        <v>P</v>
      </c>
      <c r="D25" s="13">
        <v>23</v>
      </c>
      <c r="E25" s="14" t="s">
        <v>63</v>
      </c>
      <c r="F25" s="14" t="s">
        <v>64</v>
      </c>
      <c r="G25" s="15"/>
      <c r="H25" s="18"/>
      <c r="I25" s="18"/>
      <c r="K25" s="14">
        <f>VLOOKUP(B25,weights!A:G,5,FALSE)</f>
        <v>1.44</v>
      </c>
      <c r="L25" s="14">
        <f>VLOOKUP(B25,weights!A:G,6,FALSE)</f>
        <v>7</v>
      </c>
      <c r="M25" s="14">
        <f>VLOOKUP(B25,weights!A:G,7,FALSE)</f>
        <v>10</v>
      </c>
      <c r="N25" t="s">
        <v>3318</v>
      </c>
      <c r="O25">
        <v>496</v>
      </c>
      <c r="P25">
        <v>48.845470707600001</v>
      </c>
      <c r="Q25">
        <v>2.4292051663500001</v>
      </c>
      <c r="R25" s="22">
        <v>48</v>
      </c>
      <c r="S25" s="22">
        <v>50</v>
      </c>
      <c r="T25" s="22">
        <v>43</v>
      </c>
      <c r="U25" s="24">
        <f>R25+S25/60+T25/3600</f>
        <v>48.845277777777781</v>
      </c>
      <c r="V25" s="28">
        <f>ABS(U25-P25)/P25</f>
        <v>3.9497996318703415E-6</v>
      </c>
      <c r="W25" s="22">
        <v>2</v>
      </c>
      <c r="X25" s="22">
        <v>25</v>
      </c>
      <c r="Y25" s="22">
        <v>45</v>
      </c>
      <c r="Z25" s="14">
        <f>W25+X25/60+Y25/3600</f>
        <v>2.4291666666666667</v>
      </c>
      <c r="AA25" s="26">
        <f>ABS(Z25-Q25)/Q25</f>
        <v>1.584867505909646E-5</v>
      </c>
      <c r="AB25" s="26"/>
      <c r="AC25" s="24">
        <f>U25</f>
        <v>48.845277777777781</v>
      </c>
      <c r="AD25" s="14">
        <f>Z25</f>
        <v>2.4291666666666667</v>
      </c>
    </row>
    <row r="26" spans="1:30" s="14" customFormat="1">
      <c r="A26" s="12">
        <v>24</v>
      </c>
      <c r="B26" s="12" t="s">
        <v>115</v>
      </c>
      <c r="C26" s="14" t="str">
        <f>VLOOKUP(B26,weights!A:B,2,FALSE)</f>
        <v>P</v>
      </c>
      <c r="D26" s="13">
        <v>24</v>
      </c>
      <c r="E26" s="14" t="s">
        <v>65</v>
      </c>
      <c r="F26" s="14" t="s">
        <v>66</v>
      </c>
      <c r="G26" s="15" t="s">
        <v>79</v>
      </c>
      <c r="H26" s="18"/>
      <c r="I26" s="18" t="s">
        <v>1603</v>
      </c>
      <c r="K26" s="14">
        <f>VLOOKUP(B26,weights!A:G,5,FALSE)</f>
        <v>1.44</v>
      </c>
      <c r="L26" s="14">
        <f>VLOOKUP(B26,weights!A:G,6,FALSE)</f>
        <v>7</v>
      </c>
      <c r="M26" s="14">
        <f>VLOOKUP(B26,weights!A:G,7,FALSE)</f>
        <v>10</v>
      </c>
      <c r="N26" t="s">
        <v>3619</v>
      </c>
      <c r="O26">
        <v>201</v>
      </c>
      <c r="P26">
        <v>48.844456394600002</v>
      </c>
      <c r="Q26">
        <v>2.4404399780600001</v>
      </c>
      <c r="R26" s="22">
        <v>48</v>
      </c>
      <c r="S26" s="22">
        <v>50</v>
      </c>
      <c r="T26" s="22">
        <v>40</v>
      </c>
      <c r="U26" s="24">
        <f>R26+S26/60+T26/3600</f>
        <v>48.844444444444449</v>
      </c>
      <c r="V26" s="28">
        <f>ABS(U26-P26)/P26</f>
        <v>2.4465735592524464E-7</v>
      </c>
      <c r="W26" s="22">
        <v>2</v>
      </c>
      <c r="X26" s="22">
        <v>26</v>
      </c>
      <c r="Y26" s="22">
        <v>22</v>
      </c>
      <c r="Z26" s="14">
        <f>W26+X26/60+Y26/3600</f>
        <v>2.4394444444444447</v>
      </c>
      <c r="AA26" s="26">
        <f>ABS(Z26-Q26)/Q26</f>
        <v>4.0793202230147264E-4</v>
      </c>
      <c r="AB26" s="26"/>
      <c r="AC26" s="24">
        <f>U26</f>
        <v>48.844444444444449</v>
      </c>
      <c r="AD26" s="14">
        <f>Z26</f>
        <v>2.4394444444444447</v>
      </c>
    </row>
    <row r="27" spans="1:30" s="14" customFormat="1">
      <c r="A27" s="12">
        <v>0</v>
      </c>
      <c r="B27" s="12" t="s">
        <v>116</v>
      </c>
      <c r="C27" s="14" t="str">
        <f>VLOOKUP(B27,weights!A:B,2,FALSE)</f>
        <v>P</v>
      </c>
      <c r="D27" s="13">
        <v>25</v>
      </c>
      <c r="E27" s="14" t="s">
        <v>83</v>
      </c>
      <c r="G27" s="15" t="s">
        <v>107</v>
      </c>
      <c r="H27" s="18"/>
      <c r="I27" s="18" t="s">
        <v>1604</v>
      </c>
      <c r="K27" s="14">
        <f>VLOOKUP(B27,weights!A:G,5,FALSE)</f>
        <v>1.32</v>
      </c>
      <c r="L27" s="14">
        <f>VLOOKUP(B27,weights!A:G,6,FALSE)</f>
        <v>7</v>
      </c>
      <c r="M27" s="14">
        <f>VLOOKUP(B27,weights!A:G,7,FALSE)</f>
        <v>10</v>
      </c>
      <c r="N27" t="s">
        <v>5297</v>
      </c>
      <c r="O27">
        <v>836</v>
      </c>
      <c r="P27">
        <v>48.871466578099998</v>
      </c>
      <c r="Q27">
        <v>2.2770830170499998</v>
      </c>
      <c r="R27" s="22"/>
      <c r="S27" s="22"/>
      <c r="T27" s="22"/>
      <c r="U27" s="24">
        <f>R27+S27/60+T27/3600</f>
        <v>0</v>
      </c>
      <c r="V27" s="28">
        <f>ABS(U27-P27)/P27</f>
        <v>1</v>
      </c>
      <c r="W27" s="22"/>
      <c r="X27" s="22"/>
      <c r="Y27" s="22"/>
      <c r="Z27" s="14">
        <f>W27+X27/60+Y27/3600</f>
        <v>0</v>
      </c>
      <c r="AA27" s="26">
        <f>ABS(Z27-Q27)/Q27</f>
        <v>1</v>
      </c>
      <c r="AB27" s="26"/>
      <c r="AC27" s="14">
        <f>P27</f>
        <v>48.871466578099998</v>
      </c>
      <c r="AD27" s="14">
        <f>Q27</f>
        <v>2.2770830170499998</v>
      </c>
    </row>
    <row r="28" spans="1:30" s="14" customFormat="1">
      <c r="A28" s="12">
        <v>1</v>
      </c>
      <c r="B28" s="12" t="s">
        <v>116</v>
      </c>
      <c r="C28" s="14" t="str">
        <f>VLOOKUP(B28,weights!A:B,2,FALSE)</f>
        <v>P</v>
      </c>
      <c r="D28" s="13">
        <v>26</v>
      </c>
      <c r="E28" s="14" t="s">
        <v>84</v>
      </c>
      <c r="G28" s="15"/>
      <c r="H28" s="18"/>
      <c r="I28" s="18"/>
      <c r="K28" s="14">
        <f>VLOOKUP(B28,weights!A:G,5,FALSE)</f>
        <v>1.32</v>
      </c>
      <c r="L28" s="14">
        <f>VLOOKUP(B28,weights!A:G,6,FALSE)</f>
        <v>7</v>
      </c>
      <c r="M28" s="14">
        <f>VLOOKUP(B28,weights!A:G,7,FALSE)</f>
        <v>10</v>
      </c>
      <c r="N28" t="s">
        <v>5912</v>
      </c>
      <c r="O28">
        <v>109</v>
      </c>
      <c r="P28">
        <v>48.869798556500001</v>
      </c>
      <c r="Q28">
        <v>2.2853350946900002</v>
      </c>
      <c r="R28" s="22"/>
      <c r="S28" s="22"/>
      <c r="T28" s="22"/>
      <c r="U28" s="24">
        <f>R28+S28/60+T28/3600</f>
        <v>0</v>
      </c>
      <c r="V28" s="28">
        <f>ABS(U28-P28)/P28</f>
        <v>1</v>
      </c>
      <c r="W28" s="22"/>
      <c r="X28" s="22"/>
      <c r="Y28" s="22"/>
      <c r="Z28" s="14">
        <f>W28+X28/60+Y28/3600</f>
        <v>0</v>
      </c>
      <c r="AA28" s="26">
        <f>ABS(Z28-Q28)/Q28</f>
        <v>1</v>
      </c>
      <c r="AB28" s="26"/>
      <c r="AC28" s="14">
        <f>P28</f>
        <v>48.869798556500001</v>
      </c>
      <c r="AD28" s="14">
        <f>Q28</f>
        <v>2.2853350946900002</v>
      </c>
    </row>
    <row r="29" spans="1:30" s="14" customFormat="1">
      <c r="A29" s="12">
        <v>2</v>
      </c>
      <c r="B29" s="12" t="s">
        <v>116</v>
      </c>
      <c r="C29" s="14" t="str">
        <f>VLOOKUP(B29,weights!A:B,2,FALSE)</f>
        <v>P</v>
      </c>
      <c r="D29" s="13">
        <v>27</v>
      </c>
      <c r="E29" s="14" t="s">
        <v>31</v>
      </c>
      <c r="G29" s="15" t="s">
        <v>108</v>
      </c>
      <c r="H29" s="18" t="s">
        <v>1605</v>
      </c>
      <c r="I29" s="18" t="s">
        <v>1585</v>
      </c>
      <c r="K29" s="14">
        <f>VLOOKUP(B29,weights!A:G,5,FALSE)</f>
        <v>1.32</v>
      </c>
      <c r="L29" s="14">
        <f>VLOOKUP(B29,weights!A:G,6,FALSE)</f>
        <v>7</v>
      </c>
      <c r="M29" s="14">
        <f>VLOOKUP(B29,weights!A:G,7,FALSE)</f>
        <v>10</v>
      </c>
      <c r="N29" t="s">
        <v>3597</v>
      </c>
      <c r="O29">
        <v>485</v>
      </c>
      <c r="P29">
        <v>48.874238476599999</v>
      </c>
      <c r="Q29">
        <v>2.2944905914699998</v>
      </c>
      <c r="R29" s="22"/>
      <c r="S29" s="22"/>
      <c r="T29" s="22"/>
      <c r="U29" s="24">
        <f>R29+S29/60+T29/3600</f>
        <v>0</v>
      </c>
      <c r="V29" s="28">
        <f>ABS(U29-P29)/P29</f>
        <v>1</v>
      </c>
      <c r="W29" s="22"/>
      <c r="X29" s="22"/>
      <c r="Y29" s="22"/>
      <c r="Z29" s="14">
        <f>W29+X29/60+Y29/3600</f>
        <v>0</v>
      </c>
      <c r="AA29" s="26">
        <f>ABS(Z29-Q29)/Q29</f>
        <v>1</v>
      </c>
      <c r="AB29" s="26"/>
      <c r="AC29" s="14">
        <f>P29</f>
        <v>48.874238476599999</v>
      </c>
      <c r="AD29" s="14">
        <f>Q29</f>
        <v>2.2944905914699998</v>
      </c>
    </row>
    <row r="30" spans="1:30" s="14" customFormat="1">
      <c r="A30" s="12">
        <v>3</v>
      </c>
      <c r="B30" s="12" t="s">
        <v>116</v>
      </c>
      <c r="C30" s="14" t="str">
        <f>VLOOKUP(B30,weights!A:B,2,FALSE)</f>
        <v>P</v>
      </c>
      <c r="D30" s="13">
        <v>28</v>
      </c>
      <c r="E30" s="14" t="s">
        <v>85</v>
      </c>
      <c r="G30" s="15"/>
      <c r="H30" s="18"/>
      <c r="I30" s="18"/>
      <c r="K30" s="14">
        <f>VLOOKUP(B30,weights!A:G,5,FALSE)</f>
        <v>1.32</v>
      </c>
      <c r="L30" s="14">
        <f>VLOOKUP(B30,weights!A:G,6,FALSE)</f>
        <v>7</v>
      </c>
      <c r="M30" s="14">
        <f>VLOOKUP(B30,weights!A:G,7,FALSE)</f>
        <v>10</v>
      </c>
      <c r="N30" t="s">
        <v>5781</v>
      </c>
      <c r="O30">
        <v>108</v>
      </c>
      <c r="P30">
        <v>48.877972701399997</v>
      </c>
      <c r="Q30">
        <v>2.2983103751199998</v>
      </c>
      <c r="R30" s="22"/>
      <c r="S30" s="22"/>
      <c r="T30" s="22"/>
      <c r="U30" s="24">
        <f>R30+S30/60+T30/3600</f>
        <v>0</v>
      </c>
      <c r="V30" s="28">
        <f>ABS(U30-P30)/P30</f>
        <v>1</v>
      </c>
      <c r="W30" s="22"/>
      <c r="X30" s="22"/>
      <c r="Y30" s="22"/>
      <c r="Z30" s="14">
        <f>W30+X30/60+Y30/3600</f>
        <v>0</v>
      </c>
      <c r="AA30" s="26">
        <f>ABS(Z30-Q30)/Q30</f>
        <v>1</v>
      </c>
      <c r="AB30" s="26"/>
      <c r="AC30" s="14">
        <f>P30</f>
        <v>48.877972701399997</v>
      </c>
      <c r="AD30" s="14">
        <f>Q30</f>
        <v>2.2983103751199998</v>
      </c>
    </row>
    <row r="31" spans="1:30" s="14" customFormat="1">
      <c r="A31" s="12">
        <v>4</v>
      </c>
      <c r="B31" s="12" t="s">
        <v>116</v>
      </c>
      <c r="C31" s="14" t="str">
        <f>VLOOKUP(B31,weights!A:B,2,FALSE)</f>
        <v>P</v>
      </c>
      <c r="D31" s="13">
        <v>29</v>
      </c>
      <c r="E31" s="14" t="s">
        <v>86</v>
      </c>
      <c r="G31" s="15"/>
      <c r="H31" s="18"/>
      <c r="I31" s="18"/>
      <c r="K31" s="14">
        <f>VLOOKUP(B31,weights!A:G,5,FALSE)</f>
        <v>1.32</v>
      </c>
      <c r="L31" s="14">
        <f>VLOOKUP(B31,weights!A:G,6,FALSE)</f>
        <v>7</v>
      </c>
      <c r="M31" s="14">
        <f>VLOOKUP(B31,weights!A:G,7,FALSE)</f>
        <v>10</v>
      </c>
      <c r="N31" t="s">
        <v>3787</v>
      </c>
      <c r="O31">
        <v>311</v>
      </c>
      <c r="P31">
        <v>48.879214134199998</v>
      </c>
      <c r="Q31">
        <v>2.3035287253700001</v>
      </c>
      <c r="R31" s="22"/>
      <c r="S31" s="22"/>
      <c r="T31" s="22"/>
      <c r="U31" s="24">
        <f>R31+S31/60+T31/3600</f>
        <v>0</v>
      </c>
      <c r="V31" s="28">
        <f>ABS(U31-P31)/P31</f>
        <v>1</v>
      </c>
      <c r="W31" s="22"/>
      <c r="X31" s="22"/>
      <c r="Y31" s="22"/>
      <c r="Z31" s="14">
        <f>W31+X31/60+Y31/3600</f>
        <v>0</v>
      </c>
      <c r="AA31" s="26">
        <f>ABS(Z31-Q31)/Q31</f>
        <v>1</v>
      </c>
      <c r="AB31" s="26"/>
      <c r="AC31" s="14">
        <f>P31</f>
        <v>48.879214134199998</v>
      </c>
      <c r="AD31" s="14">
        <f>Q31</f>
        <v>2.3035287253700001</v>
      </c>
    </row>
    <row r="32" spans="1:30" s="14" customFormat="1">
      <c r="A32" s="12">
        <v>5</v>
      </c>
      <c r="B32" s="12" t="s">
        <v>116</v>
      </c>
      <c r="C32" s="14" t="str">
        <f>VLOOKUP(B32,weights!A:B,2,FALSE)</f>
        <v>P</v>
      </c>
      <c r="D32" s="13">
        <v>30</v>
      </c>
      <c r="E32" s="14" t="s">
        <v>87</v>
      </c>
      <c r="G32" s="15"/>
      <c r="H32" s="18"/>
      <c r="I32" s="18"/>
      <c r="K32" s="14">
        <f>VLOOKUP(B32,weights!A:G,5,FALSE)</f>
        <v>1.32</v>
      </c>
      <c r="L32" s="14">
        <f>VLOOKUP(B32,weights!A:G,6,FALSE)</f>
        <v>7</v>
      </c>
      <c r="M32" s="14">
        <f>VLOOKUP(B32,weights!A:G,7,FALSE)</f>
        <v>10</v>
      </c>
      <c r="N32" t="s">
        <v>4886</v>
      </c>
      <c r="O32">
        <v>13</v>
      </c>
      <c r="P32">
        <v>48.880449456100003</v>
      </c>
      <c r="Q32">
        <v>2.3094511679899998</v>
      </c>
      <c r="R32" s="22"/>
      <c r="S32" s="22"/>
      <c r="T32" s="22"/>
      <c r="U32" s="24">
        <f>R32+S32/60+T32/3600</f>
        <v>0</v>
      </c>
      <c r="V32" s="28">
        <f>ABS(U32-P32)/P32</f>
        <v>1</v>
      </c>
      <c r="W32" s="22"/>
      <c r="X32" s="22"/>
      <c r="Y32" s="22"/>
      <c r="Z32" s="14">
        <f>W32+X32/60+Y32/3600</f>
        <v>0</v>
      </c>
      <c r="AA32" s="26">
        <f>ABS(Z32-Q32)/Q32</f>
        <v>1</v>
      </c>
      <c r="AB32" s="26"/>
      <c r="AC32" s="14">
        <f>P32</f>
        <v>48.880449456100003</v>
      </c>
      <c r="AD32" s="14">
        <f>Q32</f>
        <v>2.3094511679899998</v>
      </c>
    </row>
    <row r="33" spans="1:30" s="14" customFormat="1">
      <c r="A33" s="12">
        <v>6</v>
      </c>
      <c r="B33" s="12" t="s">
        <v>116</v>
      </c>
      <c r="C33" s="14" t="str">
        <f>VLOOKUP(B33,weights!A:B,2,FALSE)</f>
        <v>P</v>
      </c>
      <c r="D33" s="13">
        <v>31</v>
      </c>
      <c r="E33" s="14" t="s">
        <v>88</v>
      </c>
      <c r="G33" s="15" t="s">
        <v>109</v>
      </c>
      <c r="H33" s="18" t="s">
        <v>1606</v>
      </c>
      <c r="I33" s="18"/>
      <c r="K33" s="14">
        <f>VLOOKUP(B33,weights!A:G,5,FALSE)</f>
        <v>1.32</v>
      </c>
      <c r="L33" s="14">
        <f>VLOOKUP(B33,weights!A:G,6,FALSE)</f>
        <v>7</v>
      </c>
      <c r="M33" s="14">
        <f>VLOOKUP(B33,weights!A:G,7,FALSE)</f>
        <v>10</v>
      </c>
      <c r="N33" t="s">
        <v>5965</v>
      </c>
      <c r="O33">
        <v>208</v>
      </c>
      <c r="P33">
        <v>48.881150028500002</v>
      </c>
      <c r="Q33">
        <v>2.31517662622</v>
      </c>
      <c r="R33" s="22"/>
      <c r="S33" s="22"/>
      <c r="T33" s="22"/>
      <c r="U33" s="24">
        <f>R33+S33/60+T33/3600</f>
        <v>0</v>
      </c>
      <c r="V33" s="28">
        <f>ABS(U33-P33)/P33</f>
        <v>1</v>
      </c>
      <c r="W33" s="22"/>
      <c r="X33" s="22"/>
      <c r="Y33" s="22"/>
      <c r="Z33" s="14">
        <f>W33+X33/60+Y33/3600</f>
        <v>0</v>
      </c>
      <c r="AA33" s="26">
        <f>ABS(Z33-Q33)/Q33</f>
        <v>1</v>
      </c>
      <c r="AB33" s="26"/>
      <c r="AC33" s="14">
        <f>P33</f>
        <v>48.881150028500002</v>
      </c>
      <c r="AD33" s="14">
        <f>Q33</f>
        <v>2.31517662622</v>
      </c>
    </row>
    <row r="34" spans="1:30" s="14" customFormat="1">
      <c r="A34" s="12">
        <v>7</v>
      </c>
      <c r="B34" s="12" t="s">
        <v>116</v>
      </c>
      <c r="C34" s="14" t="str">
        <f>VLOOKUP(B34,weights!A:B,2,FALSE)</f>
        <v>P</v>
      </c>
      <c r="D34" s="13">
        <v>32</v>
      </c>
      <c r="E34" s="14" t="s">
        <v>89</v>
      </c>
      <c r="G34" s="15"/>
      <c r="H34" s="18"/>
      <c r="I34" s="18"/>
      <c r="K34" s="14">
        <f>VLOOKUP(B34,weights!A:G,5,FALSE)</f>
        <v>1.32</v>
      </c>
      <c r="L34" s="14">
        <f>VLOOKUP(B34,weights!A:G,6,FALSE)</f>
        <v>7</v>
      </c>
      <c r="M34" s="14">
        <f>VLOOKUP(B34,weights!A:G,7,FALSE)</f>
        <v>10</v>
      </c>
      <c r="N34" t="s">
        <v>5471</v>
      </c>
      <c r="O34">
        <v>12</v>
      </c>
      <c r="P34">
        <v>48.882226900799999</v>
      </c>
      <c r="Q34">
        <v>2.3212749267700001</v>
      </c>
      <c r="R34" s="22"/>
      <c r="S34" s="22"/>
      <c r="T34" s="22"/>
      <c r="U34" s="24">
        <f>R34+S34/60+T34/3600</f>
        <v>0</v>
      </c>
      <c r="V34" s="28">
        <f>ABS(U34-P34)/P34</f>
        <v>1</v>
      </c>
      <c r="W34" s="22"/>
      <c r="X34" s="22"/>
      <c r="Y34" s="22"/>
      <c r="Z34" s="14">
        <f>W34+X34/60+Y34/3600</f>
        <v>0</v>
      </c>
      <c r="AA34" s="26">
        <f>ABS(Z34-Q34)/Q34</f>
        <v>1</v>
      </c>
      <c r="AB34" s="26"/>
      <c r="AC34" s="14">
        <f>P34</f>
        <v>48.882226900799999</v>
      </c>
      <c r="AD34" s="14">
        <f>Q34</f>
        <v>2.3212749267700001</v>
      </c>
    </row>
    <row r="35" spans="1:30" s="14" customFormat="1">
      <c r="A35" s="12">
        <v>8</v>
      </c>
      <c r="B35" s="12" t="s">
        <v>116</v>
      </c>
      <c r="C35" s="14" t="str">
        <f>VLOOKUP(B35,weights!A:B,2,FALSE)</f>
        <v>P</v>
      </c>
      <c r="D35" s="13">
        <v>33</v>
      </c>
      <c r="E35" s="14" t="s">
        <v>90</v>
      </c>
      <c r="G35" s="15" t="s">
        <v>72</v>
      </c>
      <c r="H35" s="18" t="s">
        <v>1607</v>
      </c>
      <c r="I35" s="18"/>
      <c r="K35" s="14">
        <f>VLOOKUP(B35,weights!A:G,5,FALSE)</f>
        <v>1.32</v>
      </c>
      <c r="L35" s="14">
        <f>VLOOKUP(B35,weights!A:G,6,FALSE)</f>
        <v>7</v>
      </c>
      <c r="M35" s="14">
        <f>VLOOKUP(B35,weights!A:G,7,FALSE)</f>
        <v>10</v>
      </c>
      <c r="N35" t="s">
        <v>5192</v>
      </c>
      <c r="O35">
        <v>47</v>
      </c>
      <c r="P35">
        <v>48.883430013800002</v>
      </c>
      <c r="Q35">
        <v>2.3272283357200001</v>
      </c>
      <c r="R35" s="22"/>
      <c r="S35" s="22"/>
      <c r="T35" s="22"/>
      <c r="U35" s="24">
        <f>R35+S35/60+T35/3600</f>
        <v>0</v>
      </c>
      <c r="V35" s="28">
        <f>ABS(U35-P35)/P35</f>
        <v>1</v>
      </c>
      <c r="W35" s="22"/>
      <c r="X35" s="22"/>
      <c r="Y35" s="22"/>
      <c r="Z35" s="14">
        <f>W35+X35/60+Y35/3600</f>
        <v>0</v>
      </c>
      <c r="AA35" s="26">
        <f>ABS(Z35-Q35)/Q35</f>
        <v>1</v>
      </c>
      <c r="AB35" s="26"/>
      <c r="AC35" s="14">
        <f>P35</f>
        <v>48.883430013800002</v>
      </c>
      <c r="AD35" s="14">
        <f>Q35</f>
        <v>2.3272283357200001</v>
      </c>
    </row>
    <row r="36" spans="1:30" s="14" customFormat="1">
      <c r="A36" s="12">
        <v>9</v>
      </c>
      <c r="B36" s="12" t="s">
        <v>116</v>
      </c>
      <c r="C36" s="14" t="str">
        <f>VLOOKUP(B36,weights!A:B,2,FALSE)</f>
        <v>P</v>
      </c>
      <c r="D36" s="13">
        <v>34</v>
      </c>
      <c r="E36" s="14" t="s">
        <v>91</v>
      </c>
      <c r="G36" s="15"/>
      <c r="H36" s="18"/>
      <c r="I36" s="18"/>
      <c r="K36" s="14">
        <f>VLOOKUP(B36,weights!A:G,5,FALSE)</f>
        <v>1.32</v>
      </c>
      <c r="L36" s="14">
        <f>VLOOKUP(B36,weights!A:G,6,FALSE)</f>
        <v>7</v>
      </c>
      <c r="M36" s="14">
        <f>VLOOKUP(B36,weights!A:G,7,FALSE)</f>
        <v>10</v>
      </c>
      <c r="N36" t="s">
        <v>3347</v>
      </c>
      <c r="O36">
        <v>310</v>
      </c>
      <c r="P36">
        <v>48.883958572600001</v>
      </c>
      <c r="Q36">
        <v>2.3319265895300001</v>
      </c>
      <c r="R36" s="22"/>
      <c r="S36" s="22"/>
      <c r="T36" s="22"/>
      <c r="U36" s="24">
        <f>R36+S36/60+T36/3600</f>
        <v>0</v>
      </c>
      <c r="V36" s="28">
        <f>ABS(U36-P36)/P36</f>
        <v>1</v>
      </c>
      <c r="W36" s="22"/>
      <c r="X36" s="22"/>
      <c r="Y36" s="22"/>
      <c r="Z36" s="14">
        <f>W36+X36/60+Y36/3600</f>
        <v>0</v>
      </c>
      <c r="AA36" s="26">
        <f>ABS(Z36-Q36)/Q36</f>
        <v>1</v>
      </c>
      <c r="AB36" s="26"/>
      <c r="AC36" s="14">
        <f>P36</f>
        <v>48.883958572600001</v>
      </c>
      <c r="AD36" s="14">
        <f>Q36</f>
        <v>2.3319265895300001</v>
      </c>
    </row>
    <row r="37" spans="1:30" s="14" customFormat="1">
      <c r="A37" s="12">
        <v>10</v>
      </c>
      <c r="B37" s="12" t="s">
        <v>116</v>
      </c>
      <c r="C37" s="14" t="str">
        <f>VLOOKUP(B37,weights!A:B,2,FALSE)</f>
        <v>P</v>
      </c>
      <c r="D37" s="13">
        <v>35</v>
      </c>
      <c r="E37" s="14" t="s">
        <v>92</v>
      </c>
      <c r="G37" s="15" t="s">
        <v>110</v>
      </c>
      <c r="H37" s="18" t="s">
        <v>1608</v>
      </c>
      <c r="I37" s="18"/>
      <c r="K37" s="14">
        <f>VLOOKUP(B37,weights!A:G,5,FALSE)</f>
        <v>1.32</v>
      </c>
      <c r="L37" s="14">
        <f>VLOOKUP(B37,weights!A:G,6,FALSE)</f>
        <v>7</v>
      </c>
      <c r="M37" s="14">
        <f>VLOOKUP(B37,weights!A:G,7,FALSE)</f>
        <v>10</v>
      </c>
      <c r="N37" t="s">
        <v>5184</v>
      </c>
      <c r="O37">
        <v>41</v>
      </c>
      <c r="P37">
        <v>48.8824426909</v>
      </c>
      <c r="Q37">
        <v>2.3370851364999998</v>
      </c>
      <c r="R37" s="22"/>
      <c r="S37" s="22"/>
      <c r="T37" s="22"/>
      <c r="U37" s="24">
        <f>R37+S37/60+T37/3600</f>
        <v>0</v>
      </c>
      <c r="V37" s="28">
        <f>ABS(U37-P37)/P37</f>
        <v>1</v>
      </c>
      <c r="W37" s="22"/>
      <c r="X37" s="22"/>
      <c r="Y37" s="22"/>
      <c r="Z37" s="14">
        <f>W37+X37/60+Y37/3600</f>
        <v>0</v>
      </c>
      <c r="AA37" s="26">
        <f>ABS(Z37-Q37)/Q37</f>
        <v>1</v>
      </c>
      <c r="AB37" s="26"/>
      <c r="AC37" s="14">
        <f>P37</f>
        <v>48.8824426909</v>
      </c>
      <c r="AD37" s="14">
        <f>Q37</f>
        <v>2.3370851364999998</v>
      </c>
    </row>
    <row r="38" spans="1:30" s="14" customFormat="1">
      <c r="A38" s="12">
        <v>11</v>
      </c>
      <c r="B38" s="12" t="s">
        <v>116</v>
      </c>
      <c r="C38" s="14" t="str">
        <f>VLOOKUP(B38,weights!A:B,2,FALSE)</f>
        <v>P</v>
      </c>
      <c r="D38" s="13">
        <v>36</v>
      </c>
      <c r="E38" s="14" t="s">
        <v>93</v>
      </c>
      <c r="G38" s="15"/>
      <c r="H38" s="18"/>
      <c r="I38" s="18"/>
      <c r="K38" s="14">
        <f>VLOOKUP(B38,weights!A:G,5,FALSE)</f>
        <v>1.32</v>
      </c>
      <c r="L38" s="14">
        <f>VLOOKUP(B38,weights!A:G,6,FALSE)</f>
        <v>7</v>
      </c>
      <c r="M38" s="14">
        <f>VLOOKUP(B38,weights!A:G,7,FALSE)</f>
        <v>10</v>
      </c>
      <c r="N38" t="s">
        <v>3186</v>
      </c>
      <c r="O38">
        <v>3</v>
      </c>
      <c r="P38">
        <v>48.882868647599999</v>
      </c>
      <c r="Q38">
        <v>2.3441306337199999</v>
      </c>
      <c r="R38" s="22"/>
      <c r="S38" s="22"/>
      <c r="T38" s="22"/>
      <c r="U38" s="24">
        <f>R38+S38/60+T38/3600</f>
        <v>0</v>
      </c>
      <c r="V38" s="28">
        <f>ABS(U38-P38)/P38</f>
        <v>1</v>
      </c>
      <c r="W38" s="22"/>
      <c r="X38" s="22"/>
      <c r="Y38" s="22"/>
      <c r="Z38" s="14">
        <f>W38+X38/60+Y38/3600</f>
        <v>0</v>
      </c>
      <c r="AA38" s="26">
        <f>ABS(Z38-Q38)/Q38</f>
        <v>1</v>
      </c>
      <c r="AB38" s="26"/>
      <c r="AC38" s="14">
        <f>P38</f>
        <v>48.882868647599999</v>
      </c>
      <c r="AD38" s="14">
        <f>Q38</f>
        <v>2.3441306337199999</v>
      </c>
    </row>
    <row r="39" spans="1:30" s="14" customFormat="1">
      <c r="A39" s="29">
        <v>12</v>
      </c>
      <c r="B39" s="29" t="s">
        <v>116</v>
      </c>
      <c r="C39" s="30" t="str">
        <f>VLOOKUP(B39,weights!A:B,2,FALSE)</f>
        <v>P</v>
      </c>
      <c r="D39" s="31">
        <v>37</v>
      </c>
      <c r="E39" s="30" t="s">
        <v>94</v>
      </c>
      <c r="F39" s="30"/>
      <c r="G39" s="32"/>
      <c r="H39" s="33"/>
      <c r="I39" s="33"/>
      <c r="J39" s="30"/>
      <c r="K39" s="30">
        <f>VLOOKUP(B39,weights!A:G,5,FALSE)</f>
        <v>1.32</v>
      </c>
      <c r="L39" s="30">
        <f>VLOOKUP(B39,weights!A:G,6,FALSE)</f>
        <v>7</v>
      </c>
      <c r="M39" s="30">
        <f>VLOOKUP(B39,weights!A:G,7,FALSE)</f>
        <v>10</v>
      </c>
      <c r="N39" s="30"/>
      <c r="O39" s="30"/>
      <c r="P39" s="30"/>
      <c r="Q39" s="30"/>
      <c r="R39" s="34"/>
      <c r="S39" s="34"/>
      <c r="T39" s="34"/>
      <c r="U39" s="35">
        <f>R39+S39/60+T39/3600</f>
        <v>0</v>
      </c>
      <c r="V39" s="36" t="e">
        <f>ABS(U39-P39)/P39</f>
        <v>#DIV/0!</v>
      </c>
      <c r="W39" s="34"/>
      <c r="X39" s="34"/>
      <c r="Y39" s="34"/>
      <c r="Z39" s="30">
        <f>W39+X39/60+Y39/3600</f>
        <v>0</v>
      </c>
      <c r="AA39" s="37" t="e">
        <f>ABS(Z39-Q39)/Q39</f>
        <v>#DIV/0!</v>
      </c>
      <c r="AB39" s="37"/>
      <c r="AC39" s="30">
        <f>IF(ISBLANK(F39),P39,U39)</f>
        <v>0</v>
      </c>
      <c r="AD39" s="30">
        <f>IF(ISBLANK(F39),Q39,Z39)</f>
        <v>0</v>
      </c>
    </row>
    <row r="40" spans="1:30" s="14" customFormat="1">
      <c r="A40" s="12">
        <v>13</v>
      </c>
      <c r="B40" s="12" t="s">
        <v>116</v>
      </c>
      <c r="C40" s="14" t="str">
        <f>VLOOKUP(B40,weights!A:B,2,FALSE)</f>
        <v>P</v>
      </c>
      <c r="D40" s="13">
        <v>38</v>
      </c>
      <c r="E40" s="14" t="s">
        <v>95</v>
      </c>
      <c r="G40" s="15" t="s">
        <v>111</v>
      </c>
      <c r="H40" s="18" t="s">
        <v>1609</v>
      </c>
      <c r="I40" s="18"/>
      <c r="K40" s="14">
        <f>VLOOKUP(B40,weights!A:G,5,FALSE)</f>
        <v>1.32</v>
      </c>
      <c r="L40" s="14">
        <f>VLOOKUP(B40,weights!A:G,6,FALSE)</f>
        <v>7</v>
      </c>
      <c r="M40" s="14">
        <f>VLOOKUP(B40,weights!A:G,7,FALSE)</f>
        <v>10</v>
      </c>
      <c r="N40" t="s">
        <v>3276</v>
      </c>
      <c r="O40">
        <v>18</v>
      </c>
      <c r="P40">
        <v>48.883734465700002</v>
      </c>
      <c r="Q40">
        <v>2.3496361482700001</v>
      </c>
      <c r="R40" s="22"/>
      <c r="S40" s="22"/>
      <c r="T40" s="22"/>
      <c r="U40" s="24">
        <f>R40+S40/60+T40/3600</f>
        <v>0</v>
      </c>
      <c r="V40" s="28">
        <f>ABS(U40-P40)/P40</f>
        <v>1</v>
      </c>
      <c r="W40" s="22"/>
      <c r="X40" s="22"/>
      <c r="Y40" s="22"/>
      <c r="Z40" s="14">
        <f>W40+X40/60+Y40/3600</f>
        <v>0</v>
      </c>
      <c r="AA40" s="26">
        <f>ABS(Z40-Q40)/Q40</f>
        <v>1</v>
      </c>
      <c r="AB40" s="26"/>
      <c r="AC40" s="14">
        <f>P40</f>
        <v>48.883734465700002</v>
      </c>
      <c r="AD40" s="14">
        <f>Q40</f>
        <v>2.3496361482700001</v>
      </c>
    </row>
    <row r="41" spans="1:30" s="14" customFormat="1">
      <c r="A41" s="12">
        <v>14</v>
      </c>
      <c r="B41" s="12" t="s">
        <v>116</v>
      </c>
      <c r="C41" s="14" t="str">
        <f>VLOOKUP(B41,weights!A:B,2,FALSE)</f>
        <v>P</v>
      </c>
      <c r="D41" s="13">
        <v>39</v>
      </c>
      <c r="E41" s="14" t="s">
        <v>96</v>
      </c>
      <c r="G41" s="15" t="s">
        <v>1467</v>
      </c>
      <c r="H41" s="18" t="s">
        <v>1611</v>
      </c>
      <c r="I41" s="18" t="s">
        <v>1613</v>
      </c>
      <c r="K41" s="14">
        <f>VLOOKUP(B41,weights!A:G,5,FALSE)</f>
        <v>1.32</v>
      </c>
      <c r="L41" s="14">
        <f>VLOOKUP(B41,weights!A:G,6,FALSE)</f>
        <v>7</v>
      </c>
      <c r="M41" s="14">
        <f>VLOOKUP(B41,weights!A:G,7,FALSE)</f>
        <v>10</v>
      </c>
      <c r="N41" t="s">
        <v>4378</v>
      </c>
      <c r="O41">
        <v>205</v>
      </c>
      <c r="P41">
        <v>48.884398795199999</v>
      </c>
      <c r="Q41">
        <v>2.3604913185299998</v>
      </c>
      <c r="R41" s="22"/>
      <c r="S41" s="22"/>
      <c r="T41" s="22"/>
      <c r="U41" s="24">
        <f>R41+S41/60+T41/3600</f>
        <v>0</v>
      </c>
      <c r="V41" s="28">
        <f>ABS(U41-P41)/P41</f>
        <v>1</v>
      </c>
      <c r="W41" s="22"/>
      <c r="X41" s="22"/>
      <c r="Y41" s="22"/>
      <c r="Z41" s="14">
        <f>W41+X41/60+Y41/3600</f>
        <v>0</v>
      </c>
      <c r="AA41" s="26">
        <f>ABS(Z41-Q41)/Q41</f>
        <v>1</v>
      </c>
      <c r="AB41" s="26"/>
      <c r="AC41" s="14">
        <f>P41</f>
        <v>48.884398795199999</v>
      </c>
      <c r="AD41" s="14">
        <f>Q41</f>
        <v>2.3604913185299998</v>
      </c>
    </row>
    <row r="42" spans="1:30" s="14" customFormat="1">
      <c r="A42" s="12">
        <v>15</v>
      </c>
      <c r="B42" s="12" t="s">
        <v>116</v>
      </c>
      <c r="C42" s="14" t="str">
        <f>VLOOKUP(B42,weights!A:B,2,FALSE)</f>
        <v>P</v>
      </c>
      <c r="D42" s="13">
        <v>40</v>
      </c>
      <c r="E42" s="14" t="s">
        <v>97</v>
      </c>
      <c r="G42" s="15" t="s">
        <v>112</v>
      </c>
      <c r="H42" s="18" t="s">
        <v>1614</v>
      </c>
      <c r="I42" s="18"/>
      <c r="K42" s="14">
        <f>VLOOKUP(B42,weights!A:G,5,FALSE)</f>
        <v>1.32</v>
      </c>
      <c r="L42" s="14">
        <f>VLOOKUP(B42,weights!A:G,6,FALSE)</f>
        <v>7</v>
      </c>
      <c r="M42" s="14">
        <f>VLOOKUP(B42,weights!A:G,7,FALSE)</f>
        <v>10</v>
      </c>
      <c r="N42" t="s">
        <v>5734</v>
      </c>
      <c r="O42">
        <v>117</v>
      </c>
      <c r="P42">
        <v>48.883995220499997</v>
      </c>
      <c r="Q42">
        <v>2.3689127033099999</v>
      </c>
      <c r="R42" s="22"/>
      <c r="S42" s="22"/>
      <c r="T42" s="22"/>
      <c r="U42" s="24">
        <f>R42+S42/60+T42/3600</f>
        <v>0</v>
      </c>
      <c r="V42" s="28">
        <f>ABS(U42-P42)/P42</f>
        <v>1</v>
      </c>
      <c r="W42" s="22"/>
      <c r="X42" s="22"/>
      <c r="Y42" s="22"/>
      <c r="Z42" s="14">
        <f>W42+X42/60+Y42/3600</f>
        <v>0</v>
      </c>
      <c r="AA42" s="26">
        <f>ABS(Z42-Q42)/Q42</f>
        <v>1</v>
      </c>
      <c r="AB42" s="26"/>
      <c r="AC42" s="14">
        <f>P42</f>
        <v>48.883995220499997</v>
      </c>
      <c r="AD42" s="14">
        <f>Q42</f>
        <v>2.3689127033099999</v>
      </c>
    </row>
    <row r="43" spans="1:30" s="14" customFormat="1">
      <c r="A43" s="12">
        <v>16</v>
      </c>
      <c r="B43" s="12" t="s">
        <v>116</v>
      </c>
      <c r="C43" s="14" t="str">
        <f>VLOOKUP(B43,weights!A:B,2,FALSE)</f>
        <v>P</v>
      </c>
      <c r="D43" s="13">
        <v>41</v>
      </c>
      <c r="E43" s="14" t="s">
        <v>98</v>
      </c>
      <c r="G43" s="15" t="s">
        <v>113</v>
      </c>
      <c r="H43" s="18" t="s">
        <v>1615</v>
      </c>
      <c r="I43" s="18"/>
      <c r="K43" s="14">
        <f>VLOOKUP(B43,weights!A:G,5,FALSE)</f>
        <v>1.32</v>
      </c>
      <c r="L43" s="14">
        <f>VLOOKUP(B43,weights!A:G,6,FALSE)</f>
        <v>7</v>
      </c>
      <c r="M43" s="14">
        <f>VLOOKUP(B43,weights!A:G,7,FALSE)</f>
        <v>10</v>
      </c>
      <c r="N43" t="s">
        <v>4299</v>
      </c>
      <c r="O43">
        <v>354</v>
      </c>
      <c r="P43">
        <v>48.8827381328</v>
      </c>
      <c r="Q43">
        <v>2.3701223122799999</v>
      </c>
      <c r="R43" s="22"/>
      <c r="S43" s="22"/>
      <c r="T43" s="22"/>
      <c r="U43" s="24">
        <f>R43+S43/60+T43/3600</f>
        <v>0</v>
      </c>
      <c r="V43" s="28">
        <f>ABS(U43-P43)/P43</f>
        <v>1</v>
      </c>
      <c r="W43" s="22"/>
      <c r="X43" s="22"/>
      <c r="Y43" s="22"/>
      <c r="Z43" s="14">
        <f>W43+X43/60+Y43/3600</f>
        <v>0</v>
      </c>
      <c r="AA43" s="26">
        <f>ABS(Z43-Q43)/Q43</f>
        <v>1</v>
      </c>
      <c r="AB43" s="26"/>
      <c r="AC43" s="14">
        <f>P43</f>
        <v>48.8827381328</v>
      </c>
      <c r="AD43" s="14">
        <f>Q43</f>
        <v>2.3701223122799999</v>
      </c>
    </row>
    <row r="44" spans="1:30" s="14" customFormat="1">
      <c r="A44" s="12">
        <v>17</v>
      </c>
      <c r="B44" s="12" t="s">
        <v>116</v>
      </c>
      <c r="C44" s="14" t="str">
        <f>VLOOKUP(B44,weights!A:B,2,FALSE)</f>
        <v>P</v>
      </c>
      <c r="D44" s="13">
        <v>42</v>
      </c>
      <c r="E44" s="14" t="s">
        <v>99</v>
      </c>
      <c r="G44" s="15"/>
      <c r="H44" s="18"/>
      <c r="I44" s="18"/>
      <c r="K44" s="14">
        <f>VLOOKUP(B44,weights!A:G,5,FALSE)</f>
        <v>1.32</v>
      </c>
      <c r="L44" s="14">
        <f>VLOOKUP(B44,weights!A:G,6,FALSE)</f>
        <v>7</v>
      </c>
      <c r="M44" s="14">
        <f>VLOOKUP(B44,weights!A:G,7,FALSE)</f>
        <v>10</v>
      </c>
      <c r="N44" t="s">
        <v>3727</v>
      </c>
      <c r="O44">
        <v>830</v>
      </c>
      <c r="P44">
        <v>48.877610187400002</v>
      </c>
      <c r="Q44">
        <v>2.3708113953100001</v>
      </c>
      <c r="R44" s="22"/>
      <c r="S44" s="22"/>
      <c r="T44" s="22"/>
      <c r="U44" s="24">
        <f>R44+S44/60+T44/3600</f>
        <v>0</v>
      </c>
      <c r="V44" s="28">
        <f>ABS(U44-P44)/P44</f>
        <v>1</v>
      </c>
      <c r="W44" s="22"/>
      <c r="X44" s="22"/>
      <c r="Y44" s="22"/>
      <c r="Z44" s="14">
        <f>W44+X44/60+Y44/3600</f>
        <v>0</v>
      </c>
      <c r="AA44" s="26">
        <f>ABS(Z44-Q44)/Q44</f>
        <v>1</v>
      </c>
      <c r="AB44" s="26"/>
      <c r="AC44" s="14">
        <f>P44</f>
        <v>48.877610187400002</v>
      </c>
      <c r="AD44" s="14">
        <f>Q44</f>
        <v>2.3708113953100001</v>
      </c>
    </row>
    <row r="45" spans="1:30" s="14" customFormat="1">
      <c r="A45" s="12">
        <v>18</v>
      </c>
      <c r="B45" s="12" t="s">
        <v>116</v>
      </c>
      <c r="C45" s="14" t="str">
        <f>VLOOKUP(B45,weights!A:B,2,FALSE)</f>
        <v>P</v>
      </c>
      <c r="D45" s="13">
        <v>43</v>
      </c>
      <c r="E45" s="14" t="s">
        <v>100</v>
      </c>
      <c r="G45" s="15" t="s">
        <v>76</v>
      </c>
      <c r="H45" s="18" t="s">
        <v>1616</v>
      </c>
      <c r="I45" s="18"/>
      <c r="K45" s="14">
        <f>VLOOKUP(B45,weights!A:G,5,FALSE)</f>
        <v>1.32</v>
      </c>
      <c r="L45" s="14">
        <f>VLOOKUP(B45,weights!A:G,6,FALSE)</f>
        <v>7</v>
      </c>
      <c r="M45" s="14">
        <f>VLOOKUP(B45,weights!A:G,7,FALSE)</f>
        <v>10</v>
      </c>
      <c r="N45" t="s">
        <v>3304</v>
      </c>
      <c r="O45">
        <v>221</v>
      </c>
      <c r="P45">
        <v>48.8719936918</v>
      </c>
      <c r="Q45">
        <v>2.3770297767000002</v>
      </c>
      <c r="R45" s="22"/>
      <c r="S45" s="22"/>
      <c r="T45" s="22"/>
      <c r="U45" s="24">
        <f>R45+S45/60+T45/3600</f>
        <v>0</v>
      </c>
      <c r="V45" s="28">
        <f>ABS(U45-P45)/P45</f>
        <v>1</v>
      </c>
      <c r="W45" s="22"/>
      <c r="X45" s="22"/>
      <c r="Y45" s="22"/>
      <c r="Z45" s="14">
        <f>W45+X45/60+Y45/3600</f>
        <v>0</v>
      </c>
      <c r="AA45" s="26">
        <f>ABS(Z45-Q45)/Q45</f>
        <v>1</v>
      </c>
      <c r="AB45" s="26"/>
      <c r="AC45" s="14">
        <f>P45</f>
        <v>48.8719936918</v>
      </c>
      <c r="AD45" s="14">
        <f>Q45</f>
        <v>2.3770297767000002</v>
      </c>
    </row>
    <row r="46" spans="1:30" s="14" customFormat="1">
      <c r="A46" s="12">
        <v>19</v>
      </c>
      <c r="B46" s="12" t="s">
        <v>116</v>
      </c>
      <c r="C46" s="14" t="str">
        <f>VLOOKUP(B46,weights!A:B,2,FALSE)</f>
        <v>P</v>
      </c>
      <c r="D46" s="13">
        <v>44</v>
      </c>
      <c r="E46" s="14" t="s">
        <v>101</v>
      </c>
      <c r="G46" s="15"/>
      <c r="H46" s="18"/>
      <c r="I46" s="18"/>
      <c r="K46" s="14">
        <f>VLOOKUP(B46,weights!A:G,5,FALSE)</f>
        <v>1.32</v>
      </c>
      <c r="L46" s="14">
        <f>VLOOKUP(B46,weights!A:G,6,FALSE)</f>
        <v>7</v>
      </c>
      <c r="M46" s="14">
        <f>VLOOKUP(B46,weights!A:G,7,FALSE)</f>
        <v>10</v>
      </c>
      <c r="N46" t="s">
        <v>3790</v>
      </c>
      <c r="O46">
        <v>104</v>
      </c>
      <c r="P46">
        <v>48.869091162899998</v>
      </c>
      <c r="Q46">
        <v>2.3805425859899998</v>
      </c>
      <c r="R46" s="22"/>
      <c r="S46" s="22"/>
      <c r="T46" s="22"/>
      <c r="U46" s="24">
        <f>R46+S46/60+T46/3600</f>
        <v>0</v>
      </c>
      <c r="V46" s="28">
        <f>ABS(U46-P46)/P46</f>
        <v>1</v>
      </c>
      <c r="W46" s="22"/>
      <c r="X46" s="22"/>
      <c r="Y46" s="22"/>
      <c r="Z46" s="14">
        <f>W46+X46/60+Y46/3600</f>
        <v>0</v>
      </c>
      <c r="AA46" s="26">
        <f>ABS(Z46-Q46)/Q46</f>
        <v>1</v>
      </c>
      <c r="AB46" s="26"/>
      <c r="AC46" s="14">
        <f>P46</f>
        <v>48.869091162899998</v>
      </c>
      <c r="AD46" s="14">
        <f>Q46</f>
        <v>2.3805425859899998</v>
      </c>
    </row>
    <row r="47" spans="1:30" s="14" customFormat="1">
      <c r="A47" s="12">
        <v>20</v>
      </c>
      <c r="B47" s="12" t="s">
        <v>116</v>
      </c>
      <c r="C47" s="14" t="str">
        <f>VLOOKUP(B47,weights!A:B,2,FALSE)</f>
        <v>P</v>
      </c>
      <c r="D47" s="13">
        <v>45</v>
      </c>
      <c r="E47" s="14" t="s">
        <v>102</v>
      </c>
      <c r="G47" s="15"/>
      <c r="H47" s="18"/>
      <c r="I47" s="18"/>
      <c r="K47" s="14">
        <f>VLOOKUP(B47,weights!A:G,5,FALSE)</f>
        <v>1.32</v>
      </c>
      <c r="L47" s="14">
        <f>VLOOKUP(B47,weights!A:G,6,FALSE)</f>
        <v>7</v>
      </c>
      <c r="M47" s="14">
        <f>VLOOKUP(B47,weights!A:G,7,FALSE)</f>
        <v>10</v>
      </c>
      <c r="N47" t="s">
        <v>4838</v>
      </c>
      <c r="O47">
        <v>204</v>
      </c>
      <c r="P47">
        <v>48.866800035099999</v>
      </c>
      <c r="Q47">
        <v>2.3833832504600001</v>
      </c>
      <c r="R47" s="22"/>
      <c r="S47" s="22"/>
      <c r="T47" s="22"/>
      <c r="U47" s="24">
        <f>R47+S47/60+T47/3600</f>
        <v>0</v>
      </c>
      <c r="V47" s="28">
        <f>ABS(U47-P47)/P47</f>
        <v>1</v>
      </c>
      <c r="W47" s="22"/>
      <c r="X47" s="22"/>
      <c r="Y47" s="22"/>
      <c r="Z47" s="14">
        <f>W47+X47/60+Y47/3600</f>
        <v>0</v>
      </c>
      <c r="AA47" s="26">
        <f>ABS(Z47-Q47)/Q47</f>
        <v>1</v>
      </c>
      <c r="AB47" s="26"/>
      <c r="AC47" s="14">
        <f>P47</f>
        <v>48.866800035099999</v>
      </c>
      <c r="AD47" s="14">
        <f>Q47</f>
        <v>2.3833832504600001</v>
      </c>
    </row>
    <row r="48" spans="1:30" s="14" customFormat="1">
      <c r="A48" s="12">
        <v>21</v>
      </c>
      <c r="B48" s="12" t="s">
        <v>116</v>
      </c>
      <c r="C48" s="14" t="str">
        <f>VLOOKUP(B48,weights!A:B,2,FALSE)</f>
        <v>P</v>
      </c>
      <c r="D48" s="13">
        <v>46</v>
      </c>
      <c r="E48" s="14" t="s">
        <v>103</v>
      </c>
      <c r="G48" s="15" t="s">
        <v>109</v>
      </c>
      <c r="H48" s="18" t="s">
        <v>1617</v>
      </c>
      <c r="I48" s="18"/>
      <c r="K48" s="14">
        <f>VLOOKUP(B48,weights!A:G,5,FALSE)</f>
        <v>1.32</v>
      </c>
      <c r="L48" s="14">
        <f>VLOOKUP(B48,weights!A:G,6,FALSE)</f>
        <v>7</v>
      </c>
      <c r="M48" s="14">
        <f>VLOOKUP(B48,weights!A:G,7,FALSE)</f>
        <v>10</v>
      </c>
      <c r="N48" t="s">
        <v>5139</v>
      </c>
      <c r="O48">
        <v>14</v>
      </c>
      <c r="P48">
        <v>48.862949833000002</v>
      </c>
      <c r="Q48">
        <v>2.3874349509999999</v>
      </c>
      <c r="R48" s="22"/>
      <c r="S48" s="22"/>
      <c r="T48" s="22"/>
      <c r="U48" s="24">
        <f>R48+S48/60+T48/3600</f>
        <v>0</v>
      </c>
      <c r="V48" s="28">
        <f>ABS(U48-P48)/P48</f>
        <v>1</v>
      </c>
      <c r="W48" s="22"/>
      <c r="X48" s="22"/>
      <c r="Y48" s="22"/>
      <c r="Z48" s="14">
        <f>W48+X48/60+Y48/3600</f>
        <v>0</v>
      </c>
      <c r="AA48" s="26">
        <f>ABS(Z48-Q48)/Q48</f>
        <v>1</v>
      </c>
      <c r="AB48" s="26"/>
      <c r="AC48" s="14">
        <f>P48</f>
        <v>48.862949833000002</v>
      </c>
      <c r="AD48" s="14">
        <f>Q48</f>
        <v>2.3874349509999999</v>
      </c>
    </row>
    <row r="49" spans="1:30" s="14" customFormat="1">
      <c r="A49" s="12">
        <v>22</v>
      </c>
      <c r="B49" s="12" t="s">
        <v>116</v>
      </c>
      <c r="C49" s="14" t="str">
        <f>VLOOKUP(B49,weights!A:B,2,FALSE)</f>
        <v>P</v>
      </c>
      <c r="D49" s="13">
        <v>47</v>
      </c>
      <c r="E49" s="14" t="s">
        <v>104</v>
      </c>
      <c r="G49" s="15"/>
      <c r="H49" s="18"/>
      <c r="I49" s="18"/>
      <c r="K49" s="14">
        <f>VLOOKUP(B49,weights!A:G,5,FALSE)</f>
        <v>1.32</v>
      </c>
      <c r="L49" s="14">
        <f>VLOOKUP(B49,weights!A:G,6,FALSE)</f>
        <v>7</v>
      </c>
      <c r="M49" s="14">
        <f>VLOOKUP(B49,weights!A:G,7,FALSE)</f>
        <v>10</v>
      </c>
      <c r="N49" t="s">
        <v>5165</v>
      </c>
      <c r="O49">
        <v>829</v>
      </c>
      <c r="P49">
        <v>48.858466549399999</v>
      </c>
      <c r="Q49">
        <v>2.3897298523499999</v>
      </c>
      <c r="R49" s="22"/>
      <c r="S49" s="22"/>
      <c r="T49" s="22"/>
      <c r="U49" s="24">
        <f>R49+S49/60+T49/3600</f>
        <v>0</v>
      </c>
      <c r="V49" s="28">
        <f>ABS(U49-P49)/P49</f>
        <v>1</v>
      </c>
      <c r="W49" s="22"/>
      <c r="X49" s="22"/>
      <c r="Y49" s="22"/>
      <c r="Z49" s="14">
        <f>W49+X49/60+Y49/3600</f>
        <v>0</v>
      </c>
      <c r="AA49" s="26">
        <f>ABS(Z49-Q49)/Q49</f>
        <v>1</v>
      </c>
      <c r="AB49" s="26"/>
      <c r="AC49" s="14">
        <f>P49</f>
        <v>48.858466549399999</v>
      </c>
      <c r="AD49" s="14">
        <f>Q49</f>
        <v>2.3897298523499999</v>
      </c>
    </row>
    <row r="50" spans="1:30" s="14" customFormat="1">
      <c r="A50" s="12">
        <v>23</v>
      </c>
      <c r="B50" s="12" t="s">
        <v>116</v>
      </c>
      <c r="C50" s="14" t="str">
        <f>VLOOKUP(B50,weights!A:B,2,FALSE)</f>
        <v>P</v>
      </c>
      <c r="D50" s="13">
        <v>48</v>
      </c>
      <c r="E50" s="14" t="s">
        <v>105</v>
      </c>
      <c r="G50" s="15"/>
      <c r="H50" s="18"/>
      <c r="I50" s="18"/>
      <c r="K50" s="14">
        <f>VLOOKUP(B50,weights!A:G,5,FALSE)</f>
        <v>1.32</v>
      </c>
      <c r="L50" s="14">
        <f>VLOOKUP(B50,weights!A:G,6,FALSE)</f>
        <v>7</v>
      </c>
      <c r="M50" s="14">
        <f>VLOOKUP(B50,weights!A:G,7,FALSE)</f>
        <v>10</v>
      </c>
      <c r="N50" t="s">
        <v>3159</v>
      </c>
      <c r="O50">
        <v>828</v>
      </c>
      <c r="P50">
        <v>48.856377357200003</v>
      </c>
      <c r="Q50">
        <v>2.3945619445599999</v>
      </c>
      <c r="R50" s="22"/>
      <c r="S50" s="22"/>
      <c r="T50" s="22"/>
      <c r="U50" s="24">
        <f>R50+S50/60+T50/3600</f>
        <v>0</v>
      </c>
      <c r="V50" s="28">
        <f>ABS(U50-P50)/P50</f>
        <v>1</v>
      </c>
      <c r="W50" s="22"/>
      <c r="X50" s="22"/>
      <c r="Y50" s="22"/>
      <c r="Z50" s="14">
        <f>W50+X50/60+Y50/3600</f>
        <v>0</v>
      </c>
      <c r="AA50" s="26">
        <f>ABS(Z50-Q50)/Q50</f>
        <v>1</v>
      </c>
      <c r="AB50" s="26"/>
      <c r="AC50" s="14">
        <f>P50</f>
        <v>48.856377357200003</v>
      </c>
      <c r="AD50" s="14">
        <f>Q50</f>
        <v>2.3945619445599999</v>
      </c>
    </row>
    <row r="51" spans="1:30" s="14" customFormat="1">
      <c r="A51" s="12">
        <v>24</v>
      </c>
      <c r="B51" s="12" t="s">
        <v>116</v>
      </c>
      <c r="C51" s="14" t="str">
        <f>VLOOKUP(B51,weights!A:B,2,FALSE)</f>
        <v>P</v>
      </c>
      <c r="D51" s="13">
        <v>49</v>
      </c>
      <c r="E51" s="14" t="s">
        <v>106</v>
      </c>
      <c r="G51" s="15"/>
      <c r="H51" s="18"/>
      <c r="I51" s="18"/>
      <c r="K51" s="14">
        <f>VLOOKUP(B51,weights!A:G,5,FALSE)</f>
        <v>1.32</v>
      </c>
      <c r="L51" s="14">
        <f>VLOOKUP(B51,weights!A:G,6,FALSE)</f>
        <v>7</v>
      </c>
      <c r="M51" s="14">
        <f>VLOOKUP(B51,weights!A:G,7,FALSE)</f>
        <v>10</v>
      </c>
      <c r="N51" t="s">
        <v>3259</v>
      </c>
      <c r="O51">
        <v>303</v>
      </c>
      <c r="P51">
        <v>48.851510278200003</v>
      </c>
      <c r="Q51">
        <v>2.3983023442700002</v>
      </c>
      <c r="R51" s="22"/>
      <c r="S51" s="22"/>
      <c r="T51" s="22"/>
      <c r="U51" s="24">
        <f>R51+S51/60+T51/3600</f>
        <v>0</v>
      </c>
      <c r="V51" s="28">
        <f>ABS(U51-P51)/P51</f>
        <v>1</v>
      </c>
      <c r="W51" s="22"/>
      <c r="X51" s="22"/>
      <c r="Y51" s="22"/>
      <c r="Z51" s="14">
        <f>W51+X51/60+Y51/3600</f>
        <v>0</v>
      </c>
      <c r="AA51" s="26">
        <f>ABS(Z51-Q51)/Q51</f>
        <v>1</v>
      </c>
      <c r="AB51" s="26"/>
      <c r="AC51" s="14">
        <f>P51</f>
        <v>48.851510278200003</v>
      </c>
      <c r="AD51" s="14">
        <f>Q51</f>
        <v>2.3983023442700002</v>
      </c>
    </row>
    <row r="52" spans="1:30" s="14" customFormat="1">
      <c r="A52" s="12">
        <v>25</v>
      </c>
      <c r="B52" s="12" t="s">
        <v>116</v>
      </c>
      <c r="C52" s="14" t="str">
        <f>VLOOKUP(B52,weights!A:B,2,FALSE)</f>
        <v>P</v>
      </c>
      <c r="D52" s="13">
        <v>50</v>
      </c>
      <c r="E52" s="14" t="s">
        <v>57</v>
      </c>
      <c r="G52" s="15" t="s">
        <v>114</v>
      </c>
      <c r="H52" s="18" t="s">
        <v>1618</v>
      </c>
      <c r="I52" s="18" t="s">
        <v>1600</v>
      </c>
      <c r="K52" s="14">
        <f>VLOOKUP(B52,weights!A:G,5,FALSE)</f>
        <v>1.32</v>
      </c>
      <c r="L52" s="14">
        <f>VLOOKUP(B52,weights!A:G,6,FALSE)</f>
        <v>7</v>
      </c>
      <c r="M52" s="14">
        <f>VLOOKUP(B52,weights!A:G,7,FALSE)</f>
        <v>10</v>
      </c>
      <c r="N52" t="s">
        <v>4980</v>
      </c>
      <c r="O52">
        <v>475</v>
      </c>
      <c r="P52">
        <v>48.848237110399999</v>
      </c>
      <c r="Q52">
        <v>2.3958235888299999</v>
      </c>
      <c r="R52" s="22"/>
      <c r="S52" s="22"/>
      <c r="T52" s="22"/>
      <c r="U52" s="24">
        <f>R52+S52/60+T52/3600</f>
        <v>0</v>
      </c>
      <c r="V52" s="28">
        <f>ABS(U52-P52)/P52</f>
        <v>1</v>
      </c>
      <c r="W52" s="22"/>
      <c r="X52" s="22"/>
      <c r="Y52" s="22"/>
      <c r="Z52" s="14">
        <f>W52+X52/60+Y52/3600</f>
        <v>0</v>
      </c>
      <c r="AA52" s="26">
        <f>ABS(Z52-Q52)/Q52</f>
        <v>1</v>
      </c>
      <c r="AB52" s="26"/>
      <c r="AC52" s="14">
        <f>P52</f>
        <v>48.848237110399999</v>
      </c>
      <c r="AD52" s="14">
        <f>Q52</f>
        <v>2.3958235888299999</v>
      </c>
    </row>
    <row r="53" spans="1:30" s="14" customFormat="1">
      <c r="A53" s="12">
        <v>0</v>
      </c>
      <c r="B53" s="12" t="s">
        <v>109</v>
      </c>
      <c r="C53" s="14" t="str">
        <f>VLOOKUP(B53,weights!A:B,2,FALSE)</f>
        <v>P</v>
      </c>
      <c r="D53" s="13">
        <v>51</v>
      </c>
      <c r="E53" s="14" t="s">
        <v>117</v>
      </c>
      <c r="G53" s="15"/>
      <c r="H53" s="18"/>
      <c r="I53" s="18"/>
      <c r="K53" s="14">
        <f>VLOOKUP(B53,weights!A:G,5,FALSE)</f>
        <v>1.24</v>
      </c>
      <c r="L53" s="14">
        <f>VLOOKUP(B53,weights!A:G,6,FALSE)</f>
        <v>7</v>
      </c>
      <c r="M53" s="14">
        <f>VLOOKUP(B53,weights!A:G,7,FALSE)</f>
        <v>10</v>
      </c>
      <c r="N53" t="s">
        <v>5231</v>
      </c>
      <c r="O53">
        <v>840</v>
      </c>
      <c r="P53">
        <v>48.897821067099997</v>
      </c>
      <c r="Q53">
        <v>2.2798095866899999</v>
      </c>
      <c r="R53" s="22"/>
      <c r="S53" s="22"/>
      <c r="T53" s="22"/>
      <c r="U53" s="24">
        <f>R53+S53/60+T53/3600</f>
        <v>0</v>
      </c>
      <c r="V53" s="28">
        <f>ABS(U53-P53)/P53</f>
        <v>1</v>
      </c>
      <c r="W53" s="22"/>
      <c r="X53" s="22"/>
      <c r="Y53" s="22"/>
      <c r="Z53" s="14">
        <f>W53+X53/60+Y53/3600</f>
        <v>0</v>
      </c>
      <c r="AA53" s="26">
        <f>ABS(Z53-Q53)/Q53</f>
        <v>1</v>
      </c>
      <c r="AB53" s="26"/>
      <c r="AC53" s="14">
        <f>P53</f>
        <v>48.897821067099997</v>
      </c>
      <c r="AD53" s="14">
        <f>Q53</f>
        <v>2.2798095866899999</v>
      </c>
    </row>
    <row r="54" spans="1:30" s="14" customFormat="1">
      <c r="A54" s="12">
        <v>1</v>
      </c>
      <c r="B54" s="12" t="s">
        <v>109</v>
      </c>
      <c r="C54" s="14" t="str">
        <f>VLOOKUP(B54,weights!A:B,2,FALSE)</f>
        <v>P</v>
      </c>
      <c r="D54" s="13">
        <v>52</v>
      </c>
      <c r="E54" s="14" t="s">
        <v>118</v>
      </c>
      <c r="G54" s="15"/>
      <c r="H54" s="18"/>
      <c r="I54" s="18"/>
      <c r="K54" s="14">
        <f>VLOOKUP(B54,weights!A:G,5,FALSE)</f>
        <v>1.24</v>
      </c>
      <c r="L54" s="14">
        <f>VLOOKUP(B54,weights!A:G,6,FALSE)</f>
        <v>7</v>
      </c>
      <c r="M54" s="14">
        <f>VLOOKUP(B54,weights!A:G,7,FALSE)</f>
        <v>10</v>
      </c>
      <c r="N54" t="s">
        <v>3168</v>
      </c>
      <c r="O54">
        <v>316</v>
      </c>
      <c r="P54">
        <v>48.892082786000003</v>
      </c>
      <c r="Q54">
        <v>2.2850095027499999</v>
      </c>
      <c r="R54" s="22"/>
      <c r="S54" s="22"/>
      <c r="T54" s="22"/>
      <c r="U54" s="24">
        <f>R54+S54/60+T54/3600</f>
        <v>0</v>
      </c>
      <c r="V54" s="28">
        <f>ABS(U54-P54)/P54</f>
        <v>1</v>
      </c>
      <c r="W54" s="22"/>
      <c r="X54" s="22"/>
      <c r="Y54" s="22"/>
      <c r="Z54" s="14">
        <f>W54+X54/60+Y54/3600</f>
        <v>0</v>
      </c>
      <c r="AA54" s="26">
        <f>ABS(Z54-Q54)/Q54</f>
        <v>1</v>
      </c>
      <c r="AB54" s="26"/>
      <c r="AC54" s="14">
        <f>P54</f>
        <v>48.892082786000003</v>
      </c>
      <c r="AD54" s="14">
        <f>Q54</f>
        <v>2.2850095027499999</v>
      </c>
    </row>
    <row r="55" spans="1:30" s="14" customFormat="1">
      <c r="A55" s="12">
        <v>2</v>
      </c>
      <c r="B55" s="12" t="s">
        <v>109</v>
      </c>
      <c r="C55" s="14" t="str">
        <f>VLOOKUP(B55,weights!A:B,2,FALSE)</f>
        <v>P</v>
      </c>
      <c r="D55" s="13">
        <v>53</v>
      </c>
      <c r="E55" s="14" t="s">
        <v>119</v>
      </c>
      <c r="G55" s="15"/>
      <c r="H55" s="18"/>
      <c r="I55" s="18"/>
      <c r="K55" s="14">
        <f>VLOOKUP(B55,weights!A:G,5,FALSE)</f>
        <v>1.24</v>
      </c>
      <c r="L55" s="14">
        <f>VLOOKUP(B55,weights!A:G,6,FALSE)</f>
        <v>7</v>
      </c>
      <c r="M55" s="14">
        <f>VLOOKUP(B55,weights!A:G,7,FALSE)</f>
        <v>10</v>
      </c>
      <c r="N55" t="s">
        <v>4657</v>
      </c>
      <c r="O55">
        <v>17</v>
      </c>
      <c r="P55">
        <v>48.888706019799997</v>
      </c>
      <c r="Q55">
        <v>2.2880836330499998</v>
      </c>
      <c r="R55" s="22"/>
      <c r="S55" s="22"/>
      <c r="T55" s="22"/>
      <c r="U55" s="24">
        <f>R55+S55/60+T55/3600</f>
        <v>0</v>
      </c>
      <c r="V55" s="28">
        <f>ABS(U55-P55)/P55</f>
        <v>1</v>
      </c>
      <c r="W55" s="22"/>
      <c r="X55" s="22"/>
      <c r="Y55" s="22"/>
      <c r="Z55" s="14">
        <f>W55+X55/60+Y55/3600</f>
        <v>0</v>
      </c>
      <c r="AA55" s="26">
        <f>ABS(Z55-Q55)/Q55</f>
        <v>1</v>
      </c>
      <c r="AB55" s="26"/>
      <c r="AC55" s="14">
        <f>P55</f>
        <v>48.888706019799997</v>
      </c>
      <c r="AD55" s="14">
        <f>Q55</f>
        <v>2.2880836330499998</v>
      </c>
    </row>
    <row r="56" spans="1:30" s="14" customFormat="1">
      <c r="A56" s="12">
        <v>3</v>
      </c>
      <c r="B56" s="12" t="s">
        <v>109</v>
      </c>
      <c r="C56" s="14" t="str">
        <f>VLOOKUP(B56,weights!A:B,2,FALSE)</f>
        <v>P</v>
      </c>
      <c r="D56" s="13">
        <v>54</v>
      </c>
      <c r="E56" s="14" t="s">
        <v>120</v>
      </c>
      <c r="G56" s="15"/>
      <c r="H56" s="18"/>
      <c r="I56" s="18"/>
      <c r="K56" s="14">
        <f>VLOOKUP(B56,weights!A:G,5,FALSE)</f>
        <v>1.24</v>
      </c>
      <c r="L56" s="14">
        <f>VLOOKUP(B56,weights!A:G,6,FALSE)</f>
        <v>7</v>
      </c>
      <c r="M56" s="14">
        <f>VLOOKUP(B56,weights!A:G,7,FALSE)</f>
        <v>10</v>
      </c>
      <c r="N56" t="s">
        <v>5307</v>
      </c>
      <c r="O56">
        <v>315</v>
      </c>
      <c r="P56">
        <v>48.885793105200001</v>
      </c>
      <c r="Q56">
        <v>2.2925823141000001</v>
      </c>
      <c r="R56" s="22"/>
      <c r="S56" s="22"/>
      <c r="T56" s="22"/>
      <c r="U56" s="24">
        <f>R56+S56/60+T56/3600</f>
        <v>0</v>
      </c>
      <c r="V56" s="28">
        <f>ABS(U56-P56)/P56</f>
        <v>1</v>
      </c>
      <c r="W56" s="22"/>
      <c r="X56" s="22"/>
      <c r="Y56" s="22"/>
      <c r="Z56" s="14">
        <f>W56+X56/60+Y56/3600</f>
        <v>0</v>
      </c>
      <c r="AA56" s="26">
        <f>ABS(Z56-Q56)/Q56</f>
        <v>1</v>
      </c>
      <c r="AB56" s="26"/>
      <c r="AC56" s="14">
        <f>P56</f>
        <v>48.885793105200001</v>
      </c>
      <c r="AD56" s="14">
        <f>Q56</f>
        <v>2.2925823141000001</v>
      </c>
    </row>
    <row r="57" spans="1:30" s="14" customFormat="1">
      <c r="A57" s="12">
        <v>4</v>
      </c>
      <c r="B57" s="12" t="s">
        <v>109</v>
      </c>
      <c r="C57" s="14" t="str">
        <f>VLOOKUP(B57,weights!A:B,2,FALSE)</f>
        <v>P</v>
      </c>
      <c r="D57" s="13">
        <v>55</v>
      </c>
      <c r="E57" s="14" t="s">
        <v>326</v>
      </c>
      <c r="G57" s="15" t="s">
        <v>139</v>
      </c>
      <c r="H57" s="18"/>
      <c r="I57" s="18" t="s">
        <v>1619</v>
      </c>
      <c r="K57" s="14">
        <f>VLOOKUP(B57,weights!A:G,5,FALSE)</f>
        <v>1.24</v>
      </c>
      <c r="L57" s="14">
        <f>VLOOKUP(B57,weights!A:G,6,FALSE)</f>
        <v>7</v>
      </c>
      <c r="M57" s="14">
        <f>VLOOKUP(B57,weights!A:G,7,FALSE)</f>
        <v>10</v>
      </c>
      <c r="N57" t="s">
        <v>5143</v>
      </c>
      <c r="O57">
        <v>642</v>
      </c>
      <c r="P57">
        <v>48.885028422200001</v>
      </c>
      <c r="Q57">
        <v>2.2973623007200001</v>
      </c>
      <c r="R57" s="22"/>
      <c r="S57" s="22"/>
      <c r="T57" s="22"/>
      <c r="U57" s="24">
        <f>R57+S57/60+T57/3600</f>
        <v>0</v>
      </c>
      <c r="V57" s="28">
        <f>ABS(U57-P57)/P57</f>
        <v>1</v>
      </c>
      <c r="W57" s="22"/>
      <c r="X57" s="22"/>
      <c r="Y57" s="22"/>
      <c r="Z57" s="14">
        <f>W57+X57/60+Y57/3600</f>
        <v>0</v>
      </c>
      <c r="AA57" s="26">
        <f>ABS(Z57-Q57)/Q57</f>
        <v>1</v>
      </c>
      <c r="AB57" s="26"/>
      <c r="AC57" s="14">
        <f>P57</f>
        <v>48.885028422200001</v>
      </c>
      <c r="AD57" s="14">
        <f>Q57</f>
        <v>2.2973623007200001</v>
      </c>
    </row>
    <row r="58" spans="1:30" s="14" customFormat="1">
      <c r="A58" s="12">
        <v>5</v>
      </c>
      <c r="B58" s="12" t="s">
        <v>109</v>
      </c>
      <c r="C58" s="14" t="str">
        <f>VLOOKUP(B58,weights!A:B,2,FALSE)</f>
        <v>P</v>
      </c>
      <c r="D58" s="13">
        <v>56</v>
      </c>
      <c r="E58" s="14" t="s">
        <v>121</v>
      </c>
      <c r="G58" s="15"/>
      <c r="H58" s="18"/>
      <c r="I58" s="18"/>
      <c r="K58" s="14">
        <f>VLOOKUP(B58,weights!A:G,5,FALSE)</f>
        <v>1.24</v>
      </c>
      <c r="L58" s="14">
        <f>VLOOKUP(B58,weights!A:G,6,FALSE)</f>
        <v>7</v>
      </c>
      <c r="M58" s="14">
        <f>VLOOKUP(B58,weights!A:G,7,FALSE)</f>
        <v>10</v>
      </c>
      <c r="N58" t="s">
        <v>6012</v>
      </c>
      <c r="O58">
        <v>314</v>
      </c>
      <c r="P58">
        <v>48.883809201200002</v>
      </c>
      <c r="Q58">
        <v>2.3046744405299999</v>
      </c>
      <c r="R58" s="22"/>
      <c r="S58" s="22"/>
      <c r="T58" s="22"/>
      <c r="U58" s="24">
        <f>R58+S58/60+T58/3600</f>
        <v>0</v>
      </c>
      <c r="V58" s="28">
        <f>ABS(U58-P58)/P58</f>
        <v>1</v>
      </c>
      <c r="W58" s="22"/>
      <c r="X58" s="22"/>
      <c r="Y58" s="22"/>
      <c r="Z58" s="14">
        <f>W58+X58/60+Y58/3600</f>
        <v>0</v>
      </c>
      <c r="AA58" s="26">
        <f>ABS(Z58-Q58)/Q58</f>
        <v>1</v>
      </c>
      <c r="AB58" s="26"/>
      <c r="AC58" s="14">
        <f>P58</f>
        <v>48.883809201200002</v>
      </c>
      <c r="AD58" s="14">
        <f>Q58</f>
        <v>2.3046744405299999</v>
      </c>
    </row>
    <row r="59" spans="1:30" s="14" customFormat="1">
      <c r="A59" s="12">
        <v>6</v>
      </c>
      <c r="B59" s="12" t="s">
        <v>109</v>
      </c>
      <c r="C59" s="14" t="str">
        <f>VLOOKUP(B59,weights!A:B,2,FALSE)</f>
        <v>P</v>
      </c>
      <c r="D59" s="13">
        <v>57</v>
      </c>
      <c r="E59" s="14" t="s">
        <v>122</v>
      </c>
      <c r="G59" s="15"/>
      <c r="H59" s="18"/>
      <c r="I59" s="18"/>
      <c r="K59" s="14">
        <f>VLOOKUP(B59,weights!A:G,5,FALSE)</f>
        <v>1.24</v>
      </c>
      <c r="L59" s="14">
        <f>VLOOKUP(B59,weights!A:G,6,FALSE)</f>
        <v>7</v>
      </c>
      <c r="M59" s="14">
        <f>VLOOKUP(B59,weights!A:G,7,FALSE)</f>
        <v>10</v>
      </c>
      <c r="N59" t="s">
        <v>4757</v>
      </c>
      <c r="O59">
        <v>16</v>
      </c>
      <c r="P59">
        <v>48.882891917499997</v>
      </c>
      <c r="Q59">
        <v>2.30905226455</v>
      </c>
      <c r="R59" s="22"/>
      <c r="S59" s="22"/>
      <c r="T59" s="22"/>
      <c r="U59" s="24">
        <f>R59+S59/60+T59/3600</f>
        <v>0</v>
      </c>
      <c r="V59" s="28">
        <f>ABS(U59-P59)/P59</f>
        <v>1</v>
      </c>
      <c r="W59" s="22"/>
      <c r="X59" s="22"/>
      <c r="Y59" s="22"/>
      <c r="Z59" s="14">
        <f>W59+X59/60+Y59/3600</f>
        <v>0</v>
      </c>
      <c r="AA59" s="26">
        <f>ABS(Z59-Q59)/Q59</f>
        <v>1</v>
      </c>
      <c r="AB59" s="26"/>
      <c r="AC59" s="14">
        <f>P59</f>
        <v>48.882891917499997</v>
      </c>
      <c r="AD59" s="14">
        <f>Q59</f>
        <v>2.30905226455</v>
      </c>
    </row>
    <row r="60" spans="1:30" s="14" customFormat="1">
      <c r="A60" s="12">
        <v>7</v>
      </c>
      <c r="B60" s="12" t="s">
        <v>109</v>
      </c>
      <c r="C60" s="14" t="str">
        <f>VLOOKUP(B60,weights!A:B,2,FALSE)</f>
        <v>P</v>
      </c>
      <c r="D60" s="13">
        <v>58</v>
      </c>
      <c r="E60" s="14" t="s">
        <v>88</v>
      </c>
      <c r="G60" s="15" t="s">
        <v>116</v>
      </c>
      <c r="H60" s="18" t="s">
        <v>1620</v>
      </c>
      <c r="I60" s="18"/>
      <c r="K60" s="14">
        <f>VLOOKUP(B60,weights!A:G,5,FALSE)</f>
        <v>1.24</v>
      </c>
      <c r="L60" s="14">
        <f>VLOOKUP(B60,weights!A:G,6,FALSE)</f>
        <v>7</v>
      </c>
      <c r="M60" s="14">
        <f>VLOOKUP(B60,weights!A:G,7,FALSE)</f>
        <v>10</v>
      </c>
      <c r="N60" t="s">
        <v>5965</v>
      </c>
      <c r="O60">
        <v>208</v>
      </c>
      <c r="P60">
        <v>48.881150028500002</v>
      </c>
      <c r="Q60">
        <v>2.31517662622</v>
      </c>
      <c r="R60" s="22"/>
      <c r="S60" s="22"/>
      <c r="T60" s="22"/>
      <c r="U60" s="24">
        <f>R60+S60/60+T60/3600</f>
        <v>0</v>
      </c>
      <c r="V60" s="28">
        <f>ABS(U60-P60)/P60</f>
        <v>1</v>
      </c>
      <c r="W60" s="22"/>
      <c r="X60" s="22"/>
      <c r="Y60" s="22"/>
      <c r="Z60" s="14">
        <f>W60+X60/60+Y60/3600</f>
        <v>0</v>
      </c>
      <c r="AA60" s="26">
        <f>ABS(Z60-Q60)/Q60</f>
        <v>1</v>
      </c>
      <c r="AB60" s="26"/>
      <c r="AC60" s="14">
        <f>P60</f>
        <v>48.881150028500002</v>
      </c>
      <c r="AD60" s="14">
        <f>Q60</f>
        <v>2.31517662622</v>
      </c>
    </row>
    <row r="61" spans="1:30" s="14" customFormat="1">
      <c r="A61" s="12">
        <v>8</v>
      </c>
      <c r="B61" s="12" t="s">
        <v>109</v>
      </c>
      <c r="C61" s="14" t="str">
        <f>VLOOKUP(B61,weights!A:B,2,FALSE)</f>
        <v>P</v>
      </c>
      <c r="D61" s="13">
        <v>59</v>
      </c>
      <c r="E61" s="14" t="s">
        <v>327</v>
      </c>
      <c r="G61" s="15"/>
      <c r="H61" s="18"/>
      <c r="I61" s="18"/>
      <c r="K61" s="14">
        <f>VLOOKUP(B61,weights!A:G,5,FALSE)</f>
        <v>1.24</v>
      </c>
      <c r="L61" s="14">
        <f>VLOOKUP(B61,weights!A:G,6,FALSE)</f>
        <v>7</v>
      </c>
      <c r="M61" s="14">
        <f>VLOOKUP(B61,weights!A:G,7,FALSE)</f>
        <v>10</v>
      </c>
      <c r="N61" t="s">
        <v>3993</v>
      </c>
      <c r="O61">
        <v>113</v>
      </c>
      <c r="P61">
        <v>48.8787703685</v>
      </c>
      <c r="Q61">
        <v>2.3222652131200001</v>
      </c>
      <c r="R61" s="22"/>
      <c r="S61" s="22"/>
      <c r="T61" s="22"/>
      <c r="U61" s="24">
        <f>R61+S61/60+T61/3600</f>
        <v>0</v>
      </c>
      <c r="V61" s="28">
        <f>ABS(U61-P61)/P61</f>
        <v>1</v>
      </c>
      <c r="W61" s="22"/>
      <c r="X61" s="22"/>
      <c r="Y61" s="22"/>
      <c r="Z61" s="14">
        <f>W61+X61/60+Y61/3600</f>
        <v>0</v>
      </c>
      <c r="AA61" s="26">
        <f>ABS(Z61-Q61)/Q61</f>
        <v>1</v>
      </c>
      <c r="AB61" s="26"/>
      <c r="AC61" s="14">
        <f>P61</f>
        <v>48.8787703685</v>
      </c>
      <c r="AD61" s="14">
        <f>Q61</f>
        <v>2.3222652131200001</v>
      </c>
    </row>
    <row r="62" spans="1:30" s="14" customFormat="1">
      <c r="A62" s="12">
        <v>9</v>
      </c>
      <c r="B62" s="12" t="s">
        <v>109</v>
      </c>
      <c r="C62" s="14" t="str">
        <f>VLOOKUP(B62,weights!A:B,2,FALSE)</f>
        <v>P</v>
      </c>
      <c r="D62" s="13">
        <v>60</v>
      </c>
      <c r="E62" s="14" t="s">
        <v>123</v>
      </c>
      <c r="G62" s="15" t="s">
        <v>1482</v>
      </c>
      <c r="H62" s="18" t="s">
        <v>1621</v>
      </c>
      <c r="I62" s="18" t="s">
        <v>1623</v>
      </c>
      <c r="K62" s="14">
        <f>VLOOKUP(B62,weights!A:G,5,FALSE)</f>
        <v>1.24</v>
      </c>
      <c r="L62" s="14">
        <f>VLOOKUP(B62,weights!A:G,6,FALSE)</f>
        <v>7</v>
      </c>
      <c r="M62" s="14">
        <f>VLOOKUP(B62,weights!A:G,7,FALSE)</f>
        <v>10</v>
      </c>
      <c r="N62" t="s">
        <v>5572</v>
      </c>
      <c r="O62">
        <v>818</v>
      </c>
      <c r="P62">
        <v>48.875933152400002</v>
      </c>
      <c r="Q62">
        <v>2.3257279613900002</v>
      </c>
      <c r="R62" s="22"/>
      <c r="S62" s="22"/>
      <c r="T62" s="22"/>
      <c r="U62" s="24">
        <f>R62+S62/60+T62/3600</f>
        <v>0</v>
      </c>
      <c r="V62" s="28">
        <f>ABS(U62-P62)/P62</f>
        <v>1</v>
      </c>
      <c r="W62" s="22"/>
      <c r="X62" s="22"/>
      <c r="Y62" s="22"/>
      <c r="Z62" s="14">
        <f>W62+X62/60+Y62/3600</f>
        <v>0</v>
      </c>
      <c r="AA62" s="26">
        <f>ABS(Z62-Q62)/Q62</f>
        <v>1</v>
      </c>
      <c r="AB62" s="26"/>
      <c r="AC62" s="14">
        <f>P62</f>
        <v>48.875933152400002</v>
      </c>
      <c r="AD62" s="14">
        <f>Q62</f>
        <v>2.3257279613900002</v>
      </c>
    </row>
    <row r="63" spans="1:30" s="14" customFormat="1">
      <c r="A63" s="12">
        <v>10</v>
      </c>
      <c r="B63" s="12" t="s">
        <v>109</v>
      </c>
      <c r="C63" s="14" t="str">
        <f>VLOOKUP(B63,weights!A:B,2,FALSE)</f>
        <v>P</v>
      </c>
      <c r="D63" s="13">
        <v>61</v>
      </c>
      <c r="E63" s="14" t="s">
        <v>124</v>
      </c>
      <c r="G63" s="15" t="s">
        <v>1444</v>
      </c>
      <c r="H63" s="18" t="s">
        <v>1624</v>
      </c>
      <c r="I63" s="18" t="s">
        <v>1625</v>
      </c>
      <c r="K63" s="14">
        <f>VLOOKUP(B63,weights!A:G,5,FALSE)</f>
        <v>1.24</v>
      </c>
      <c r="L63" s="14">
        <f>VLOOKUP(B63,weights!A:G,6,FALSE)</f>
        <v>7</v>
      </c>
      <c r="M63" s="14">
        <f>VLOOKUP(B63,weights!A:G,7,FALSE)</f>
        <v>10</v>
      </c>
      <c r="N63" t="s">
        <v>4205</v>
      </c>
      <c r="O63">
        <v>15</v>
      </c>
      <c r="P63">
        <v>48.873806733899997</v>
      </c>
      <c r="Q63">
        <v>2.3269998588799998</v>
      </c>
      <c r="R63" s="22"/>
      <c r="S63" s="22"/>
      <c r="T63" s="22"/>
      <c r="U63" s="24">
        <f>R63+S63/60+T63/3600</f>
        <v>0</v>
      </c>
      <c r="V63" s="28">
        <f>ABS(U63-P63)/P63</f>
        <v>1</v>
      </c>
      <c r="W63" s="22"/>
      <c r="X63" s="22"/>
      <c r="Y63" s="22"/>
      <c r="Z63" s="14">
        <f>W63+X63/60+Y63/3600</f>
        <v>0</v>
      </c>
      <c r="AA63" s="26">
        <f>ABS(Z63-Q63)/Q63</f>
        <v>1</v>
      </c>
      <c r="AB63" s="26"/>
      <c r="AC63" s="14">
        <f>P63</f>
        <v>48.873806733899997</v>
      </c>
      <c r="AD63" s="14">
        <f>Q63</f>
        <v>2.3269998588799998</v>
      </c>
    </row>
    <row r="64" spans="1:30" s="14" customFormat="1">
      <c r="A64" s="12">
        <v>11</v>
      </c>
      <c r="B64" s="12" t="s">
        <v>109</v>
      </c>
      <c r="C64" s="14" t="str">
        <f>VLOOKUP(B64,weights!A:B,2,FALSE)</f>
        <v>P</v>
      </c>
      <c r="D64" s="13">
        <v>62</v>
      </c>
      <c r="E64" s="14" t="s">
        <v>125</v>
      </c>
      <c r="G64" s="15" t="s">
        <v>140</v>
      </c>
      <c r="H64" s="18" t="s">
        <v>1626</v>
      </c>
      <c r="I64" s="18" t="s">
        <v>1625</v>
      </c>
      <c r="K64" s="14">
        <f>VLOOKUP(B64,weights!A:G,5,FALSE)</f>
        <v>1.24</v>
      </c>
      <c r="L64" s="14">
        <f>VLOOKUP(B64,weights!A:G,6,FALSE)</f>
        <v>7</v>
      </c>
      <c r="M64" s="14">
        <f>VLOOKUP(B64,weights!A:G,7,FALSE)</f>
        <v>10</v>
      </c>
      <c r="N64" t="s">
        <v>5044</v>
      </c>
      <c r="O64">
        <v>67</v>
      </c>
      <c r="P64">
        <v>48.870677681799997</v>
      </c>
      <c r="Q64">
        <v>2.3323546392600001</v>
      </c>
      <c r="R64" s="22"/>
      <c r="S64" s="22"/>
      <c r="T64" s="22"/>
      <c r="U64" s="24">
        <f>R64+S64/60+T64/3600</f>
        <v>0</v>
      </c>
      <c r="V64" s="28">
        <f>ABS(U64-P64)/P64</f>
        <v>1</v>
      </c>
      <c r="W64" s="22"/>
      <c r="X64" s="22"/>
      <c r="Y64" s="22"/>
      <c r="Z64" s="14">
        <f>W64+X64/60+Y64/3600</f>
        <v>0</v>
      </c>
      <c r="AA64" s="26">
        <f>ABS(Z64-Q64)/Q64</f>
        <v>1</v>
      </c>
      <c r="AB64" s="26"/>
      <c r="AC64" s="14">
        <f>P64</f>
        <v>48.870677681799997</v>
      </c>
      <c r="AD64" s="14">
        <f>Q64</f>
        <v>2.3323546392600001</v>
      </c>
    </row>
    <row r="65" spans="1:30" s="14" customFormat="1">
      <c r="A65" s="12">
        <v>12</v>
      </c>
      <c r="B65" s="12" t="s">
        <v>109</v>
      </c>
      <c r="C65" s="14" t="str">
        <f>VLOOKUP(B65,weights!A:B,2,FALSE)</f>
        <v>P</v>
      </c>
      <c r="D65" s="13">
        <v>63</v>
      </c>
      <c r="E65" s="14" t="s">
        <v>126</v>
      </c>
      <c r="G65" s="15"/>
      <c r="H65" s="18"/>
      <c r="I65" s="18"/>
      <c r="K65" s="14">
        <f>VLOOKUP(B65,weights!A:G,5,FALSE)</f>
        <v>1.24</v>
      </c>
      <c r="L65" s="14">
        <f>VLOOKUP(B65,weights!A:G,6,FALSE)</f>
        <v>7</v>
      </c>
      <c r="M65" s="14">
        <f>VLOOKUP(B65,weights!A:G,7,FALSE)</f>
        <v>10</v>
      </c>
      <c r="N65" t="s">
        <v>5410</v>
      </c>
      <c r="O65">
        <v>112</v>
      </c>
      <c r="P65">
        <v>48.869585243499998</v>
      </c>
      <c r="Q65">
        <v>2.3362188475200001</v>
      </c>
      <c r="R65" s="22"/>
      <c r="S65" s="22"/>
      <c r="T65" s="22"/>
      <c r="U65" s="24">
        <f>R65+S65/60+T65/3600</f>
        <v>0</v>
      </c>
      <c r="V65" s="28">
        <f>ABS(U65-P65)/P65</f>
        <v>1</v>
      </c>
      <c r="W65" s="22"/>
      <c r="X65" s="22"/>
      <c r="Y65" s="22"/>
      <c r="Z65" s="14">
        <f>W65+X65/60+Y65/3600</f>
        <v>0</v>
      </c>
      <c r="AA65" s="26">
        <f>ABS(Z65-Q65)/Q65</f>
        <v>1</v>
      </c>
      <c r="AB65" s="26"/>
      <c r="AC65" s="14">
        <f>P65</f>
        <v>48.869585243499998</v>
      </c>
      <c r="AD65" s="14">
        <f>Q65</f>
        <v>2.3362188475200001</v>
      </c>
    </row>
    <row r="66" spans="1:30" s="14" customFormat="1">
      <c r="A66" s="12">
        <v>13</v>
      </c>
      <c r="B66" s="12" t="s">
        <v>109</v>
      </c>
      <c r="C66" s="14" t="str">
        <f>VLOOKUP(B66,weights!A:B,2,FALSE)</f>
        <v>P</v>
      </c>
      <c r="D66" s="13">
        <v>64</v>
      </c>
      <c r="E66" s="14" t="s">
        <v>127</v>
      </c>
      <c r="G66" s="15"/>
      <c r="H66" s="18"/>
      <c r="I66" s="18"/>
      <c r="K66" s="14">
        <f>VLOOKUP(B66,weights!A:G,5,FALSE)</f>
        <v>1.24</v>
      </c>
      <c r="L66" s="14">
        <f>VLOOKUP(B66,weights!A:G,6,FALSE)</f>
        <v>7</v>
      </c>
      <c r="M66" s="14">
        <f>VLOOKUP(B66,weights!A:G,7,FALSE)</f>
        <v>10</v>
      </c>
      <c r="N66" t="s">
        <v>3432</v>
      </c>
      <c r="O66">
        <v>313</v>
      </c>
      <c r="P66">
        <v>48.868695977800002</v>
      </c>
      <c r="Q66">
        <v>2.3407207236700001</v>
      </c>
      <c r="R66" s="22"/>
      <c r="S66" s="22"/>
      <c r="T66" s="22"/>
      <c r="U66" s="24">
        <f>R66+S66/60+T66/3600</f>
        <v>0</v>
      </c>
      <c r="V66" s="28">
        <f>ABS(U66-P66)/P66</f>
        <v>1</v>
      </c>
      <c r="W66" s="22"/>
      <c r="X66" s="22"/>
      <c r="Y66" s="22"/>
      <c r="Z66" s="14">
        <f>W66+X66/60+Y66/3600</f>
        <v>0</v>
      </c>
      <c r="AA66" s="26">
        <f>ABS(Z66-Q66)/Q66</f>
        <v>1</v>
      </c>
      <c r="AB66" s="26"/>
      <c r="AC66" s="14">
        <f>P66</f>
        <v>48.868695977800002</v>
      </c>
      <c r="AD66" s="14">
        <f>Q66</f>
        <v>2.3407207236700001</v>
      </c>
    </row>
    <row r="67" spans="1:30" s="14" customFormat="1">
      <c r="A67" s="12">
        <v>14</v>
      </c>
      <c r="B67" s="12" t="s">
        <v>109</v>
      </c>
      <c r="C67" s="14" t="str">
        <f>VLOOKUP(B67,weights!A:B,2,FALSE)</f>
        <v>P</v>
      </c>
      <c r="D67" s="13">
        <v>65</v>
      </c>
      <c r="E67" s="14" t="s">
        <v>128</v>
      </c>
      <c r="G67" s="15"/>
      <c r="H67" s="18"/>
      <c r="I67" s="18"/>
      <c r="K67" s="14">
        <f>VLOOKUP(B67,weights!A:G,5,FALSE)</f>
        <v>1.24</v>
      </c>
      <c r="L67" s="14">
        <f>VLOOKUP(B67,weights!A:G,6,FALSE)</f>
        <v>7</v>
      </c>
      <c r="M67" s="14">
        <f>VLOOKUP(B67,weights!A:G,7,FALSE)</f>
        <v>10</v>
      </c>
      <c r="N67" t="s">
        <v>5679</v>
      </c>
      <c r="O67">
        <v>207</v>
      </c>
      <c r="P67">
        <v>48.867309474999999</v>
      </c>
      <c r="Q67">
        <v>2.34751621328</v>
      </c>
      <c r="R67" s="22"/>
      <c r="S67" s="22"/>
      <c r="T67" s="22"/>
      <c r="U67" s="24">
        <f>R67+S67/60+T67/3600</f>
        <v>0</v>
      </c>
      <c r="V67" s="28">
        <f>ABS(U67-P67)/P67</f>
        <v>1</v>
      </c>
      <c r="W67" s="22"/>
      <c r="X67" s="22"/>
      <c r="Y67" s="22"/>
      <c r="Z67" s="14">
        <f>W67+X67/60+Y67/3600</f>
        <v>0</v>
      </c>
      <c r="AA67" s="26">
        <f>ABS(Z67-Q67)/Q67</f>
        <v>1</v>
      </c>
      <c r="AB67" s="26"/>
      <c r="AC67" s="14">
        <f>P67</f>
        <v>48.867309474999999</v>
      </c>
      <c r="AD67" s="14">
        <f>Q67</f>
        <v>2.34751621328</v>
      </c>
    </row>
    <row r="68" spans="1:30" s="14" customFormat="1">
      <c r="A68" s="12">
        <v>15</v>
      </c>
      <c r="B68" s="12" t="s">
        <v>109</v>
      </c>
      <c r="C68" s="14" t="str">
        <f>VLOOKUP(B68,weights!A:B,2,FALSE)</f>
        <v>P</v>
      </c>
      <c r="D68" s="13">
        <v>66</v>
      </c>
      <c r="E68" s="14" t="s">
        <v>129</v>
      </c>
      <c r="G68" s="15" t="s">
        <v>111</v>
      </c>
      <c r="H68" s="18" t="s">
        <v>1627</v>
      </c>
      <c r="I68" s="18"/>
      <c r="K68" s="14">
        <f>VLOOKUP(B68,weights!A:G,5,FALSE)</f>
        <v>1.24</v>
      </c>
      <c r="L68" s="14">
        <f>VLOOKUP(B68,weights!A:G,6,FALSE)</f>
        <v>7</v>
      </c>
      <c r="M68" s="14">
        <f>VLOOKUP(B68,weights!A:G,7,FALSE)</f>
        <v>10</v>
      </c>
      <c r="N68" t="s">
        <v>5426</v>
      </c>
      <c r="O68">
        <v>114</v>
      </c>
      <c r="P68">
        <v>48.866235133000004</v>
      </c>
      <c r="Q68">
        <v>2.3525493044000001</v>
      </c>
      <c r="R68" s="22"/>
      <c r="S68" s="22"/>
      <c r="T68" s="22"/>
      <c r="U68" s="24">
        <f>R68+S68/60+T68/3600</f>
        <v>0</v>
      </c>
      <c r="V68" s="28">
        <f>ABS(U68-P68)/P68</f>
        <v>1</v>
      </c>
      <c r="W68" s="22"/>
      <c r="X68" s="22"/>
      <c r="Y68" s="22"/>
      <c r="Z68" s="14">
        <f>W68+X68/60+Y68/3600</f>
        <v>0</v>
      </c>
      <c r="AA68" s="26">
        <f>ABS(Z68-Q68)/Q68</f>
        <v>1</v>
      </c>
      <c r="AB68" s="26"/>
      <c r="AC68" s="14">
        <f>P68</f>
        <v>48.866235133000004</v>
      </c>
      <c r="AD68" s="14">
        <f>Q68</f>
        <v>2.3525493044000001</v>
      </c>
    </row>
    <row r="69" spans="1:30" s="14" customFormat="1">
      <c r="A69" s="12">
        <v>16</v>
      </c>
      <c r="B69" s="12" t="s">
        <v>109</v>
      </c>
      <c r="C69" s="14" t="str">
        <f>VLOOKUP(B69,weights!A:B,2,FALSE)</f>
        <v>P</v>
      </c>
      <c r="D69" s="13">
        <v>67</v>
      </c>
      <c r="E69" s="14" t="s">
        <v>130</v>
      </c>
      <c r="G69" s="15" t="s">
        <v>76</v>
      </c>
      <c r="H69" s="18" t="s">
        <v>1628</v>
      </c>
      <c r="I69" s="18"/>
      <c r="K69" s="14">
        <f>VLOOKUP(B69,weights!A:G,5,FALSE)</f>
        <v>1.24</v>
      </c>
      <c r="L69" s="14">
        <f>VLOOKUP(B69,weights!A:G,6,FALSE)</f>
        <v>7</v>
      </c>
      <c r="M69" s="14">
        <f>VLOOKUP(B69,weights!A:G,7,FALSE)</f>
        <v>10</v>
      </c>
      <c r="N69" t="s">
        <v>3201</v>
      </c>
      <c r="O69">
        <v>839</v>
      </c>
      <c r="P69">
        <v>48.865586477599997</v>
      </c>
      <c r="Q69">
        <v>2.3567367568100002</v>
      </c>
      <c r="R69" s="22"/>
      <c r="S69" s="22"/>
      <c r="T69" s="22"/>
      <c r="U69" s="24">
        <f>R69+S69/60+T69/3600</f>
        <v>0</v>
      </c>
      <c r="V69" s="28">
        <f>ABS(U69-P69)/P69</f>
        <v>1</v>
      </c>
      <c r="W69" s="22"/>
      <c r="X69" s="22"/>
      <c r="Y69" s="22"/>
      <c r="Z69" s="14">
        <f>W69+X69/60+Y69/3600</f>
        <v>0</v>
      </c>
      <c r="AA69" s="26">
        <f>ABS(Z69-Q69)/Q69</f>
        <v>1</v>
      </c>
      <c r="AB69" s="26"/>
      <c r="AC69" s="14">
        <f>P69</f>
        <v>48.865586477599997</v>
      </c>
      <c r="AD69" s="14">
        <f>Q69</f>
        <v>2.3567367568100002</v>
      </c>
    </row>
    <row r="70" spans="1:30" s="14" customFormat="1">
      <c r="A70" s="12">
        <v>17</v>
      </c>
      <c r="B70" s="12" t="s">
        <v>109</v>
      </c>
      <c r="C70" s="14" t="str">
        <f>VLOOKUP(B70,weights!A:B,2,FALSE)</f>
        <v>P</v>
      </c>
      <c r="D70" s="13">
        <v>68</v>
      </c>
      <c r="E70" s="14" t="s">
        <v>131</v>
      </c>
      <c r="G70" s="15"/>
      <c r="H70" s="18"/>
      <c r="I70" s="18"/>
      <c r="K70" s="14">
        <f>VLOOKUP(B70,weights!A:G,5,FALSE)</f>
        <v>1.24</v>
      </c>
      <c r="L70" s="14">
        <f>VLOOKUP(B70,weights!A:G,6,FALSE)</f>
        <v>7</v>
      </c>
      <c r="M70" s="14">
        <f>VLOOKUP(B70,weights!A:G,7,FALSE)</f>
        <v>10</v>
      </c>
      <c r="N70" t="s">
        <v>5775</v>
      </c>
      <c r="O70">
        <v>838</v>
      </c>
      <c r="P70">
        <v>48.8666826802</v>
      </c>
      <c r="Q70">
        <v>2.3615415320699999</v>
      </c>
      <c r="R70" s="22"/>
      <c r="S70" s="22"/>
      <c r="T70" s="22"/>
      <c r="U70" s="24">
        <f>R70+S70/60+T70/3600</f>
        <v>0</v>
      </c>
      <c r="V70" s="28">
        <f>ABS(U70-P70)/P70</f>
        <v>1</v>
      </c>
      <c r="W70" s="22"/>
      <c r="X70" s="22"/>
      <c r="Y70" s="22"/>
      <c r="Z70" s="14">
        <f>W70+X70/60+Y70/3600</f>
        <v>0</v>
      </c>
      <c r="AA70" s="26">
        <f>ABS(Z70-Q70)/Q70</f>
        <v>1</v>
      </c>
      <c r="AB70" s="26"/>
      <c r="AC70" s="14">
        <f>P70</f>
        <v>48.8666826802</v>
      </c>
      <c r="AD70" s="14">
        <f>Q70</f>
        <v>2.3615415320699999</v>
      </c>
    </row>
    <row r="71" spans="1:30" s="14" customFormat="1">
      <c r="A71" s="12">
        <v>18</v>
      </c>
      <c r="B71" s="12" t="s">
        <v>109</v>
      </c>
      <c r="C71" s="14" t="str">
        <f>VLOOKUP(B71,weights!A:B,2,FALSE)</f>
        <v>P</v>
      </c>
      <c r="D71" s="13">
        <v>69</v>
      </c>
      <c r="E71" s="14" t="s">
        <v>132</v>
      </c>
      <c r="G71" s="15" t="s">
        <v>141</v>
      </c>
      <c r="H71" s="18" t="s">
        <v>1629</v>
      </c>
      <c r="I71" s="18"/>
      <c r="K71" s="14">
        <f>VLOOKUP(B71,weights!A:G,5,FALSE)</f>
        <v>1.24</v>
      </c>
      <c r="L71" s="14">
        <f>VLOOKUP(B71,weights!A:G,6,FALSE)</f>
        <v>7</v>
      </c>
      <c r="M71" s="14">
        <f>VLOOKUP(B71,weights!A:G,7,FALSE)</f>
        <v>10</v>
      </c>
      <c r="N71" t="s">
        <v>5433</v>
      </c>
      <c r="O71">
        <v>123</v>
      </c>
      <c r="P71">
        <v>48.867503423800002</v>
      </c>
      <c r="Q71">
        <v>2.3638261439799999</v>
      </c>
      <c r="R71" s="22"/>
      <c r="S71" s="22"/>
      <c r="T71" s="22"/>
      <c r="U71" s="24">
        <f>R71+S71/60+T71/3600</f>
        <v>0</v>
      </c>
      <c r="V71" s="28">
        <f>ABS(U71-P71)/P71</f>
        <v>1</v>
      </c>
      <c r="W71" s="22"/>
      <c r="X71" s="22"/>
      <c r="Y71" s="22"/>
      <c r="Z71" s="14">
        <f>W71+X71/60+Y71/3600</f>
        <v>0</v>
      </c>
      <c r="AA71" s="26">
        <f>ABS(Z71-Q71)/Q71</f>
        <v>1</v>
      </c>
      <c r="AB71" s="26"/>
      <c r="AC71" s="14">
        <f>P71</f>
        <v>48.867503423800002</v>
      </c>
      <c r="AD71" s="14">
        <f>Q71</f>
        <v>2.3638261439799999</v>
      </c>
    </row>
    <row r="72" spans="1:30" s="14" customFormat="1">
      <c r="A72" s="12">
        <v>19</v>
      </c>
      <c r="B72" s="12" t="s">
        <v>109</v>
      </c>
      <c r="C72" s="14" t="str">
        <f>VLOOKUP(B72,weights!A:B,2,FALSE)</f>
        <v>P</v>
      </c>
      <c r="D72" s="13">
        <v>70</v>
      </c>
      <c r="E72" s="14" t="s">
        <v>133</v>
      </c>
      <c r="G72" s="15"/>
      <c r="H72" s="18"/>
      <c r="I72" s="18"/>
      <c r="K72" s="14">
        <f>VLOOKUP(B72,weights!A:G,5,FALSE)</f>
        <v>1.24</v>
      </c>
      <c r="L72" s="14">
        <f>VLOOKUP(B72,weights!A:G,6,FALSE)</f>
        <v>7</v>
      </c>
      <c r="M72" s="14">
        <f>VLOOKUP(B72,weights!A:G,7,FALSE)</f>
        <v>10</v>
      </c>
      <c r="N72" t="s">
        <v>5116</v>
      </c>
      <c r="O72">
        <v>111</v>
      </c>
      <c r="P72">
        <v>48.865253786099998</v>
      </c>
      <c r="Q72">
        <v>2.3745819699999999</v>
      </c>
      <c r="R72" s="22"/>
      <c r="S72" s="22"/>
      <c r="T72" s="22"/>
      <c r="U72" s="24">
        <f>R72+S72/60+T72/3600</f>
        <v>0</v>
      </c>
      <c r="V72" s="28">
        <f>ABS(U72-P72)/P72</f>
        <v>1</v>
      </c>
      <c r="W72" s="22"/>
      <c r="X72" s="22"/>
      <c r="Y72" s="22"/>
      <c r="Z72" s="14">
        <f>W72+X72/60+Y72/3600</f>
        <v>0</v>
      </c>
      <c r="AA72" s="26">
        <f>ABS(Z72-Q72)/Q72</f>
        <v>1</v>
      </c>
      <c r="AB72" s="26"/>
      <c r="AC72" s="14">
        <f>P72</f>
        <v>48.865253786099998</v>
      </c>
      <c r="AD72" s="14">
        <f>Q72</f>
        <v>2.3745819699999999</v>
      </c>
    </row>
    <row r="73" spans="1:30" s="14" customFormat="1">
      <c r="A73" s="12">
        <v>20</v>
      </c>
      <c r="B73" s="12" t="s">
        <v>109</v>
      </c>
      <c r="C73" s="14" t="str">
        <f>VLOOKUP(B73,weights!A:B,2,FALSE)</f>
        <v>P</v>
      </c>
      <c r="D73" s="13">
        <v>71</v>
      </c>
      <c r="E73" s="14" t="s">
        <v>134</v>
      </c>
      <c r="G73" s="15"/>
      <c r="H73" s="18"/>
      <c r="I73" s="18"/>
      <c r="K73" s="14">
        <f>VLOOKUP(B73,weights!A:G,5,FALSE)</f>
        <v>1.24</v>
      </c>
      <c r="L73" s="14">
        <f>VLOOKUP(B73,weights!A:G,6,FALSE)</f>
        <v>7</v>
      </c>
      <c r="M73" s="14">
        <f>VLOOKUP(B73,weights!A:G,7,FALSE)</f>
        <v>10</v>
      </c>
      <c r="N73" t="s">
        <v>5594</v>
      </c>
      <c r="O73">
        <v>837</v>
      </c>
      <c r="P73">
        <v>48.864086574799998</v>
      </c>
      <c r="Q73">
        <v>2.3807979861800002</v>
      </c>
      <c r="R73" s="22"/>
      <c r="S73" s="22"/>
      <c r="T73" s="22"/>
      <c r="U73" s="24">
        <f>R73+S73/60+T73/3600</f>
        <v>0</v>
      </c>
      <c r="V73" s="28">
        <f>ABS(U73-P73)/P73</f>
        <v>1</v>
      </c>
      <c r="W73" s="22"/>
      <c r="X73" s="22"/>
      <c r="Y73" s="22"/>
      <c r="Z73" s="14">
        <f>W73+X73/60+Y73/3600</f>
        <v>0</v>
      </c>
      <c r="AA73" s="26">
        <f>ABS(Z73-Q73)/Q73</f>
        <v>1</v>
      </c>
      <c r="AB73" s="26"/>
      <c r="AC73" s="14">
        <f>P73</f>
        <v>48.864086574799998</v>
      </c>
      <c r="AD73" s="14">
        <f>Q73</f>
        <v>2.3807979861800002</v>
      </c>
    </row>
    <row r="74" spans="1:30" s="14" customFormat="1">
      <c r="A74" s="12">
        <v>21</v>
      </c>
      <c r="B74" s="12" t="s">
        <v>109</v>
      </c>
      <c r="C74" s="14" t="str">
        <f>VLOOKUP(B74,weights!A:B,2,FALSE)</f>
        <v>P</v>
      </c>
      <c r="D74" s="13">
        <v>72</v>
      </c>
      <c r="E74" s="14" t="s">
        <v>103</v>
      </c>
      <c r="G74" s="15" t="s">
        <v>116</v>
      </c>
      <c r="H74" s="18" t="s">
        <v>1630</v>
      </c>
      <c r="I74" s="18"/>
      <c r="K74" s="14">
        <f>VLOOKUP(B74,weights!A:G,5,FALSE)</f>
        <v>1.24</v>
      </c>
      <c r="L74" s="14">
        <f>VLOOKUP(B74,weights!A:G,6,FALSE)</f>
        <v>7</v>
      </c>
      <c r="M74" s="14">
        <f>VLOOKUP(B74,weights!A:G,7,FALSE)</f>
        <v>10</v>
      </c>
      <c r="N74" t="s">
        <v>5139</v>
      </c>
      <c r="O74">
        <v>14</v>
      </c>
      <c r="P74">
        <v>48.862949833000002</v>
      </c>
      <c r="Q74">
        <v>2.3874349509999999</v>
      </c>
      <c r="R74" s="22"/>
      <c r="S74" s="22"/>
      <c r="T74" s="22"/>
      <c r="U74" s="24">
        <f>R74+S74/60+T74/3600</f>
        <v>0</v>
      </c>
      <c r="V74" s="28">
        <f>ABS(U74-P74)/P74</f>
        <v>1</v>
      </c>
      <c r="W74" s="22"/>
      <c r="X74" s="22"/>
      <c r="Y74" s="22"/>
      <c r="Z74" s="14">
        <f>W74+X74/60+Y74/3600</f>
        <v>0</v>
      </c>
      <c r="AA74" s="26">
        <f>ABS(Z74-Q74)/Q74</f>
        <v>1</v>
      </c>
      <c r="AB74" s="26"/>
      <c r="AC74" s="14">
        <f>P74</f>
        <v>48.862949833000002</v>
      </c>
      <c r="AD74" s="14">
        <f>Q74</f>
        <v>2.3874349509999999</v>
      </c>
    </row>
    <row r="75" spans="1:30" s="14" customFormat="1">
      <c r="A75" s="12">
        <v>22</v>
      </c>
      <c r="B75" s="12" t="s">
        <v>109</v>
      </c>
      <c r="C75" s="14" t="str">
        <f>VLOOKUP(B75,weights!A:B,2,FALSE)</f>
        <v>P</v>
      </c>
      <c r="D75" s="13">
        <v>73</v>
      </c>
      <c r="E75" s="14" t="s">
        <v>135</v>
      </c>
      <c r="G75" s="15" t="s">
        <v>142</v>
      </c>
      <c r="H75" s="18" t="s">
        <v>1631</v>
      </c>
      <c r="I75" s="18"/>
      <c r="K75" s="14">
        <f>VLOOKUP(B75,weights!A:G,5,FALSE)</f>
        <v>1.24</v>
      </c>
      <c r="L75" s="14">
        <f>VLOOKUP(B75,weights!A:G,6,FALSE)</f>
        <v>7</v>
      </c>
      <c r="M75" s="14">
        <f>VLOOKUP(B75,weights!A:G,7,FALSE)</f>
        <v>10</v>
      </c>
      <c r="N75" t="s">
        <v>4088</v>
      </c>
      <c r="O75">
        <v>110</v>
      </c>
      <c r="P75">
        <v>48.864916685099999</v>
      </c>
      <c r="Q75">
        <v>2.39898444025</v>
      </c>
      <c r="R75" s="22"/>
      <c r="S75" s="22"/>
      <c r="T75" s="22"/>
      <c r="U75" s="24">
        <f>R75+S75/60+T75/3600</f>
        <v>0</v>
      </c>
      <c r="V75" s="28">
        <f>ABS(U75-P75)/P75</f>
        <v>1</v>
      </c>
      <c r="W75" s="22"/>
      <c r="X75" s="22"/>
      <c r="Y75" s="22"/>
      <c r="Z75" s="14">
        <f>W75+X75/60+Y75/3600</f>
        <v>0</v>
      </c>
      <c r="AA75" s="26">
        <f>ABS(Z75-Q75)/Q75</f>
        <v>1</v>
      </c>
      <c r="AB75" s="26"/>
      <c r="AC75" s="14">
        <f>P75</f>
        <v>48.864916685099999</v>
      </c>
      <c r="AD75" s="14">
        <f>Q75</f>
        <v>2.39898444025</v>
      </c>
    </row>
    <row r="76" spans="1:30" s="14" customFormat="1">
      <c r="A76" s="12">
        <v>23</v>
      </c>
      <c r="B76" s="12" t="s">
        <v>109</v>
      </c>
      <c r="C76" s="14" t="str">
        <f>VLOOKUP(B76,weights!A:B,2,FALSE)</f>
        <v>P</v>
      </c>
      <c r="D76" s="13">
        <v>74</v>
      </c>
      <c r="E76" s="14" t="s">
        <v>136</v>
      </c>
      <c r="G76" s="15" t="s">
        <v>143</v>
      </c>
      <c r="H76" s="18"/>
      <c r="I76" s="18" t="s">
        <v>1632</v>
      </c>
      <c r="K76" s="14">
        <f>VLOOKUP(B76,weights!A:G,5,FALSE)</f>
        <v>1.24</v>
      </c>
      <c r="L76" s="14">
        <f>VLOOKUP(B76,weights!A:G,6,FALSE)</f>
        <v>7</v>
      </c>
      <c r="M76" s="14">
        <f>VLOOKUP(B76,weights!A:G,7,FALSE)</f>
        <v>10</v>
      </c>
      <c r="N76" t="s">
        <v>5300</v>
      </c>
      <c r="O76">
        <v>637</v>
      </c>
      <c r="P76">
        <v>48.864585191099998</v>
      </c>
      <c r="Q76">
        <v>2.4087599484200002</v>
      </c>
      <c r="R76" s="22"/>
      <c r="S76" s="22"/>
      <c r="T76" s="22"/>
      <c r="U76" s="24">
        <f>R76+S76/60+T76/3600</f>
        <v>0</v>
      </c>
      <c r="V76" s="28">
        <f>ABS(U76-P76)/P76</f>
        <v>1</v>
      </c>
      <c r="W76" s="22"/>
      <c r="X76" s="22"/>
      <c r="Y76" s="22"/>
      <c r="Z76" s="14">
        <f>W76+X76/60+Y76/3600</f>
        <v>0</v>
      </c>
      <c r="AA76" s="26">
        <f>ABS(Z76-Q76)/Q76</f>
        <v>1</v>
      </c>
      <c r="AB76" s="26"/>
      <c r="AC76" s="14">
        <f>P76</f>
        <v>48.864585191099998</v>
      </c>
      <c r="AD76" s="14">
        <f>Q76</f>
        <v>2.4087599484200002</v>
      </c>
    </row>
    <row r="77" spans="1:30" s="14" customFormat="1">
      <c r="A77" s="12">
        <v>24</v>
      </c>
      <c r="B77" s="12" t="s">
        <v>109</v>
      </c>
      <c r="C77" s="14" t="str">
        <f>VLOOKUP(B77,weights!A:B,2,FALSE)</f>
        <v>P</v>
      </c>
      <c r="D77" s="13">
        <v>75</v>
      </c>
      <c r="E77" s="14" t="s">
        <v>137</v>
      </c>
      <c r="G77" s="15"/>
      <c r="H77" s="18"/>
      <c r="I77" s="18"/>
      <c r="K77" s="14">
        <f>VLOOKUP(B77,weights!A:G,5,FALSE)</f>
        <v>1.24</v>
      </c>
      <c r="L77" s="14">
        <f>VLOOKUP(B77,weights!A:G,6,FALSE)</f>
        <v>7</v>
      </c>
      <c r="M77" s="14">
        <f>VLOOKUP(B77,weights!A:G,7,FALSE)</f>
        <v>10</v>
      </c>
      <c r="N77" t="s">
        <v>4085</v>
      </c>
      <c r="O77">
        <v>312</v>
      </c>
      <c r="P77">
        <v>48.865335317300001</v>
      </c>
      <c r="Q77">
        <v>2.41669727286</v>
      </c>
      <c r="R77" s="22"/>
      <c r="S77" s="22"/>
      <c r="T77" s="22"/>
      <c r="U77" s="24">
        <f>R77+S77/60+T77/3600</f>
        <v>0</v>
      </c>
      <c r="V77" s="28">
        <f>ABS(U77-P77)/P77</f>
        <v>1</v>
      </c>
      <c r="W77" s="22"/>
      <c r="X77" s="22"/>
      <c r="Y77" s="22"/>
      <c r="Z77" s="14">
        <f>W77+X77/60+Y77/3600</f>
        <v>0</v>
      </c>
      <c r="AA77" s="26">
        <f>ABS(Z77-Q77)/Q77</f>
        <v>1</v>
      </c>
      <c r="AB77" s="26"/>
      <c r="AC77" s="14">
        <f>P77</f>
        <v>48.865335317300001</v>
      </c>
      <c r="AD77" s="14">
        <f>Q77</f>
        <v>2.41669727286</v>
      </c>
    </row>
    <row r="78" spans="1:30" s="14" customFormat="1">
      <c r="A78" s="29">
        <v>25</v>
      </c>
      <c r="B78" s="29" t="s">
        <v>109</v>
      </c>
      <c r="C78" s="30" t="str">
        <f>VLOOKUP(B78,weights!A:B,2,FALSE)</f>
        <v>P</v>
      </c>
      <c r="D78" s="31">
        <v>76</v>
      </c>
      <c r="E78" s="30" t="s">
        <v>138</v>
      </c>
      <c r="F78" s="30"/>
      <c r="G78" s="32"/>
      <c r="H78" s="33"/>
      <c r="I78" s="33"/>
      <c r="J78" s="30"/>
      <c r="K78" s="30">
        <f>VLOOKUP(B78,weights!A:G,5,FALSE)</f>
        <v>1.24</v>
      </c>
      <c r="L78" s="30">
        <f>VLOOKUP(B78,weights!A:G,6,FALSE)</f>
        <v>7</v>
      </c>
      <c r="M78" s="30">
        <f>VLOOKUP(B78,weights!A:G,7,FALSE)</f>
        <v>10</v>
      </c>
      <c r="N78" s="30"/>
      <c r="O78" s="30"/>
      <c r="P78" s="30"/>
      <c r="Q78" s="30"/>
      <c r="R78" s="34"/>
      <c r="S78" s="34"/>
      <c r="T78" s="34"/>
      <c r="U78" s="35">
        <f>R78+S78/60+T78/3600</f>
        <v>0</v>
      </c>
      <c r="V78" s="36" t="e">
        <f>ABS(U78-P78)/P78</f>
        <v>#DIV/0!</v>
      </c>
      <c r="W78" s="34"/>
      <c r="X78" s="34"/>
      <c r="Y78" s="34"/>
      <c r="Z78" s="30">
        <f>W78+X78/60+Y78/3600</f>
        <v>0</v>
      </c>
      <c r="AA78" s="37" t="e">
        <f>ABS(Z78-Q78)/Q78</f>
        <v>#DIV/0!</v>
      </c>
      <c r="AB78" s="37"/>
      <c r="AC78" s="30">
        <f>IF(ISBLANK(F78),P78,U78)</f>
        <v>0</v>
      </c>
      <c r="AD78" s="30">
        <f>IF(ISBLANK(F78),Q78,Z78)</f>
        <v>0</v>
      </c>
    </row>
    <row r="79" spans="1:30" s="14" customFormat="1">
      <c r="A79" s="12">
        <v>0</v>
      </c>
      <c r="B79" s="12" t="s">
        <v>142</v>
      </c>
      <c r="C79" s="14" t="str">
        <f>VLOOKUP(B79,weights!A:B,2,FALSE)</f>
        <v>P</v>
      </c>
      <c r="D79" s="13">
        <v>77</v>
      </c>
      <c r="E79" s="14" t="s">
        <v>135</v>
      </c>
      <c r="F79" s="14" t="s">
        <v>330</v>
      </c>
      <c r="G79" s="15" t="s">
        <v>109</v>
      </c>
      <c r="H79" s="18" t="s">
        <v>1633</v>
      </c>
      <c r="I79" s="18"/>
      <c r="K79" s="14">
        <f>VLOOKUP(B79,weights!A:G,5,FALSE)</f>
        <v>1</v>
      </c>
      <c r="L79" s="14">
        <f>VLOOKUP(B79,weights!A:G,6,FALSE)</f>
        <v>7</v>
      </c>
      <c r="M79" s="14">
        <f>VLOOKUP(B79,weights!A:G,7,FALSE)</f>
        <v>10</v>
      </c>
      <c r="N79" t="s">
        <v>4088</v>
      </c>
      <c r="O79">
        <v>110</v>
      </c>
      <c r="P79">
        <v>48.864916685099999</v>
      </c>
      <c r="Q79">
        <v>2.39898444025</v>
      </c>
      <c r="R79" s="22">
        <v>48</v>
      </c>
      <c r="S79" s="22">
        <v>51</v>
      </c>
      <c r="T79" s="22">
        <v>54</v>
      </c>
      <c r="U79" s="24">
        <f>R79+S79/60+T79/3600</f>
        <v>48.865000000000002</v>
      </c>
      <c r="V79" s="28">
        <f>ABS(U79-P79)/P79</f>
        <v>1.7050044419378316E-6</v>
      </c>
      <c r="W79" s="22">
        <v>2</v>
      </c>
      <c r="X79" s="22">
        <v>23</v>
      </c>
      <c r="Y79" s="22">
        <v>54</v>
      </c>
      <c r="Z79" s="14">
        <f>W79+X79/60+Y79/3600</f>
        <v>2.3983333333333334</v>
      </c>
      <c r="AA79" s="26">
        <f>ABS(Z79-Q79)/Q79</f>
        <v>2.7140939546849916E-4</v>
      </c>
      <c r="AB79" s="26"/>
      <c r="AC79" s="24">
        <f>U79</f>
        <v>48.865000000000002</v>
      </c>
      <c r="AD79" s="14">
        <f>Z79</f>
        <v>2.3983333333333334</v>
      </c>
    </row>
    <row r="80" spans="1:30" s="14" customFormat="1">
      <c r="A80" s="12">
        <v>1</v>
      </c>
      <c r="B80" s="12" t="s">
        <v>142</v>
      </c>
      <c r="C80" s="14" t="str">
        <f>VLOOKUP(B80,weights!A:B,2,FALSE)</f>
        <v>P</v>
      </c>
      <c r="D80" s="13">
        <v>78</v>
      </c>
      <c r="E80" s="14" t="s">
        <v>331</v>
      </c>
      <c r="F80" s="14" t="s">
        <v>332</v>
      </c>
      <c r="G80" s="15"/>
      <c r="H80" s="18"/>
      <c r="I80" s="18"/>
      <c r="K80" s="14">
        <f>VLOOKUP(B80,weights!A:G,5,FALSE)</f>
        <v>1</v>
      </c>
      <c r="L80" s="14">
        <f>VLOOKUP(B80,weights!A:G,6,FALSE)</f>
        <v>7</v>
      </c>
      <c r="M80" s="14">
        <f>VLOOKUP(B80,weights!A:G,7,FALSE)</f>
        <v>10</v>
      </c>
      <c r="R80" s="22">
        <v>48</v>
      </c>
      <c r="S80" s="22">
        <v>52</v>
      </c>
      <c r="T80" s="22">
        <v>7</v>
      </c>
      <c r="U80" s="24">
        <f>R80+S80/60+T80/3600</f>
        <v>48.868611111111115</v>
      </c>
      <c r="V80" s="28" t="e">
        <f>ABS(U80-P80)/P80</f>
        <v>#DIV/0!</v>
      </c>
      <c r="W80" s="22">
        <v>2</v>
      </c>
      <c r="X80" s="22">
        <v>24</v>
      </c>
      <c r="Y80" s="22">
        <v>6</v>
      </c>
      <c r="Z80" s="14">
        <f>W80+X80/60+Y80/3600</f>
        <v>2.4016666666666664</v>
      </c>
      <c r="AA80" s="26" t="e">
        <f>ABS(Z80-Q80)/Q80</f>
        <v>#DIV/0!</v>
      </c>
      <c r="AB80" s="26"/>
      <c r="AC80" s="24">
        <f>U80</f>
        <v>48.868611111111115</v>
      </c>
      <c r="AD80" s="14">
        <f>Z80</f>
        <v>2.4016666666666664</v>
      </c>
    </row>
    <row r="81" spans="1:30" s="14" customFormat="1">
      <c r="A81" s="12">
        <v>2</v>
      </c>
      <c r="B81" s="12" t="s">
        <v>142</v>
      </c>
      <c r="C81" s="14" t="str">
        <f>VLOOKUP(B81,weights!A:B,2,FALSE)</f>
        <v>P</v>
      </c>
      <c r="D81" s="13">
        <v>79</v>
      </c>
      <c r="E81" s="14" t="s">
        <v>333</v>
      </c>
      <c r="F81" s="14" t="s">
        <v>334</v>
      </c>
      <c r="G81" s="15"/>
      <c r="H81" s="18"/>
      <c r="I81" s="18"/>
      <c r="K81" s="14">
        <f>VLOOKUP(B81,weights!A:G,5,FALSE)</f>
        <v>1</v>
      </c>
      <c r="L81" s="14">
        <f>VLOOKUP(B81,weights!A:G,6,FALSE)</f>
        <v>7</v>
      </c>
      <c r="M81" s="14">
        <f>VLOOKUP(B81,weights!A:G,7,FALSE)</f>
        <v>10</v>
      </c>
      <c r="N81" t="s">
        <v>5540</v>
      </c>
      <c r="O81">
        <v>914</v>
      </c>
      <c r="P81">
        <v>48.564485871899997</v>
      </c>
      <c r="Q81">
        <v>2.5426518226999999</v>
      </c>
      <c r="R81" s="22">
        <v>48</v>
      </c>
      <c r="S81" s="22">
        <v>52</v>
      </c>
      <c r="T81" s="22">
        <v>19</v>
      </c>
      <c r="U81" s="24">
        <f>R81+S81/60+T81/3600</f>
        <v>48.871944444444445</v>
      </c>
      <c r="V81" s="28">
        <f>ABS(U81-P81)/P81</f>
        <v>6.330934365401099E-3</v>
      </c>
      <c r="W81" s="22">
        <v>2</v>
      </c>
      <c r="X81" s="22">
        <v>24</v>
      </c>
      <c r="Y81" s="22">
        <v>16</v>
      </c>
      <c r="Z81" s="14">
        <f>W81+X81/60+Y81/3600</f>
        <v>2.4044444444444442</v>
      </c>
      <c r="AA81" s="26">
        <f>ABS(Z81-Q81)/Q81</f>
        <v>5.4355605050476638E-2</v>
      </c>
      <c r="AB81" s="26"/>
      <c r="AC81" s="24">
        <f>U81</f>
        <v>48.871944444444445</v>
      </c>
      <c r="AD81" s="14">
        <f>Z81</f>
        <v>2.4044444444444442</v>
      </c>
    </row>
    <row r="82" spans="1:30" s="14" customFormat="1">
      <c r="A82" s="12">
        <v>3</v>
      </c>
      <c r="B82" s="12" t="s">
        <v>142</v>
      </c>
      <c r="C82" s="14" t="str">
        <f>VLOOKUP(B82,weights!A:B,2,FALSE)</f>
        <v>P</v>
      </c>
      <c r="D82" s="13">
        <v>80</v>
      </c>
      <c r="E82" s="14" t="s">
        <v>335</v>
      </c>
      <c r="F82" s="14" t="s">
        <v>336</v>
      </c>
      <c r="G82" s="15" t="s">
        <v>337</v>
      </c>
      <c r="H82" s="18" t="s">
        <v>1634</v>
      </c>
      <c r="I82" s="18" t="s">
        <v>1635</v>
      </c>
      <c r="K82" s="14">
        <f>VLOOKUP(B82,weights!A:G,5,FALSE)</f>
        <v>1</v>
      </c>
      <c r="L82" s="14">
        <f>VLOOKUP(B82,weights!A:G,6,FALSE)</f>
        <v>7</v>
      </c>
      <c r="M82" s="14">
        <f>VLOOKUP(B82,weights!A:G,7,FALSE)</f>
        <v>10</v>
      </c>
      <c r="N82" t="s">
        <v>5367</v>
      </c>
      <c r="O82">
        <v>713</v>
      </c>
      <c r="P82">
        <v>48.877213660400002</v>
      </c>
      <c r="Q82">
        <v>2.4066098651200001</v>
      </c>
      <c r="R82" s="22">
        <v>48</v>
      </c>
      <c r="S82" s="22">
        <v>52</v>
      </c>
      <c r="T82" s="22">
        <v>38</v>
      </c>
      <c r="U82" s="24">
        <f>R82+S82/60+T82/3600</f>
        <v>48.877222222222223</v>
      </c>
      <c r="V82" s="28">
        <f>ABS(U82-P82)/P82</f>
        <v>1.7517001438698143E-7</v>
      </c>
      <c r="W82" s="22">
        <v>2</v>
      </c>
      <c r="X82" s="22">
        <v>24</v>
      </c>
      <c r="Y82" s="22">
        <v>24</v>
      </c>
      <c r="Z82" s="14">
        <f>W82+X82/60+Y82/3600</f>
        <v>2.4066666666666667</v>
      </c>
      <c r="AA82" s="26">
        <f>ABS(Z82-Q82)/Q82</f>
        <v>2.3602307748297761E-5</v>
      </c>
      <c r="AB82" s="26"/>
      <c r="AC82" s="24">
        <f>U82</f>
        <v>48.877222222222223</v>
      </c>
      <c r="AD82" s="14">
        <f>Z82</f>
        <v>2.4066666666666667</v>
      </c>
    </row>
    <row r="83" spans="1:30" s="14" customFormat="1">
      <c r="A83" s="12">
        <v>0</v>
      </c>
      <c r="B83" s="12" t="s">
        <v>111</v>
      </c>
      <c r="C83" s="14" t="str">
        <f>VLOOKUP(B83,weights!A:B,2,FALSE)</f>
        <v>P</v>
      </c>
      <c r="D83" s="13">
        <v>81</v>
      </c>
      <c r="E83" s="14" t="s">
        <v>145</v>
      </c>
      <c r="F83" s="14" t="s">
        <v>146</v>
      </c>
      <c r="G83" s="15" t="s">
        <v>1483</v>
      </c>
      <c r="H83" s="18"/>
      <c r="I83" s="18" t="s">
        <v>1636</v>
      </c>
      <c r="K83" s="14">
        <f>VLOOKUP(B83,weights!A:G,5,FALSE)</f>
        <v>1.07</v>
      </c>
      <c r="L83" s="14">
        <f>VLOOKUP(B83,weights!A:G,6,FALSE)</f>
        <v>7</v>
      </c>
      <c r="M83" s="14">
        <f>VLOOKUP(B83,weights!A:G,7,FALSE)</f>
        <v>10</v>
      </c>
      <c r="N83" t="s">
        <v>5320</v>
      </c>
      <c r="O83">
        <v>646</v>
      </c>
      <c r="P83">
        <v>48.897764771399999</v>
      </c>
      <c r="Q83">
        <v>2.3448608924799998</v>
      </c>
      <c r="R83" s="22">
        <v>48</v>
      </c>
      <c r="S83" s="22">
        <v>53</v>
      </c>
      <c r="T83" s="22">
        <v>50</v>
      </c>
      <c r="U83" s="24">
        <f>R83+S83/60+T83/3600</f>
        <v>48.897222222222219</v>
      </c>
      <c r="V83" s="28">
        <f>ABS(U83-P83)/P83</f>
        <v>1.1095582391473534E-5</v>
      </c>
      <c r="W83" s="22">
        <v>2</v>
      </c>
      <c r="X83" s="22">
        <v>20</v>
      </c>
      <c r="Y83" s="22">
        <v>41</v>
      </c>
      <c r="Z83" s="14">
        <f>W83+X83/60+Y83/3600</f>
        <v>2.3447222222222224</v>
      </c>
      <c r="AA83" s="26">
        <f>ABS(Z83-Q83)/Q83</f>
        <v>5.9137946401081106E-5</v>
      </c>
      <c r="AB83" s="26"/>
      <c r="AC83" s="24">
        <f>U83</f>
        <v>48.897222222222219</v>
      </c>
      <c r="AD83" s="14">
        <f>Z83</f>
        <v>2.3447222222222224</v>
      </c>
    </row>
    <row r="84" spans="1:30" s="14" customFormat="1">
      <c r="A84" s="12">
        <v>1</v>
      </c>
      <c r="B84" s="12" t="s">
        <v>111</v>
      </c>
      <c r="C84" s="14" t="str">
        <f>VLOOKUP(B84,weights!A:B,2,FALSE)</f>
        <v>P</v>
      </c>
      <c r="D84" s="13">
        <v>82</v>
      </c>
      <c r="E84" s="14" t="s">
        <v>147</v>
      </c>
      <c r="F84" s="14" t="s">
        <v>148</v>
      </c>
      <c r="G84" s="15"/>
      <c r="H84" s="18"/>
      <c r="I84" s="18"/>
      <c r="K84" s="14">
        <f>VLOOKUP(B84,weights!A:G,5,FALSE)</f>
        <v>1.07</v>
      </c>
      <c r="L84" s="14">
        <f>VLOOKUP(B84,weights!A:G,6,FALSE)</f>
        <v>7</v>
      </c>
      <c r="M84" s="14">
        <f>VLOOKUP(B84,weights!A:G,7,FALSE)</f>
        <v>10</v>
      </c>
      <c r="N84" t="s">
        <v>5710</v>
      </c>
      <c r="O84">
        <v>317</v>
      </c>
      <c r="P84">
        <v>48.893941388000002</v>
      </c>
      <c r="Q84">
        <v>2.3477655017200001</v>
      </c>
      <c r="R84" s="22">
        <v>48</v>
      </c>
      <c r="S84" s="22">
        <v>53</v>
      </c>
      <c r="T84" s="22">
        <v>41</v>
      </c>
      <c r="U84" s="24">
        <f>R84+S84/60+T84/3600</f>
        <v>48.894722222222221</v>
      </c>
      <c r="V84" s="28">
        <f>ABS(U84-P84)/P84</f>
        <v>1.5969958650351798E-5</v>
      </c>
      <c r="W84" s="22">
        <v>2</v>
      </c>
      <c r="X84" s="22">
        <v>20</v>
      </c>
      <c r="Y84" s="22">
        <v>50</v>
      </c>
      <c r="Z84" s="14">
        <f>W84+X84/60+Y84/3600</f>
        <v>2.3472222222222223</v>
      </c>
      <c r="AA84" s="26">
        <f>ABS(Z84-Q84)/Q84</f>
        <v>2.3140279443571271E-4</v>
      </c>
      <c r="AB84" s="26"/>
      <c r="AC84" s="24">
        <f>U84</f>
        <v>48.894722222222221</v>
      </c>
      <c r="AD84" s="14">
        <f>Z84</f>
        <v>2.3472222222222223</v>
      </c>
    </row>
    <row r="85" spans="1:30" s="14" customFormat="1">
      <c r="A85" s="12">
        <v>2</v>
      </c>
      <c r="B85" s="12" t="s">
        <v>111</v>
      </c>
      <c r="C85" s="14" t="str">
        <f>VLOOKUP(B85,weights!A:B,2,FALSE)</f>
        <v>P</v>
      </c>
      <c r="D85" s="13">
        <v>83</v>
      </c>
      <c r="E85" s="14" t="s">
        <v>149</v>
      </c>
      <c r="F85" s="14" t="s">
        <v>150</v>
      </c>
      <c r="G85" s="15" t="s">
        <v>110</v>
      </c>
      <c r="H85" s="18" t="s">
        <v>1637</v>
      </c>
      <c r="I85" s="18"/>
      <c r="K85" s="14">
        <f>VLOOKUP(B85,weights!A:G,5,FALSE)</f>
        <v>1.07</v>
      </c>
      <c r="L85" s="14">
        <f>VLOOKUP(B85,weights!A:G,6,FALSE)</f>
        <v>7</v>
      </c>
      <c r="M85" s="14">
        <f>VLOOKUP(B85,weights!A:G,7,FALSE)</f>
        <v>10</v>
      </c>
      <c r="N85" t="s">
        <v>4771</v>
      </c>
      <c r="O85">
        <v>346</v>
      </c>
      <c r="P85">
        <v>48.891480910600002</v>
      </c>
      <c r="Q85">
        <v>2.3497288972599999</v>
      </c>
      <c r="R85" s="22">
        <v>48</v>
      </c>
      <c r="S85" s="22">
        <v>53</v>
      </c>
      <c r="T85" s="22">
        <v>29</v>
      </c>
      <c r="U85" s="24">
        <f>R85+S85/60+T85/3600</f>
        <v>48.891388888888891</v>
      </c>
      <c r="V85" s="28">
        <f>ABS(U85-P85)/P85</f>
        <v>1.8821624830677871E-6</v>
      </c>
      <c r="W85" s="22">
        <v>2</v>
      </c>
      <c r="X85" s="22">
        <v>20</v>
      </c>
      <c r="Y85" s="22">
        <v>59</v>
      </c>
      <c r="Z85" s="14">
        <f>W85+X85/60+Y85/3600</f>
        <v>2.3497222222222223</v>
      </c>
      <c r="AA85" s="26">
        <f>ABS(Z85-Q85)/Q85</f>
        <v>2.840769326797492E-6</v>
      </c>
      <c r="AB85" s="26"/>
      <c r="AC85" s="24">
        <f>U85</f>
        <v>48.891388888888891</v>
      </c>
      <c r="AD85" s="14">
        <f>Z85</f>
        <v>2.3497222222222223</v>
      </c>
    </row>
    <row r="86" spans="1:30" s="14" customFormat="1">
      <c r="A86" s="12">
        <v>3</v>
      </c>
      <c r="B86" s="12" t="s">
        <v>111</v>
      </c>
      <c r="C86" s="14" t="str">
        <f>VLOOKUP(B86,weights!A:B,2,FALSE)</f>
        <v>P</v>
      </c>
      <c r="D86" s="13">
        <v>84</v>
      </c>
      <c r="E86" s="14" t="s">
        <v>151</v>
      </c>
      <c r="F86" s="14" t="s">
        <v>152</v>
      </c>
      <c r="G86" s="15"/>
      <c r="H86" s="18"/>
      <c r="I86" s="18"/>
      <c r="K86" s="14">
        <f>VLOOKUP(B86,weights!A:G,5,FALSE)</f>
        <v>1.07</v>
      </c>
      <c r="L86" s="14">
        <f>VLOOKUP(B86,weights!A:G,6,FALSE)</f>
        <v>7</v>
      </c>
      <c r="M86" s="14">
        <f>VLOOKUP(B86,weights!A:G,7,FALSE)</f>
        <v>10</v>
      </c>
      <c r="N86" t="s">
        <v>3622</v>
      </c>
      <c r="O86">
        <v>209</v>
      </c>
      <c r="P86">
        <v>48.887374907900004</v>
      </c>
      <c r="Q86">
        <v>2.3496940822400001</v>
      </c>
      <c r="R86" s="22">
        <v>48</v>
      </c>
      <c r="S86" s="22">
        <v>53</v>
      </c>
      <c r="T86" s="22">
        <v>14</v>
      </c>
      <c r="U86" s="24">
        <f>R86+S86/60+T86/3600</f>
        <v>48.887222222222221</v>
      </c>
      <c r="V86" s="28">
        <f>ABS(U86-P86)/P86</f>
        <v>3.1232128554780152E-6</v>
      </c>
      <c r="W86" s="22">
        <v>2</v>
      </c>
      <c r="X86" s="22">
        <v>20</v>
      </c>
      <c r="Y86" s="22">
        <v>58</v>
      </c>
      <c r="Z86" s="14">
        <f>W86+X86/60+Y86/3600</f>
        <v>2.3494444444444444</v>
      </c>
      <c r="AA86" s="26">
        <f>ABS(Z86-Q86)/Q86</f>
        <v>1.0624267960774813E-4</v>
      </c>
      <c r="AB86" s="26"/>
      <c r="AC86" s="24">
        <f>U86</f>
        <v>48.887222222222221</v>
      </c>
      <c r="AD86" s="14">
        <f>Z86</f>
        <v>2.3494444444444444</v>
      </c>
    </row>
    <row r="87" spans="1:30" s="14" customFormat="1">
      <c r="A87" s="12">
        <v>4</v>
      </c>
      <c r="B87" s="12" t="s">
        <v>111</v>
      </c>
      <c r="C87" s="14" t="str">
        <f>VLOOKUP(B87,weights!A:B,2,FALSE)</f>
        <v>P</v>
      </c>
      <c r="D87" s="13">
        <v>85</v>
      </c>
      <c r="E87" s="14" t="s">
        <v>95</v>
      </c>
      <c r="F87" s="14" t="s">
        <v>153</v>
      </c>
      <c r="G87" s="15" t="s">
        <v>116</v>
      </c>
      <c r="H87" s="18" t="s">
        <v>1638</v>
      </c>
      <c r="I87" s="18"/>
      <c r="K87" s="14">
        <f>VLOOKUP(B87,weights!A:G,5,FALSE)</f>
        <v>1.07</v>
      </c>
      <c r="L87" s="14">
        <f>VLOOKUP(B87,weights!A:G,6,FALSE)</f>
        <v>7</v>
      </c>
      <c r="M87" s="14">
        <f>VLOOKUP(B87,weights!A:G,7,FALSE)</f>
        <v>10</v>
      </c>
      <c r="N87" t="s">
        <v>3276</v>
      </c>
      <c r="O87">
        <v>18</v>
      </c>
      <c r="P87">
        <v>48.883734465700002</v>
      </c>
      <c r="Q87">
        <v>2.3496361482700001</v>
      </c>
      <c r="R87" s="22">
        <v>48</v>
      </c>
      <c r="S87" s="22">
        <v>53</v>
      </c>
      <c r="T87" s="22">
        <v>1</v>
      </c>
      <c r="U87" s="24">
        <f>R87+S87/60+T87/3600</f>
        <v>48.883611111111108</v>
      </c>
      <c r="V87" s="28">
        <f>ABS(U87-P87)/P87</f>
        <v>2.5234280940673547E-6</v>
      </c>
      <c r="W87" s="22">
        <v>2</v>
      </c>
      <c r="X87" s="22">
        <v>21</v>
      </c>
      <c r="Y87" s="22">
        <v>2</v>
      </c>
      <c r="Z87" s="14">
        <f>W87+X87/60+Y87/3600</f>
        <v>2.3505555555555557</v>
      </c>
      <c r="AA87" s="26">
        <f>ABS(Z87-Q87)/Q87</f>
        <v>3.9129772762159918E-4</v>
      </c>
      <c r="AB87" s="26"/>
      <c r="AC87" s="24">
        <f>U87</f>
        <v>48.883611111111108</v>
      </c>
      <c r="AD87" s="14">
        <f>Z87</f>
        <v>2.3505555555555557</v>
      </c>
    </row>
    <row r="88" spans="1:30" s="14" customFormat="1">
      <c r="A88" s="12">
        <v>5</v>
      </c>
      <c r="B88" s="12" t="s">
        <v>111</v>
      </c>
      <c r="C88" s="14" t="str">
        <f>VLOOKUP(B88,weights!A:B,2,FALSE)</f>
        <v>P</v>
      </c>
      <c r="D88" s="13">
        <v>86</v>
      </c>
      <c r="E88" s="14" t="s">
        <v>154</v>
      </c>
      <c r="F88" s="14" t="s">
        <v>155</v>
      </c>
      <c r="G88" s="15" t="s">
        <v>1463</v>
      </c>
      <c r="H88" s="18" t="s">
        <v>1639</v>
      </c>
      <c r="I88" s="18" t="s">
        <v>1640</v>
      </c>
      <c r="K88" s="14">
        <f>VLOOKUP(B88,weights!A:G,5,FALSE)</f>
        <v>1.07</v>
      </c>
      <c r="L88" s="14">
        <f>VLOOKUP(B88,weights!A:G,6,FALSE)</f>
        <v>7</v>
      </c>
      <c r="M88" s="14">
        <f>VLOOKUP(B88,weights!A:G,7,FALSE)</f>
        <v>10</v>
      </c>
      <c r="N88" t="s">
        <v>4109</v>
      </c>
      <c r="O88">
        <v>817</v>
      </c>
      <c r="P88">
        <v>48.880922007599999</v>
      </c>
      <c r="Q88">
        <v>2.3563285436600001</v>
      </c>
      <c r="R88" s="22">
        <v>48</v>
      </c>
      <c r="S88" s="22">
        <v>52</v>
      </c>
      <c r="T88" s="22">
        <v>49</v>
      </c>
      <c r="U88" s="24">
        <f>R88+S88/60+T88/3600</f>
        <v>48.880277777777778</v>
      </c>
      <c r="V88" s="28">
        <f>ABS(U88-P88)/P88</f>
        <v>1.3179575911455923E-5</v>
      </c>
      <c r="W88" s="22">
        <v>2</v>
      </c>
      <c r="X88" s="22">
        <v>21</v>
      </c>
      <c r="Y88" s="22">
        <v>18</v>
      </c>
      <c r="Z88" s="14">
        <f>W88+X88/60+Y88/3600</f>
        <v>2.355</v>
      </c>
      <c r="AA88" s="26">
        <f>ABS(Z88-Q88)/Q88</f>
        <v>5.6381936363447281E-4</v>
      </c>
      <c r="AB88" s="26"/>
      <c r="AC88" s="24">
        <f>U88</f>
        <v>48.880277777777778</v>
      </c>
      <c r="AD88" s="14">
        <f>Z88</f>
        <v>2.355</v>
      </c>
    </row>
    <row r="89" spans="1:30" s="14" customFormat="1">
      <c r="A89" s="12">
        <v>6</v>
      </c>
      <c r="B89" s="12" t="s">
        <v>111</v>
      </c>
      <c r="C89" s="14" t="str">
        <f>VLOOKUP(B89,weights!A:B,2,FALSE)</f>
        <v>P</v>
      </c>
      <c r="D89" s="13">
        <v>87</v>
      </c>
      <c r="E89" s="14" t="s">
        <v>156</v>
      </c>
      <c r="F89" s="14" t="s">
        <v>157</v>
      </c>
      <c r="G89" s="15" t="s">
        <v>1456</v>
      </c>
      <c r="H89" s="18" t="s">
        <v>1641</v>
      </c>
      <c r="I89" s="18" t="s">
        <v>1642</v>
      </c>
      <c r="K89" s="14">
        <f>VLOOKUP(B89,weights!A:G,5,FALSE)</f>
        <v>1.07</v>
      </c>
      <c r="L89" s="14">
        <f>VLOOKUP(B89,weights!A:G,6,FALSE)</f>
        <v>7</v>
      </c>
      <c r="M89" s="14">
        <f>VLOOKUP(B89,weights!A:G,7,FALSE)</f>
        <v>10</v>
      </c>
      <c r="N89" t="s">
        <v>4098</v>
      </c>
      <c r="O89">
        <v>712</v>
      </c>
      <c r="P89">
        <v>48.8773756199</v>
      </c>
      <c r="Q89">
        <v>2.3594566169400002</v>
      </c>
      <c r="R89" s="22">
        <v>48</v>
      </c>
      <c r="S89" s="22">
        <v>52</v>
      </c>
      <c r="T89" s="22">
        <v>34</v>
      </c>
      <c r="U89" s="24">
        <f>R89+S89/60+T89/3600</f>
        <v>48.876111111111115</v>
      </c>
      <c r="V89" s="28">
        <f>ABS(U89-P89)/P89</f>
        <v>2.5871045097003677E-5</v>
      </c>
      <c r="W89" s="22">
        <v>2</v>
      </c>
      <c r="X89" s="22">
        <v>21</v>
      </c>
      <c r="Y89" s="22">
        <v>29</v>
      </c>
      <c r="Z89" s="14">
        <f>W89+X89/60+Y89/3600</f>
        <v>2.3580555555555556</v>
      </c>
      <c r="AA89" s="26">
        <f>ABS(Z89-Q89)/Q89</f>
        <v>5.9380680042410471E-4</v>
      </c>
      <c r="AB89" s="26"/>
      <c r="AC89" s="24">
        <f>U89</f>
        <v>48.876111111111115</v>
      </c>
      <c r="AD89" s="14">
        <f>Z89</f>
        <v>2.3580555555555556</v>
      </c>
    </row>
    <row r="90" spans="1:30" s="14" customFormat="1">
      <c r="A90" s="12">
        <v>7</v>
      </c>
      <c r="B90" s="12" t="s">
        <v>111</v>
      </c>
      <c r="C90" s="14" t="str">
        <f>VLOOKUP(B90,weights!A:B,2,FALSE)</f>
        <v>P</v>
      </c>
      <c r="D90" s="13">
        <v>88</v>
      </c>
      <c r="E90" s="14" t="s">
        <v>158</v>
      </c>
      <c r="F90" s="14" t="s">
        <v>159</v>
      </c>
      <c r="G90" s="15"/>
      <c r="H90" s="18"/>
      <c r="I90" s="18"/>
      <c r="K90" s="14">
        <f>VLOOKUP(B90,weights!A:G,5,FALSE)</f>
        <v>1.07</v>
      </c>
      <c r="L90" s="14">
        <f>VLOOKUP(B90,weights!A:G,6,FALSE)</f>
        <v>7</v>
      </c>
      <c r="M90" s="14">
        <f>VLOOKUP(B90,weights!A:G,7,FALSE)</f>
        <v>10</v>
      </c>
      <c r="N90" t="s">
        <v>3616</v>
      </c>
      <c r="O90">
        <v>318</v>
      </c>
      <c r="P90">
        <v>48.872424912699998</v>
      </c>
      <c r="Q90">
        <v>2.3560449076899999</v>
      </c>
      <c r="R90" s="22">
        <v>48</v>
      </c>
      <c r="S90" s="22">
        <v>52</v>
      </c>
      <c r="T90" s="22">
        <v>21</v>
      </c>
      <c r="U90" s="24">
        <f>R90+S90/60+T90/3600</f>
        <v>48.872500000000002</v>
      </c>
      <c r="V90" s="28">
        <f>ABS(U90-P90)/P90</f>
        <v>1.5363939918780601E-6</v>
      </c>
      <c r="W90" s="22">
        <v>2</v>
      </c>
      <c r="X90" s="22">
        <v>21</v>
      </c>
      <c r="Y90" s="22">
        <v>21</v>
      </c>
      <c r="Z90" s="14">
        <f>W90+X90/60+Y90/3600</f>
        <v>2.3558333333333334</v>
      </c>
      <c r="AA90" s="26">
        <f>ABS(Z90-Q90)/Q90</f>
        <v>8.9800646828014111E-5</v>
      </c>
      <c r="AB90" s="26"/>
      <c r="AC90" s="24">
        <f>U90</f>
        <v>48.872500000000002</v>
      </c>
      <c r="AD90" s="14">
        <f>Z90</f>
        <v>2.3558333333333334</v>
      </c>
    </row>
    <row r="91" spans="1:30" s="14" customFormat="1">
      <c r="A91" s="12">
        <v>8</v>
      </c>
      <c r="B91" s="12" t="s">
        <v>111</v>
      </c>
      <c r="C91" s="14" t="str">
        <f>VLOOKUP(B91,weights!A:B,2,FALSE)</f>
        <v>P</v>
      </c>
      <c r="D91" s="13">
        <v>89</v>
      </c>
      <c r="E91" s="14" t="s">
        <v>160</v>
      </c>
      <c r="F91" s="14" t="s">
        <v>161</v>
      </c>
      <c r="G91" s="15" t="s">
        <v>193</v>
      </c>
      <c r="H91" s="18" t="s">
        <v>1643</v>
      </c>
      <c r="I91" s="18"/>
      <c r="K91" s="14">
        <f>VLOOKUP(B91,weights!A:G,5,FALSE)</f>
        <v>1.07</v>
      </c>
      <c r="L91" s="14">
        <f>VLOOKUP(B91,weights!A:G,6,FALSE)</f>
        <v>7</v>
      </c>
      <c r="M91" s="14">
        <f>VLOOKUP(B91,weights!A:G,7,FALSE)</f>
        <v>10</v>
      </c>
      <c r="N91" t="s">
        <v>5741</v>
      </c>
      <c r="O91">
        <v>338</v>
      </c>
      <c r="P91">
        <v>48.869294007699999</v>
      </c>
      <c r="Q91">
        <v>2.3542808790800001</v>
      </c>
      <c r="R91" s="22">
        <v>48</v>
      </c>
      <c r="S91" s="22">
        <v>52</v>
      </c>
      <c r="T91" s="22">
        <v>10</v>
      </c>
      <c r="U91" s="24">
        <f>R91+S91/60+T91/3600</f>
        <v>48.869444444444447</v>
      </c>
      <c r="V91" s="28">
        <f>ABS(U91-P91)/P91</f>
        <v>3.07834904315486E-6</v>
      </c>
      <c r="W91" s="22">
        <v>2</v>
      </c>
      <c r="X91" s="22">
        <v>21</v>
      </c>
      <c r="Y91" s="22">
        <v>15</v>
      </c>
      <c r="Z91" s="14">
        <f>W91+X91/60+Y91/3600</f>
        <v>2.354166666666667</v>
      </c>
      <c r="AA91" s="26">
        <f>ABS(Z91-Q91)/Q91</f>
        <v>4.8512653841764218E-5</v>
      </c>
      <c r="AB91" s="26"/>
      <c r="AC91" s="24">
        <f>U91</f>
        <v>48.869444444444447</v>
      </c>
      <c r="AD91" s="14">
        <f>Z91</f>
        <v>2.354166666666667</v>
      </c>
    </row>
    <row r="92" spans="1:30" s="14" customFormat="1">
      <c r="A92" s="12">
        <v>9</v>
      </c>
      <c r="B92" s="12" t="s">
        <v>111</v>
      </c>
      <c r="C92" s="14" t="str">
        <f>VLOOKUP(B92,weights!A:B,2,FALSE)</f>
        <v>P</v>
      </c>
      <c r="D92" s="13">
        <v>90</v>
      </c>
      <c r="E92" s="14" t="s">
        <v>129</v>
      </c>
      <c r="F92" s="14" t="s">
        <v>162</v>
      </c>
      <c r="G92" s="15" t="s">
        <v>109</v>
      </c>
      <c r="H92" s="18" t="s">
        <v>1644</v>
      </c>
      <c r="I92" s="18"/>
      <c r="K92" s="14">
        <f>VLOOKUP(B92,weights!A:G,5,FALSE)</f>
        <v>1.07</v>
      </c>
      <c r="L92" s="14">
        <f>VLOOKUP(B92,weights!A:G,6,FALSE)</f>
        <v>7</v>
      </c>
      <c r="M92" s="14">
        <f>VLOOKUP(B92,weights!A:G,7,FALSE)</f>
        <v>10</v>
      </c>
      <c r="N92" t="s">
        <v>5426</v>
      </c>
      <c r="O92">
        <v>114</v>
      </c>
      <c r="P92">
        <v>48.866235133000004</v>
      </c>
      <c r="Q92">
        <v>2.3525493044000001</v>
      </c>
      <c r="R92" s="22">
        <v>48</v>
      </c>
      <c r="S92" s="22">
        <v>51</v>
      </c>
      <c r="T92" s="22">
        <v>59</v>
      </c>
      <c r="U92" s="24">
        <f>R92+S92/60+T92/3600</f>
        <v>48.866388888888892</v>
      </c>
      <c r="V92" s="28">
        <f>ABS(U92-P92)/P92</f>
        <v>3.1464648027408018E-6</v>
      </c>
      <c r="W92" s="22">
        <v>2</v>
      </c>
      <c r="X92" s="22">
        <v>21</v>
      </c>
      <c r="Y92" s="22">
        <v>9</v>
      </c>
      <c r="Z92" s="14">
        <f>W92+X92/60+Y92/3600</f>
        <v>2.3525</v>
      </c>
      <c r="AA92" s="26">
        <f>ABS(Z92-Q92)/Q92</f>
        <v>2.0957860440096315E-5</v>
      </c>
      <c r="AB92" s="26"/>
      <c r="AC92" s="24">
        <f>U92</f>
        <v>48.866388888888892</v>
      </c>
      <c r="AD92" s="14">
        <f>Z92</f>
        <v>2.3525</v>
      </c>
    </row>
    <row r="93" spans="1:30" s="14" customFormat="1">
      <c r="A93" s="12">
        <v>10</v>
      </c>
      <c r="B93" s="12" t="s">
        <v>111</v>
      </c>
      <c r="C93" s="14" t="str">
        <f>VLOOKUP(B93,weights!A:B,2,FALSE)</f>
        <v>P</v>
      </c>
      <c r="D93" s="13">
        <v>91</v>
      </c>
      <c r="E93" s="14" t="s">
        <v>163</v>
      </c>
      <c r="F93" s="14" t="s">
        <v>164</v>
      </c>
      <c r="G93" s="15"/>
      <c r="H93" s="18"/>
      <c r="I93" s="18"/>
      <c r="K93" s="14">
        <f>VLOOKUP(B93,weights!A:G,5,FALSE)</f>
        <v>1.07</v>
      </c>
      <c r="L93" s="14">
        <f>VLOOKUP(B93,weights!A:G,6,FALSE)</f>
        <v>7</v>
      </c>
      <c r="M93" s="14">
        <f>VLOOKUP(B93,weights!A:G,7,FALSE)</f>
        <v>10</v>
      </c>
      <c r="N93" t="s">
        <v>3984</v>
      </c>
      <c r="O93">
        <v>841</v>
      </c>
      <c r="P93">
        <v>48.8638074387</v>
      </c>
      <c r="Q93">
        <v>2.34888065667</v>
      </c>
      <c r="R93" s="22">
        <v>48</v>
      </c>
      <c r="S93" s="22">
        <v>51</v>
      </c>
      <c r="T93" s="22">
        <v>50</v>
      </c>
      <c r="U93" s="24">
        <f>R93+S93/60+T93/3600</f>
        <v>48.863888888888887</v>
      </c>
      <c r="V93" s="28">
        <f>ABS(U93-P93)/P93</f>
        <v>1.6668817506497704E-6</v>
      </c>
      <c r="W93" s="22">
        <v>2</v>
      </c>
      <c r="X93" s="22">
        <v>20</v>
      </c>
      <c r="Y93" s="22">
        <v>57</v>
      </c>
      <c r="Z93" s="14">
        <f>W93+X93/60+Y93/3600</f>
        <v>2.3491666666666666</v>
      </c>
      <c r="AA93" s="26">
        <f>ABS(Z93-Q93)/Q93</f>
        <v>1.2176437992047219E-4</v>
      </c>
      <c r="AB93" s="26"/>
      <c r="AC93" s="24">
        <f>U93</f>
        <v>48.863888888888887</v>
      </c>
      <c r="AD93" s="14">
        <f>Z93</f>
        <v>2.3491666666666666</v>
      </c>
    </row>
    <row r="94" spans="1:30" s="14" customFormat="1">
      <c r="A94" s="12">
        <v>11</v>
      </c>
      <c r="B94" s="12" t="s">
        <v>111</v>
      </c>
      <c r="C94" s="14" t="str">
        <f>VLOOKUP(B94,weights!A:B,2,FALSE)</f>
        <v>P</v>
      </c>
      <c r="D94" s="13">
        <v>92</v>
      </c>
      <c r="E94" s="14" t="s">
        <v>165</v>
      </c>
      <c r="F94" s="14" t="s">
        <v>166</v>
      </c>
      <c r="G94" s="15" t="s">
        <v>1470</v>
      </c>
      <c r="H94" s="18"/>
      <c r="I94" s="18" t="s">
        <v>1592</v>
      </c>
      <c r="K94" s="14">
        <f>VLOOKUP(B94,weights!A:G,5,FALSE)</f>
        <v>1.07</v>
      </c>
      <c r="L94" s="14">
        <f>VLOOKUP(B94,weights!A:G,6,FALSE)</f>
        <v>7</v>
      </c>
      <c r="M94" s="14">
        <f>VLOOKUP(B94,weights!A:G,7,FALSE)</f>
        <v>10</v>
      </c>
      <c r="N94" t="s">
        <v>4581</v>
      </c>
      <c r="O94">
        <v>19</v>
      </c>
      <c r="P94">
        <v>48.862316279600002</v>
      </c>
      <c r="Q94">
        <v>2.3456738282099998</v>
      </c>
      <c r="R94" s="22">
        <v>48</v>
      </c>
      <c r="S94" s="22">
        <v>51</v>
      </c>
      <c r="T94" s="22">
        <v>45</v>
      </c>
      <c r="U94" s="24">
        <f>R94+S94/60+T94/3600</f>
        <v>48.862500000000004</v>
      </c>
      <c r="V94" s="28">
        <f>ABS(U94-P94)/P94</f>
        <v>3.7599609267661374E-6</v>
      </c>
      <c r="W94" s="22">
        <v>2</v>
      </c>
      <c r="X94" s="22">
        <v>20</v>
      </c>
      <c r="Y94" s="22">
        <v>46</v>
      </c>
      <c r="Z94" s="14">
        <f>W94+X94/60+Y94/3600</f>
        <v>2.3461111111111115</v>
      </c>
      <c r="AA94" s="26">
        <f>ABS(Z94-Q94)/Q94</f>
        <v>1.8642101721591967E-4</v>
      </c>
      <c r="AB94" s="26"/>
      <c r="AC94" s="24">
        <f>U94</f>
        <v>48.862500000000004</v>
      </c>
      <c r="AD94" s="14">
        <f>Z94</f>
        <v>2.3461111111111115</v>
      </c>
    </row>
    <row r="95" spans="1:30" s="14" customFormat="1">
      <c r="A95" s="12">
        <v>12</v>
      </c>
      <c r="B95" s="12" t="s">
        <v>111</v>
      </c>
      <c r="C95" s="14" t="str">
        <f>VLOOKUP(B95,weights!A:B,2,FALSE)</f>
        <v>P</v>
      </c>
      <c r="D95" s="13">
        <v>93</v>
      </c>
      <c r="E95" s="14" t="s">
        <v>46</v>
      </c>
      <c r="F95" s="14" t="s">
        <v>47</v>
      </c>
      <c r="G95" s="15" t="s">
        <v>194</v>
      </c>
      <c r="H95" s="18" t="s">
        <v>1645</v>
      </c>
      <c r="I95" s="18"/>
      <c r="K95" s="14">
        <f>VLOOKUP(B95,weights!A:G,5,FALSE)</f>
        <v>1.07</v>
      </c>
      <c r="L95" s="14">
        <f>VLOOKUP(B95,weights!A:G,6,FALSE)</f>
        <v>7</v>
      </c>
      <c r="M95" s="14">
        <f>VLOOKUP(B95,weights!A:G,7,FALSE)</f>
        <v>10</v>
      </c>
      <c r="N95" t="s">
        <v>3634</v>
      </c>
      <c r="O95">
        <v>222</v>
      </c>
      <c r="P95">
        <v>48.858061862299998</v>
      </c>
      <c r="Q95">
        <v>2.3476251557199999</v>
      </c>
      <c r="R95" s="22">
        <v>48</v>
      </c>
      <c r="S95" s="22">
        <v>51</v>
      </c>
      <c r="T95" s="22">
        <v>31</v>
      </c>
      <c r="U95" s="24">
        <f>R95+S95/60+T95/3600</f>
        <v>48.858611111111109</v>
      </c>
      <c r="V95" s="28">
        <f>ABS(U95-P95)/P95</f>
        <v>1.1241723273010907E-5</v>
      </c>
      <c r="W95" s="22">
        <v>2</v>
      </c>
      <c r="X95" s="22">
        <v>20</v>
      </c>
      <c r="Y95" s="22">
        <v>50</v>
      </c>
      <c r="Z95" s="14">
        <f>W95+X95/60+Y95/3600</f>
        <v>2.3472222222222223</v>
      </c>
      <c r="AA95" s="26">
        <f>ABS(Z95-Q95)/Q95</f>
        <v>1.7163451192188251E-4</v>
      </c>
      <c r="AB95" s="26"/>
      <c r="AC95" s="24">
        <f>U95</f>
        <v>48.858611111111109</v>
      </c>
      <c r="AD95" s="14">
        <f>Z95</f>
        <v>2.3472222222222223</v>
      </c>
    </row>
    <row r="96" spans="1:30" s="14" customFormat="1">
      <c r="A96" s="12">
        <v>13</v>
      </c>
      <c r="B96" s="12" t="s">
        <v>111</v>
      </c>
      <c r="C96" s="14" t="str">
        <f>VLOOKUP(B96,weights!A:B,2,FALSE)</f>
        <v>P</v>
      </c>
      <c r="D96" s="13">
        <v>94</v>
      </c>
      <c r="E96" s="14" t="s">
        <v>167</v>
      </c>
      <c r="F96" s="14" t="s">
        <v>168</v>
      </c>
      <c r="G96" s="15"/>
      <c r="H96" s="18"/>
      <c r="I96" s="18"/>
      <c r="K96" s="14">
        <f>VLOOKUP(B96,weights!A:G,5,FALSE)</f>
        <v>1.07</v>
      </c>
      <c r="L96" s="14">
        <f>VLOOKUP(B96,weights!A:G,6,FALSE)</f>
        <v>7</v>
      </c>
      <c r="M96" s="14">
        <f>VLOOKUP(B96,weights!A:G,7,FALSE)</f>
        <v>10</v>
      </c>
      <c r="N96" t="s">
        <v>3699</v>
      </c>
      <c r="O96">
        <v>842</v>
      </c>
      <c r="P96">
        <v>48.854936380200002</v>
      </c>
      <c r="Q96">
        <v>2.3473213184100001</v>
      </c>
      <c r="R96" s="22">
        <v>48</v>
      </c>
      <c r="S96" s="22">
        <v>51</v>
      </c>
      <c r="T96" s="22">
        <v>21</v>
      </c>
      <c r="U96" s="24">
        <f>R96+S96/60+T96/3600</f>
        <v>48.855833333333337</v>
      </c>
      <c r="V96" s="28">
        <f>ABS(U96-P96)/P96</f>
        <v>1.8359519012667281E-5</v>
      </c>
      <c r="W96" s="22">
        <v>2</v>
      </c>
      <c r="X96" s="22">
        <v>20</v>
      </c>
      <c r="Y96" s="22">
        <v>46</v>
      </c>
      <c r="Z96" s="14">
        <f>W96+X96/60+Y96/3600</f>
        <v>2.3461111111111115</v>
      </c>
      <c r="AA96" s="26">
        <f>ABS(Z96-Q96)/Q96</f>
        <v>5.1556950869785913E-4</v>
      </c>
      <c r="AB96" s="26"/>
      <c r="AC96" s="24">
        <f>U96</f>
        <v>48.855833333333337</v>
      </c>
      <c r="AD96" s="14">
        <f>Z96</f>
        <v>2.3461111111111115</v>
      </c>
    </row>
    <row r="97" spans="1:30" s="14" customFormat="1">
      <c r="A97" s="12">
        <v>14</v>
      </c>
      <c r="B97" s="12" t="s">
        <v>111</v>
      </c>
      <c r="C97" s="14" t="str">
        <f>VLOOKUP(B97,weights!A:B,2,FALSE)</f>
        <v>P</v>
      </c>
      <c r="D97" s="13">
        <v>95</v>
      </c>
      <c r="E97" s="14" t="s">
        <v>169</v>
      </c>
      <c r="F97" s="14" t="s">
        <v>170</v>
      </c>
      <c r="G97" s="15" t="s">
        <v>758</v>
      </c>
      <c r="H97" s="18"/>
      <c r="I97" s="18" t="s">
        <v>1646</v>
      </c>
      <c r="K97" s="14">
        <f>VLOOKUP(B97,weights!A:G,5,FALSE)</f>
        <v>1.07</v>
      </c>
      <c r="L97" s="14">
        <f>VLOOKUP(B97,weights!A:G,6,FALSE)</f>
        <v>7</v>
      </c>
      <c r="M97" s="14">
        <f>VLOOKUP(B97,weights!A:G,7,FALSE)</f>
        <v>10</v>
      </c>
      <c r="N97" t="s">
        <v>5600</v>
      </c>
      <c r="O97">
        <v>819</v>
      </c>
      <c r="P97">
        <v>48.8532518986</v>
      </c>
      <c r="Q97">
        <v>2.3446604801499999</v>
      </c>
      <c r="R97" s="22">
        <v>48</v>
      </c>
      <c r="S97" s="22">
        <v>51</v>
      </c>
      <c r="T97" s="22">
        <v>13</v>
      </c>
      <c r="U97" s="24">
        <f>R97+S97/60+T97/3600</f>
        <v>48.853611111111114</v>
      </c>
      <c r="V97" s="28">
        <f>ABS(U97-P97)/P97</f>
        <v>7.352888439435322E-6</v>
      </c>
      <c r="W97" s="22">
        <v>2</v>
      </c>
      <c r="X97" s="22">
        <v>20</v>
      </c>
      <c r="Y97" s="22">
        <v>38</v>
      </c>
      <c r="Z97" s="14">
        <f>W97+X97/60+Y97/3600</f>
        <v>2.3438888888888889</v>
      </c>
      <c r="AA97" s="26">
        <f>ABS(Z97-Q97)/Q97</f>
        <v>3.2908443147456256E-4</v>
      </c>
      <c r="AB97" s="26"/>
      <c r="AC97" s="24">
        <f>U97</f>
        <v>48.853611111111114</v>
      </c>
      <c r="AD97" s="14">
        <f>Z97</f>
        <v>2.3438888888888889</v>
      </c>
    </row>
    <row r="98" spans="1:30" s="14" customFormat="1">
      <c r="A98" s="12">
        <v>15</v>
      </c>
      <c r="B98" s="12" t="s">
        <v>111</v>
      </c>
      <c r="C98" s="14" t="str">
        <f>VLOOKUP(B98,weights!A:B,2,FALSE)</f>
        <v>P</v>
      </c>
      <c r="D98" s="13">
        <v>96</v>
      </c>
      <c r="E98" s="14" t="s">
        <v>171</v>
      </c>
      <c r="F98" s="14" t="s">
        <v>172</v>
      </c>
      <c r="G98" s="15" t="s">
        <v>195</v>
      </c>
      <c r="H98" s="18" t="s">
        <v>1647</v>
      </c>
      <c r="I98" s="18"/>
      <c r="K98" s="14">
        <f>VLOOKUP(B98,weights!A:G,5,FALSE)</f>
        <v>1.07</v>
      </c>
      <c r="L98" s="14">
        <f>VLOOKUP(B98,weights!A:G,6,FALSE)</f>
        <v>7</v>
      </c>
      <c r="M98" s="14">
        <f>VLOOKUP(B98,weights!A:G,7,FALSE)</f>
        <v>10</v>
      </c>
      <c r="N98" t="s">
        <v>5037</v>
      </c>
      <c r="O98">
        <v>115</v>
      </c>
      <c r="P98">
        <v>48.8521672611</v>
      </c>
      <c r="Q98">
        <v>2.3396463359299999</v>
      </c>
      <c r="R98" s="22">
        <v>48</v>
      </c>
      <c r="S98" s="22">
        <v>51</v>
      </c>
      <c r="T98" s="22">
        <v>8</v>
      </c>
      <c r="U98" s="24">
        <f>R98+S98/60+T98/3600</f>
        <v>48.852222222222224</v>
      </c>
      <c r="V98" s="28">
        <f>ABS(U98-P98)/P98</f>
        <v>1.1250498249192958E-6</v>
      </c>
      <c r="W98" s="22">
        <v>2</v>
      </c>
      <c r="X98" s="22">
        <v>20</v>
      </c>
      <c r="Y98" s="22">
        <v>20</v>
      </c>
      <c r="Z98" s="14">
        <f>W98+X98/60+Y98/3600</f>
        <v>2.338888888888889</v>
      </c>
      <c r="AA98" s="26">
        <f>ABS(Z98-Q98)/Q98</f>
        <v>3.2374424693116388E-4</v>
      </c>
      <c r="AB98" s="26"/>
      <c r="AC98" s="24">
        <f>U98</f>
        <v>48.852222222222224</v>
      </c>
      <c r="AD98" s="14">
        <f>Z98</f>
        <v>2.338888888888889</v>
      </c>
    </row>
    <row r="99" spans="1:30" s="14" customFormat="1">
      <c r="A99" s="12">
        <v>16</v>
      </c>
      <c r="B99" s="12" t="s">
        <v>111</v>
      </c>
      <c r="C99" s="14" t="str">
        <f>VLOOKUP(B99,weights!A:B,2,FALSE)</f>
        <v>P</v>
      </c>
      <c r="D99" s="13">
        <v>97</v>
      </c>
      <c r="E99" s="14" t="s">
        <v>173</v>
      </c>
      <c r="F99" s="14" t="s">
        <v>174</v>
      </c>
      <c r="G99" s="15"/>
      <c r="H99" s="18"/>
      <c r="I99" s="18"/>
      <c r="K99" s="14">
        <f>VLOOKUP(B99,weights!A:G,5,FALSE)</f>
        <v>1.07</v>
      </c>
      <c r="L99" s="14">
        <f>VLOOKUP(B99,weights!A:G,6,FALSE)</f>
        <v>7</v>
      </c>
      <c r="M99" s="14">
        <f>VLOOKUP(B99,weights!A:G,7,FALSE)</f>
        <v>10</v>
      </c>
      <c r="N99" t="s">
        <v>5554</v>
      </c>
      <c r="O99">
        <v>20</v>
      </c>
      <c r="P99">
        <v>48.853718934</v>
      </c>
      <c r="Q99">
        <v>2.3337761382200002</v>
      </c>
      <c r="R99" s="22">
        <v>48</v>
      </c>
      <c r="S99" s="22">
        <v>51</v>
      </c>
      <c r="T99" s="22">
        <v>14</v>
      </c>
      <c r="U99" s="24">
        <f>R99+S99/60+T99/3600</f>
        <v>48.853888888888889</v>
      </c>
      <c r="V99" s="28">
        <f>ABS(U99-P99)/P99</f>
        <v>3.4788526359473878E-6</v>
      </c>
      <c r="W99" s="22">
        <v>2</v>
      </c>
      <c r="X99" s="22">
        <v>20</v>
      </c>
      <c r="Y99" s="22">
        <v>0</v>
      </c>
      <c r="Z99" s="14">
        <f>W99+X99/60+Y99/3600</f>
        <v>2.3333333333333335</v>
      </c>
      <c r="AA99" s="26">
        <f>ABS(Z99-Q99)/Q99</f>
        <v>1.8973751570038595E-4</v>
      </c>
      <c r="AB99" s="26"/>
      <c r="AC99" s="24">
        <f>U99</f>
        <v>48.853888888888889</v>
      </c>
      <c r="AD99" s="14">
        <f>Z99</f>
        <v>2.3333333333333335</v>
      </c>
    </row>
    <row r="100" spans="1:30" s="14" customFormat="1">
      <c r="A100" s="12">
        <v>17</v>
      </c>
      <c r="B100" s="12" t="s">
        <v>111</v>
      </c>
      <c r="C100" s="14" t="str">
        <f>VLOOKUP(B100,weights!A:B,2,FALSE)</f>
        <v>P</v>
      </c>
      <c r="D100" s="13">
        <v>98</v>
      </c>
      <c r="E100" s="14" t="s">
        <v>175</v>
      </c>
      <c r="F100" s="14" t="s">
        <v>176</v>
      </c>
      <c r="G100" s="15"/>
      <c r="H100" s="18"/>
      <c r="I100" s="18"/>
      <c r="K100" s="14">
        <f>VLOOKUP(B100,weights!A:G,5,FALSE)</f>
        <v>1.07</v>
      </c>
      <c r="L100" s="14">
        <f>VLOOKUP(B100,weights!A:G,6,FALSE)</f>
        <v>7</v>
      </c>
      <c r="M100" s="14">
        <f>VLOOKUP(B100,weights!A:G,7,FALSE)</f>
        <v>10</v>
      </c>
      <c r="N100" t="s">
        <v>5643</v>
      </c>
      <c r="O100">
        <v>116</v>
      </c>
      <c r="P100">
        <v>48.8516722456</v>
      </c>
      <c r="Q100">
        <v>2.3312562913699999</v>
      </c>
      <c r="R100" s="22">
        <v>48</v>
      </c>
      <c r="S100" s="22">
        <v>51</v>
      </c>
      <c r="T100" s="22">
        <v>5</v>
      </c>
      <c r="U100" s="24">
        <f>R100+S100/60+T100/3600</f>
        <v>48.851388888888891</v>
      </c>
      <c r="V100" s="28">
        <f>ABS(U100-P100)/P100</f>
        <v>5.8003482395377316E-6</v>
      </c>
      <c r="W100" s="22">
        <v>2</v>
      </c>
      <c r="X100" s="22">
        <v>19</v>
      </c>
      <c r="Y100" s="22">
        <v>52</v>
      </c>
      <c r="Z100" s="14">
        <f>W100+X100/60+Y100/3600</f>
        <v>2.3311111111111109</v>
      </c>
      <c r="AA100" s="26">
        <f>ABS(Z100-Q100)/Q100</f>
        <v>6.2275546205033875E-5</v>
      </c>
      <c r="AB100" s="26"/>
      <c r="AC100" s="24">
        <f>U100</f>
        <v>48.851388888888891</v>
      </c>
      <c r="AD100" s="14">
        <f>Z100</f>
        <v>2.3311111111111109</v>
      </c>
    </row>
    <row r="101" spans="1:30" s="14" customFormat="1">
      <c r="A101" s="12">
        <v>18</v>
      </c>
      <c r="B101" s="12" t="s">
        <v>111</v>
      </c>
      <c r="C101" s="14" t="str">
        <f>VLOOKUP(B101,weights!A:B,2,FALSE)</f>
        <v>P</v>
      </c>
      <c r="D101" s="13">
        <v>99</v>
      </c>
      <c r="E101" s="14" t="s">
        <v>177</v>
      </c>
      <c r="F101" s="14" t="s">
        <v>178</v>
      </c>
      <c r="G101" s="15"/>
      <c r="H101" s="18"/>
      <c r="I101" s="18"/>
      <c r="K101" s="14">
        <f>VLOOKUP(B101,weights!A:G,5,FALSE)</f>
        <v>1.07</v>
      </c>
      <c r="L101" s="14">
        <f>VLOOKUP(B101,weights!A:G,6,FALSE)</f>
        <v>7</v>
      </c>
      <c r="M101" s="14">
        <f>VLOOKUP(B101,weights!A:G,7,FALSE)</f>
        <v>10</v>
      </c>
      <c r="N101" t="s">
        <v>5631</v>
      </c>
      <c r="O101">
        <v>210</v>
      </c>
      <c r="P101">
        <v>48.846878238000002</v>
      </c>
      <c r="Q101">
        <v>2.3267927850399999</v>
      </c>
      <c r="R101" s="22">
        <v>48</v>
      </c>
      <c r="S101" s="22">
        <v>50</v>
      </c>
      <c r="T101" s="22">
        <v>49</v>
      </c>
      <c r="U101" s="24">
        <f>R101+S101/60+T101/3600</f>
        <v>48.846944444444446</v>
      </c>
      <c r="V101" s="28">
        <f>ABS(U101-P101)/P101</f>
        <v>1.3553874235631501E-6</v>
      </c>
      <c r="W101" s="22">
        <v>2</v>
      </c>
      <c r="X101" s="22">
        <v>19</v>
      </c>
      <c r="Y101" s="22">
        <v>37</v>
      </c>
      <c r="Z101" s="14">
        <f>W101+X101/60+Y101/3600</f>
        <v>2.326944444444444</v>
      </c>
      <c r="AA101" s="26">
        <f>ABS(Z101-Q101)/Q101</f>
        <v>6.5179592020079194E-5</v>
      </c>
      <c r="AB101" s="26"/>
      <c r="AC101" s="24">
        <f>U101</f>
        <v>48.846944444444446</v>
      </c>
      <c r="AD101" s="14">
        <f>Z101</f>
        <v>2.326944444444444</v>
      </c>
    </row>
    <row r="102" spans="1:30" s="14" customFormat="1">
      <c r="A102" s="12">
        <v>19</v>
      </c>
      <c r="B102" s="12" t="s">
        <v>111</v>
      </c>
      <c r="C102" s="14" t="str">
        <f>VLOOKUP(B102,weights!A:B,2,FALSE)</f>
        <v>P</v>
      </c>
      <c r="D102" s="13">
        <v>100</v>
      </c>
      <c r="E102" s="14" t="s">
        <v>179</v>
      </c>
      <c r="F102" s="14" t="s">
        <v>180</v>
      </c>
      <c r="G102" s="15" t="s">
        <v>754</v>
      </c>
      <c r="H102" s="18" t="s">
        <v>1648</v>
      </c>
      <c r="I102" s="18" t="s">
        <v>1649</v>
      </c>
      <c r="K102" s="14">
        <f>VLOOKUP(B102,weights!A:G,5,FALSE)</f>
        <v>1.07</v>
      </c>
      <c r="L102" s="14">
        <f>VLOOKUP(B102,weights!A:G,6,FALSE)</f>
        <v>7</v>
      </c>
      <c r="M102" s="14">
        <f>VLOOKUP(B102,weights!A:G,7,FALSE)</f>
        <v>10</v>
      </c>
      <c r="N102" t="s">
        <v>4919</v>
      </c>
      <c r="O102">
        <v>477</v>
      </c>
      <c r="P102">
        <v>48.841186921099997</v>
      </c>
      <c r="Q102">
        <v>2.3205092275300001</v>
      </c>
      <c r="R102" s="22">
        <v>48</v>
      </c>
      <c r="S102" s="22">
        <v>50</v>
      </c>
      <c r="T102" s="22">
        <v>36</v>
      </c>
      <c r="U102" s="24">
        <f>R102+S102/60+T102/3600</f>
        <v>48.843333333333334</v>
      </c>
      <c r="V102" s="28">
        <f>ABS(U102-P102)/P102</f>
        <v>4.3946766420816164E-5</v>
      </c>
      <c r="W102" s="22">
        <v>2</v>
      </c>
      <c r="X102" s="22">
        <v>19</v>
      </c>
      <c r="Y102" s="22">
        <v>23</v>
      </c>
      <c r="Z102" s="14">
        <f>W102+X102/60+Y102/3600</f>
        <v>2.3230555555555554</v>
      </c>
      <c r="AA102" s="26">
        <f>ABS(Z102-Q102)/Q102</f>
        <v>1.097314328831904E-3</v>
      </c>
      <c r="AB102" s="26"/>
      <c r="AC102" s="24">
        <f>U102</f>
        <v>48.843333333333334</v>
      </c>
      <c r="AD102" s="14">
        <f>Z102</f>
        <v>2.3230555555555554</v>
      </c>
    </row>
    <row r="103" spans="1:30" s="14" customFormat="1">
      <c r="A103" s="12">
        <v>20</v>
      </c>
      <c r="B103" s="12" t="s">
        <v>111</v>
      </c>
      <c r="C103" s="14" t="str">
        <f>VLOOKUP(B103,weights!A:B,2,FALSE)</f>
        <v>P</v>
      </c>
      <c r="D103" s="13">
        <v>101</v>
      </c>
      <c r="E103" s="14" t="s">
        <v>181</v>
      </c>
      <c r="F103" s="14" t="s">
        <v>182</v>
      </c>
      <c r="G103" s="15"/>
      <c r="H103" s="18"/>
      <c r="I103" s="18"/>
      <c r="K103" s="14">
        <f>VLOOKUP(B103,weights!A:G,5,FALSE)</f>
        <v>1.07</v>
      </c>
      <c r="L103" s="14">
        <f>VLOOKUP(B103,weights!A:G,6,FALSE)</f>
        <v>7</v>
      </c>
      <c r="M103" s="14">
        <f>VLOOKUP(B103,weights!A:G,7,FALSE)</f>
        <v>10</v>
      </c>
      <c r="N103" t="s">
        <v>5876</v>
      </c>
      <c r="O103">
        <v>21</v>
      </c>
      <c r="P103">
        <v>48.842218413600001</v>
      </c>
      <c r="Q103">
        <v>2.3290089262400002</v>
      </c>
      <c r="R103" s="22">
        <v>48</v>
      </c>
      <c r="S103" s="22">
        <v>50</v>
      </c>
      <c r="T103" s="22">
        <v>32</v>
      </c>
      <c r="U103" s="24">
        <f>R103+S103/60+T103/3600</f>
        <v>48.842222222222226</v>
      </c>
      <c r="V103" s="28">
        <f>ABS(U103-P103)/P103</f>
        <v>7.797807610740572E-8</v>
      </c>
      <c r="W103" s="22">
        <v>2</v>
      </c>
      <c r="X103" s="22">
        <v>19</v>
      </c>
      <c r="Y103" s="22">
        <v>46</v>
      </c>
      <c r="Z103" s="14">
        <f>W103+X103/60+Y103/3600</f>
        <v>2.3294444444444444</v>
      </c>
      <c r="AA103" s="26">
        <f>ABS(Z103-Q103)/Q103</f>
        <v>1.8699722424306761E-4</v>
      </c>
      <c r="AB103" s="26"/>
      <c r="AC103" s="24">
        <f>U103</f>
        <v>48.842222222222226</v>
      </c>
      <c r="AD103" s="14">
        <f>Z103</f>
        <v>2.3294444444444444</v>
      </c>
    </row>
    <row r="104" spans="1:30" s="14" customFormat="1">
      <c r="A104" s="12">
        <v>21</v>
      </c>
      <c r="B104" s="12" t="s">
        <v>111</v>
      </c>
      <c r="C104" s="14" t="str">
        <f>VLOOKUP(B104,weights!A:B,2,FALSE)</f>
        <v>P</v>
      </c>
      <c r="D104" s="13">
        <v>102</v>
      </c>
      <c r="E104" s="14" t="s">
        <v>183</v>
      </c>
      <c r="F104" s="14" t="s">
        <v>184</v>
      </c>
      <c r="G104" s="15" t="s">
        <v>196</v>
      </c>
      <c r="H104" s="18" t="s">
        <v>1650</v>
      </c>
      <c r="I104" s="18"/>
      <c r="K104" s="14">
        <f>VLOOKUP(B104,weights!A:G,5,FALSE)</f>
        <v>1.07</v>
      </c>
      <c r="L104" s="14">
        <f>VLOOKUP(B104,weights!A:G,6,FALSE)</f>
        <v>7</v>
      </c>
      <c r="M104" s="14">
        <f>VLOOKUP(B104,weights!A:G,7,FALSE)</f>
        <v>10</v>
      </c>
      <c r="N104" t="s">
        <v>5422</v>
      </c>
      <c r="O104">
        <v>843</v>
      </c>
      <c r="P104">
        <v>48.838964280699997</v>
      </c>
      <c r="Q104">
        <v>2.3307541920900001</v>
      </c>
      <c r="R104" s="22">
        <v>48</v>
      </c>
      <c r="S104" s="22">
        <v>50</v>
      </c>
      <c r="T104" s="22">
        <v>20</v>
      </c>
      <c r="U104" s="24">
        <f>R104+S104/60+T104/3600</f>
        <v>48.838888888888889</v>
      </c>
      <c r="V104" s="28">
        <f>ABS(U104-P104)/P104</f>
        <v>1.5436816119892413E-6</v>
      </c>
      <c r="W104" s="22">
        <v>2</v>
      </c>
      <c r="X104" s="22">
        <v>19</v>
      </c>
      <c r="Y104" s="22">
        <v>51</v>
      </c>
      <c r="Z104" s="14">
        <f>W104+X104/60+Y104/3600</f>
        <v>2.3308333333333331</v>
      </c>
      <c r="AA104" s="26">
        <f>ABS(Z104-Q104)/Q104</f>
        <v>3.3955207975836906E-5</v>
      </c>
      <c r="AB104" s="26"/>
      <c r="AC104" s="24">
        <f>U104</f>
        <v>48.838888888888889</v>
      </c>
      <c r="AD104" s="14">
        <f>Z104</f>
        <v>2.3308333333333331</v>
      </c>
    </row>
    <row r="105" spans="1:30" s="14" customFormat="1">
      <c r="A105" s="12">
        <v>22</v>
      </c>
      <c r="B105" s="12" t="s">
        <v>111</v>
      </c>
      <c r="C105" s="14" t="str">
        <f>VLOOKUP(B105,weights!A:B,2,FALSE)</f>
        <v>P</v>
      </c>
      <c r="D105" s="13">
        <v>103</v>
      </c>
      <c r="E105" s="14" t="s">
        <v>185</v>
      </c>
      <c r="F105" s="14" t="s">
        <v>186</v>
      </c>
      <c r="G105" s="15" t="s">
        <v>197</v>
      </c>
      <c r="H105" s="18" t="s">
        <v>1651</v>
      </c>
      <c r="I105" s="18" t="s">
        <v>1652</v>
      </c>
      <c r="K105" s="14">
        <f>VLOOKUP(B105,weights!A:G,5,FALSE)</f>
        <v>1.07</v>
      </c>
      <c r="L105" s="14">
        <f>VLOOKUP(B105,weights!A:G,6,FALSE)</f>
        <v>7</v>
      </c>
      <c r="M105" s="14">
        <f>VLOOKUP(B105,weights!A:G,7,FALSE)</f>
        <v>10</v>
      </c>
      <c r="N105" t="s">
        <v>3846</v>
      </c>
      <c r="O105">
        <v>478</v>
      </c>
      <c r="P105">
        <v>48.834292980500003</v>
      </c>
      <c r="Q105">
        <v>2.3328523099599998</v>
      </c>
      <c r="R105" s="22">
        <v>48</v>
      </c>
      <c r="S105" s="22">
        <v>50</v>
      </c>
      <c r="T105" s="22">
        <v>2</v>
      </c>
      <c r="U105" s="24">
        <f>R105+S105/60+T105/3600</f>
        <v>48.833888888888893</v>
      </c>
      <c r="V105" s="28">
        <f>ABS(U105-P105)/P105</f>
        <v>8.2747509269929175E-6</v>
      </c>
      <c r="W105" s="22">
        <v>2</v>
      </c>
      <c r="X105" s="22">
        <v>19</v>
      </c>
      <c r="Y105" s="22">
        <v>57</v>
      </c>
      <c r="Z105" s="14">
        <f>W105+X105/60+Y105/3600</f>
        <v>2.3324999999999996</v>
      </c>
      <c r="AA105" s="26">
        <f>ABS(Z105-Q105)/Q105</f>
        <v>1.5102111629444813E-4</v>
      </c>
      <c r="AB105" s="26"/>
      <c r="AC105" s="24">
        <f>U105</f>
        <v>48.833888888888893</v>
      </c>
      <c r="AD105" s="14">
        <f>Z105</f>
        <v>2.3324999999999996</v>
      </c>
    </row>
    <row r="106" spans="1:30" s="14" customFormat="1">
      <c r="A106" s="12">
        <v>23</v>
      </c>
      <c r="B106" s="12" t="s">
        <v>111</v>
      </c>
      <c r="C106" s="14" t="str">
        <f>VLOOKUP(B106,weights!A:B,2,FALSE)</f>
        <v>P</v>
      </c>
      <c r="D106" s="13">
        <v>104</v>
      </c>
      <c r="E106" s="14" t="s">
        <v>187</v>
      </c>
      <c r="F106" s="14" t="s">
        <v>188</v>
      </c>
      <c r="G106" s="15"/>
      <c r="H106" s="18"/>
      <c r="I106" s="18"/>
      <c r="K106" s="14">
        <f>VLOOKUP(B106,weights!A:G,5,FALSE)</f>
        <v>1.07</v>
      </c>
      <c r="L106" s="14">
        <f>VLOOKUP(B106,weights!A:G,6,FALSE)</f>
        <v>7</v>
      </c>
      <c r="M106" s="14">
        <f>VLOOKUP(B106,weights!A:G,7,FALSE)</f>
        <v>10</v>
      </c>
      <c r="N106" t="s">
        <v>4953</v>
      </c>
      <c r="O106">
        <v>22</v>
      </c>
      <c r="P106">
        <v>48.831112660400002</v>
      </c>
      <c r="Q106">
        <v>2.3297050126199998</v>
      </c>
      <c r="R106" s="22">
        <v>48</v>
      </c>
      <c r="S106" s="22">
        <v>49</v>
      </c>
      <c r="T106" s="22">
        <v>56</v>
      </c>
      <c r="U106" s="24">
        <f>R106+S106/60+T106/3600</f>
        <v>48.832222222222228</v>
      </c>
      <c r="V106" s="28">
        <f>ABS(U106-P106)/P106</f>
        <v>2.2722435795026764E-5</v>
      </c>
      <c r="W106" s="22">
        <v>2</v>
      </c>
      <c r="X106" s="22">
        <v>19</v>
      </c>
      <c r="Y106" s="22">
        <v>49</v>
      </c>
      <c r="Z106" s="14">
        <f>W106+X106/60+Y106/3600</f>
        <v>2.3302777777777774</v>
      </c>
      <c r="AA106" s="26">
        <f>ABS(Z106-Q106)/Q106</f>
        <v>2.4585308211766448E-4</v>
      </c>
      <c r="AB106" s="26"/>
      <c r="AC106" s="24">
        <f>U106</f>
        <v>48.832222222222228</v>
      </c>
      <c r="AD106" s="14">
        <f>Z106</f>
        <v>2.3302777777777774</v>
      </c>
    </row>
    <row r="107" spans="1:30" s="14" customFormat="1">
      <c r="A107" s="12">
        <v>24</v>
      </c>
      <c r="B107" s="12" t="s">
        <v>111</v>
      </c>
      <c r="C107" s="14" t="str">
        <f>VLOOKUP(B107,weights!A:B,2,FALSE)</f>
        <v>P</v>
      </c>
      <c r="D107" s="13">
        <v>105</v>
      </c>
      <c r="E107" s="14" t="s">
        <v>189</v>
      </c>
      <c r="F107" s="14" t="s">
        <v>190</v>
      </c>
      <c r="G107" s="15"/>
      <c r="H107" s="18"/>
      <c r="I107" s="18"/>
      <c r="K107" s="14">
        <f>VLOOKUP(B107,weights!A:G,5,FALSE)</f>
        <v>1.07</v>
      </c>
      <c r="L107" s="14">
        <f>VLOOKUP(B107,weights!A:G,6,FALSE)</f>
        <v>7</v>
      </c>
      <c r="M107" s="14">
        <f>VLOOKUP(B107,weights!A:G,7,FALSE)</f>
        <v>10</v>
      </c>
      <c r="N107" t="s">
        <v>3153</v>
      </c>
      <c r="O107">
        <v>319</v>
      </c>
      <c r="P107">
        <v>48.828188476299999</v>
      </c>
      <c r="Q107">
        <v>2.3271646496099998</v>
      </c>
      <c r="R107" s="22">
        <v>48</v>
      </c>
      <c r="S107" s="22">
        <v>49</v>
      </c>
      <c r="T107" s="22">
        <v>42</v>
      </c>
      <c r="U107" s="24">
        <f>R107+S107/60+T107/3600</f>
        <v>48.828333333333333</v>
      </c>
      <c r="V107" s="28">
        <f>ABS(U107-P107)/P107</f>
        <v>2.9666681860230892E-6</v>
      </c>
      <c r="W107" s="22">
        <v>2</v>
      </c>
      <c r="X107" s="22">
        <v>19</v>
      </c>
      <c r="Y107" s="22">
        <v>37</v>
      </c>
      <c r="Z107" s="14">
        <f>W107+X107/60+Y107/3600</f>
        <v>2.326944444444444</v>
      </c>
      <c r="AA107" s="26">
        <f>ABS(Z107-Q107)/Q107</f>
        <v>9.4623801368187648E-5</v>
      </c>
      <c r="AB107" s="26"/>
      <c r="AC107" s="24">
        <f>U107</f>
        <v>48.828333333333333</v>
      </c>
      <c r="AD107" s="14">
        <f>Z107</f>
        <v>2.326944444444444</v>
      </c>
    </row>
    <row r="108" spans="1:30" s="14" customFormat="1">
      <c r="A108" s="12">
        <v>25</v>
      </c>
      <c r="B108" s="12" t="s">
        <v>111</v>
      </c>
      <c r="C108" s="14" t="str">
        <f>VLOOKUP(B108,weights!A:B,2,FALSE)</f>
        <v>P</v>
      </c>
      <c r="D108" s="13">
        <v>106</v>
      </c>
      <c r="E108" s="14" t="s">
        <v>763</v>
      </c>
      <c r="F108" s="14" t="s">
        <v>191</v>
      </c>
      <c r="G108" s="15" t="s">
        <v>198</v>
      </c>
      <c r="H108" s="18"/>
      <c r="I108" s="18" t="s">
        <v>1653</v>
      </c>
      <c r="K108" s="14">
        <f>VLOOKUP(B108,weights!A:G,5,FALSE)</f>
        <v>1.07</v>
      </c>
      <c r="L108" s="14">
        <f>VLOOKUP(B108,weights!A:G,6,FALSE)</f>
        <v>7</v>
      </c>
      <c r="M108" s="14">
        <f>VLOOKUP(B108,weights!A:G,7,FALSE)</f>
        <v>10</v>
      </c>
      <c r="N108" t="s">
        <v>5293</v>
      </c>
      <c r="O108">
        <v>717</v>
      </c>
      <c r="P108">
        <v>48.823151633099997</v>
      </c>
      <c r="Q108">
        <v>2.3255095778200001</v>
      </c>
      <c r="R108" s="22">
        <v>48</v>
      </c>
      <c r="S108" s="22">
        <v>49</v>
      </c>
      <c r="T108" s="22">
        <v>23</v>
      </c>
      <c r="U108" s="24">
        <f>R108+S108/60+T108/3600</f>
        <v>48.823055555555555</v>
      </c>
      <c r="V108" s="28">
        <f>ABS(U108-P108)/P108</f>
        <v>1.9678685465288584E-6</v>
      </c>
      <c r="W108" s="22">
        <v>2</v>
      </c>
      <c r="X108" s="22">
        <v>19</v>
      </c>
      <c r="Y108" s="22">
        <v>33</v>
      </c>
      <c r="Z108" s="14">
        <f>W108+X108/60+Y108/3600</f>
        <v>2.3258333333333332</v>
      </c>
      <c r="AA108" s="26">
        <f>ABS(Z108-Q108)/Q108</f>
        <v>1.3921917003523036E-4</v>
      </c>
      <c r="AB108" s="26"/>
      <c r="AC108" s="24">
        <f>U108</f>
        <v>48.823055555555555</v>
      </c>
      <c r="AD108" s="14">
        <f>Z108</f>
        <v>2.3258333333333332</v>
      </c>
    </row>
    <row r="109" spans="1:30" s="14" customFormat="1">
      <c r="A109" s="12">
        <v>26</v>
      </c>
      <c r="B109" s="12" t="s">
        <v>111</v>
      </c>
      <c r="C109" s="14" t="str">
        <f>VLOOKUP(B109,weights!A:B,2,FALSE)</f>
        <v>P</v>
      </c>
      <c r="D109" s="13">
        <v>107</v>
      </c>
      <c r="E109" s="14" t="s">
        <v>764</v>
      </c>
      <c r="F109" s="14" t="s">
        <v>192</v>
      </c>
      <c r="G109" s="15"/>
      <c r="H109" s="18"/>
      <c r="I109" s="18"/>
      <c r="K109" s="14">
        <f>VLOOKUP(B109,weights!A:G,5,FALSE)</f>
        <v>1.07</v>
      </c>
      <c r="L109" s="14">
        <f>VLOOKUP(B109,weights!A:G,6,FALSE)</f>
        <v>7</v>
      </c>
      <c r="M109" s="14">
        <f>VLOOKUP(B109,weights!A:G,7,FALSE)</f>
        <v>10</v>
      </c>
      <c r="N109" t="s">
        <v>4715</v>
      </c>
      <c r="O109">
        <v>530</v>
      </c>
      <c r="P109">
        <v>48.8186764099</v>
      </c>
      <c r="Q109">
        <v>2.3197403133000001</v>
      </c>
      <c r="R109" s="22">
        <v>48</v>
      </c>
      <c r="S109" s="22">
        <v>49</v>
      </c>
      <c r="T109" s="22">
        <v>6</v>
      </c>
      <c r="U109" s="24">
        <f>R109+S109/60+T109/3600</f>
        <v>48.818333333333335</v>
      </c>
      <c r="V109" s="28">
        <f>ABS(U109-P109)/P109</f>
        <v>7.0275679697743198E-6</v>
      </c>
      <c r="W109" s="22">
        <v>2</v>
      </c>
      <c r="X109" s="22">
        <v>19</v>
      </c>
      <c r="Y109" s="22">
        <v>10</v>
      </c>
      <c r="Z109" s="14">
        <f>W109+X109/60+Y109/3600</f>
        <v>2.3194444444444442</v>
      </c>
      <c r="AA109" s="26">
        <f>ABS(Z109-Q109)/Q109</f>
        <v>1.275439556141462E-4</v>
      </c>
      <c r="AB109" s="26"/>
      <c r="AC109" s="24">
        <f>U109</f>
        <v>48.818333333333335</v>
      </c>
      <c r="AD109" s="14">
        <f>Z109</f>
        <v>2.3194444444444442</v>
      </c>
    </row>
    <row r="110" spans="1:30" s="14" customFormat="1">
      <c r="A110" s="12">
        <v>0</v>
      </c>
      <c r="B110" s="12" t="s">
        <v>219</v>
      </c>
      <c r="C110" s="14" t="str">
        <f>VLOOKUP(B110,weights!A:B,2,FALSE)</f>
        <v>P</v>
      </c>
      <c r="D110" s="13">
        <v>108</v>
      </c>
      <c r="E110" s="14" t="s">
        <v>328</v>
      </c>
      <c r="G110" s="15" t="s">
        <v>213</v>
      </c>
      <c r="H110" s="18"/>
      <c r="I110" s="18" t="s">
        <v>1654</v>
      </c>
      <c r="K110" s="14">
        <f>VLOOKUP(B110,weights!A:G,5,FALSE)</f>
        <v>1.55</v>
      </c>
      <c r="L110" s="14">
        <f>VLOOKUP(B110,weights!A:G,6,FALSE)</f>
        <v>7</v>
      </c>
      <c r="M110" s="14">
        <f>VLOOKUP(B110,weights!A:G,7,FALSE)</f>
        <v>10</v>
      </c>
      <c r="N110" t="s">
        <v>3353</v>
      </c>
      <c r="O110">
        <v>635</v>
      </c>
      <c r="P110">
        <v>48.906374770299998</v>
      </c>
      <c r="Q110">
        <v>2.4491899044899998</v>
      </c>
      <c r="R110" s="22"/>
      <c r="S110" s="22"/>
      <c r="T110" s="22"/>
      <c r="U110" s="24">
        <f>R110+S110/60+T110/3600</f>
        <v>0</v>
      </c>
      <c r="V110" s="28">
        <f>ABS(U110-P110)/P110</f>
        <v>1</v>
      </c>
      <c r="W110" s="22"/>
      <c r="X110" s="22"/>
      <c r="Y110" s="22"/>
      <c r="Z110" s="14">
        <f>W110+X110/60+Y110/3600</f>
        <v>0</v>
      </c>
      <c r="AA110" s="26">
        <f>ABS(Z110-Q110)/Q110</f>
        <v>1</v>
      </c>
      <c r="AB110" s="26"/>
      <c r="AC110" s="14">
        <f>P110</f>
        <v>48.906374770299998</v>
      </c>
      <c r="AD110" s="14">
        <f>Q110</f>
        <v>2.4491899044899998</v>
      </c>
    </row>
    <row r="111" spans="1:30" s="14" customFormat="1">
      <c r="A111" s="12">
        <v>1</v>
      </c>
      <c r="B111" s="12" t="s">
        <v>219</v>
      </c>
      <c r="C111" s="14" t="str">
        <f>VLOOKUP(B111,weights!A:B,2,FALSE)</f>
        <v>P</v>
      </c>
      <c r="D111" s="13">
        <v>109</v>
      </c>
      <c r="E111" s="14" t="s">
        <v>199</v>
      </c>
      <c r="G111" s="15"/>
      <c r="H111" s="18"/>
      <c r="I111" s="18"/>
      <c r="K111" s="14">
        <f>VLOOKUP(B111,weights!A:G,5,FALSE)</f>
        <v>1.55</v>
      </c>
      <c r="L111" s="14">
        <f>VLOOKUP(B111,weights!A:G,6,FALSE)</f>
        <v>7</v>
      </c>
      <c r="M111" s="14">
        <f>VLOOKUP(B111,weights!A:G,7,FALSE)</f>
        <v>10</v>
      </c>
      <c r="N111" t="s">
        <v>3357</v>
      </c>
      <c r="O111">
        <v>320</v>
      </c>
      <c r="P111">
        <v>48.895454673099998</v>
      </c>
      <c r="Q111">
        <v>2.4253268915300001</v>
      </c>
      <c r="R111" s="22"/>
      <c r="S111" s="22"/>
      <c r="T111" s="22"/>
      <c r="U111" s="24">
        <f>R111+S111/60+T111/3600</f>
        <v>0</v>
      </c>
      <c r="V111" s="28">
        <f>ABS(U111-P111)/P111</f>
        <v>1</v>
      </c>
      <c r="W111" s="22"/>
      <c r="X111" s="22"/>
      <c r="Y111" s="22"/>
      <c r="Z111" s="14">
        <f>W111+X111/60+Y111/3600</f>
        <v>0</v>
      </c>
      <c r="AA111" s="26">
        <f>ABS(Z111-Q111)/Q111</f>
        <v>1</v>
      </c>
      <c r="AB111" s="26"/>
      <c r="AC111" s="14">
        <f>P111</f>
        <v>48.895454673099998</v>
      </c>
      <c r="AD111" s="14">
        <f>Q111</f>
        <v>2.4253268915300001</v>
      </c>
    </row>
    <row r="112" spans="1:30" s="14" customFormat="1">
      <c r="A112" s="12">
        <v>2</v>
      </c>
      <c r="B112" s="12" t="s">
        <v>219</v>
      </c>
      <c r="C112" s="14" t="str">
        <f>VLOOKUP(B112,weights!A:B,2,FALSE)</f>
        <v>P</v>
      </c>
      <c r="D112" s="13">
        <v>110</v>
      </c>
      <c r="E112" s="14" t="s">
        <v>200</v>
      </c>
      <c r="G112" s="15"/>
      <c r="H112" s="18"/>
      <c r="I112" s="18"/>
      <c r="K112" s="14">
        <f>VLOOKUP(B112,weights!A:G,5,FALSE)</f>
        <v>1.55</v>
      </c>
      <c r="L112" s="14">
        <f>VLOOKUP(B112,weights!A:G,6,FALSE)</f>
        <v>7</v>
      </c>
      <c r="M112" s="14">
        <f>VLOOKUP(B112,weights!A:G,7,FALSE)</f>
        <v>10</v>
      </c>
      <c r="N112" t="s">
        <v>3917</v>
      </c>
      <c r="O112">
        <v>844</v>
      </c>
      <c r="P112">
        <v>48.893257589999997</v>
      </c>
      <c r="Q112">
        <v>2.41331313951</v>
      </c>
      <c r="R112" s="22"/>
      <c r="S112" s="22"/>
      <c r="T112" s="22"/>
      <c r="U112" s="24">
        <f>R112+S112/60+T112/3600</f>
        <v>0</v>
      </c>
      <c r="V112" s="28">
        <f>ABS(U112-P112)/P112</f>
        <v>1</v>
      </c>
      <c r="W112" s="22"/>
      <c r="X112" s="22"/>
      <c r="Y112" s="22"/>
      <c r="Z112" s="14">
        <f>W112+X112/60+Y112/3600</f>
        <v>0</v>
      </c>
      <c r="AA112" s="26">
        <f>ABS(Z112-Q112)/Q112</f>
        <v>1</v>
      </c>
      <c r="AB112" s="26"/>
      <c r="AC112" s="14">
        <f>P112</f>
        <v>48.893257589999997</v>
      </c>
      <c r="AD112" s="14">
        <f>Q112</f>
        <v>2.41331313951</v>
      </c>
    </row>
    <row r="113" spans="1:30" s="14" customFormat="1">
      <c r="A113" s="12">
        <v>3</v>
      </c>
      <c r="B113" s="12" t="s">
        <v>219</v>
      </c>
      <c r="C113" s="14" t="str">
        <f>VLOOKUP(B113,weights!A:B,2,FALSE)</f>
        <v>P</v>
      </c>
      <c r="D113" s="13">
        <v>111</v>
      </c>
      <c r="E113" s="14" t="s">
        <v>201</v>
      </c>
      <c r="G113" s="15"/>
      <c r="H113" s="18"/>
      <c r="I113" s="18"/>
      <c r="K113" s="14">
        <f>VLOOKUP(B113,weights!A:G,5,FALSE)</f>
        <v>1.55</v>
      </c>
      <c r="L113" s="14">
        <f>VLOOKUP(B113,weights!A:G,6,FALSE)</f>
        <v>7</v>
      </c>
      <c r="M113" s="14">
        <f>VLOOKUP(B113,weights!A:G,7,FALSE)</f>
        <v>10</v>
      </c>
      <c r="N113" t="s">
        <v>4221</v>
      </c>
      <c r="O113">
        <v>211</v>
      </c>
      <c r="P113">
        <v>48.891228594099999</v>
      </c>
      <c r="Q113">
        <v>2.4023521466200002</v>
      </c>
      <c r="R113" s="22"/>
      <c r="S113" s="22"/>
      <c r="T113" s="22"/>
      <c r="U113" s="24">
        <f>R113+S113/60+T113/3600</f>
        <v>0</v>
      </c>
      <c r="V113" s="28">
        <f>ABS(U113-P113)/P113</f>
        <v>1</v>
      </c>
      <c r="W113" s="22"/>
      <c r="X113" s="22"/>
      <c r="Y113" s="22"/>
      <c r="Z113" s="14">
        <f>W113+X113/60+Y113/3600</f>
        <v>0</v>
      </c>
      <c r="AA113" s="26">
        <f>ABS(Z113-Q113)/Q113</f>
        <v>1</v>
      </c>
      <c r="AB113" s="26"/>
      <c r="AC113" s="14">
        <f>P113</f>
        <v>48.891228594099999</v>
      </c>
      <c r="AD113" s="14">
        <f>Q113</f>
        <v>2.4023521466200002</v>
      </c>
    </row>
    <row r="114" spans="1:30" s="14" customFormat="1">
      <c r="A114" s="12">
        <v>4</v>
      </c>
      <c r="B114" s="12" t="s">
        <v>219</v>
      </c>
      <c r="C114" s="14" t="str">
        <f>VLOOKUP(B114,weights!A:B,2,FALSE)</f>
        <v>P</v>
      </c>
      <c r="D114" s="13">
        <v>112</v>
      </c>
      <c r="E114" s="14" t="s">
        <v>329</v>
      </c>
      <c r="G114" s="15" t="s">
        <v>143</v>
      </c>
      <c r="H114" s="18"/>
      <c r="I114" s="18" t="s">
        <v>1655</v>
      </c>
      <c r="K114" s="14">
        <f>VLOOKUP(B114,weights!A:G,5,FALSE)</f>
        <v>1.55</v>
      </c>
      <c r="L114" s="14">
        <f>VLOOKUP(B114,weights!A:G,6,FALSE)</f>
        <v>7</v>
      </c>
      <c r="M114" s="14">
        <f>VLOOKUP(B114,weights!A:G,7,FALSE)</f>
        <v>10</v>
      </c>
      <c r="N114" t="s">
        <v>5339</v>
      </c>
      <c r="O114">
        <v>711</v>
      </c>
      <c r="P114">
        <v>48.889472657699997</v>
      </c>
      <c r="Q114">
        <v>2.3957953281600002</v>
      </c>
      <c r="R114" s="22"/>
      <c r="S114" s="22"/>
      <c r="T114" s="22"/>
      <c r="U114" s="24">
        <f>R114+S114/60+T114/3600</f>
        <v>0</v>
      </c>
      <c r="V114" s="28">
        <f>ABS(U114-P114)/P114</f>
        <v>1</v>
      </c>
      <c r="W114" s="22"/>
      <c r="X114" s="22"/>
      <c r="Y114" s="22"/>
      <c r="Z114" s="14">
        <f>W114+X114/60+Y114/3600</f>
        <v>0</v>
      </c>
      <c r="AA114" s="26">
        <f>ABS(Z114-Q114)/Q114</f>
        <v>1</v>
      </c>
      <c r="AB114" s="26"/>
      <c r="AC114" s="14">
        <f>P114</f>
        <v>48.889472657699997</v>
      </c>
      <c r="AD114" s="14">
        <f>Q114</f>
        <v>2.3957953281600002</v>
      </c>
    </row>
    <row r="115" spans="1:30" s="14" customFormat="1">
      <c r="A115" s="12">
        <v>5</v>
      </c>
      <c r="B115" s="12" t="s">
        <v>219</v>
      </c>
      <c r="C115" s="14" t="str">
        <f>VLOOKUP(B115,weights!A:B,2,FALSE)</f>
        <v>P</v>
      </c>
      <c r="D115" s="13">
        <v>113</v>
      </c>
      <c r="E115" s="14" t="s">
        <v>202</v>
      </c>
      <c r="G115" s="15"/>
      <c r="H115" s="18"/>
      <c r="I115" s="18"/>
      <c r="K115" s="14">
        <f>VLOOKUP(B115,weights!A:G,5,FALSE)</f>
        <v>1.55</v>
      </c>
      <c r="L115" s="14">
        <f>VLOOKUP(B115,weights!A:G,6,FALSE)</f>
        <v>7</v>
      </c>
      <c r="M115" s="14">
        <f>VLOOKUP(B115,weights!A:G,7,FALSE)</f>
        <v>10</v>
      </c>
      <c r="N115" t="s">
        <v>5069</v>
      </c>
      <c r="O115">
        <v>321</v>
      </c>
      <c r="P115">
        <v>48.887134869100002</v>
      </c>
      <c r="Q115">
        <v>2.3869600171399998</v>
      </c>
      <c r="R115" s="22"/>
      <c r="S115" s="22"/>
      <c r="T115" s="22"/>
      <c r="U115" s="24">
        <f>R115+S115/60+T115/3600</f>
        <v>0</v>
      </c>
      <c r="V115" s="28">
        <f>ABS(U115-P115)/P115</f>
        <v>1</v>
      </c>
      <c r="W115" s="22"/>
      <c r="X115" s="22"/>
      <c r="Y115" s="22"/>
      <c r="Z115" s="14">
        <f>W115+X115/60+Y115/3600</f>
        <v>0</v>
      </c>
      <c r="AA115" s="26">
        <f>ABS(Z115-Q115)/Q115</f>
        <v>1</v>
      </c>
      <c r="AB115" s="26"/>
      <c r="AC115" s="14">
        <f>P115</f>
        <v>48.887134869100002</v>
      </c>
      <c r="AD115" s="14">
        <f>Q115</f>
        <v>2.3869600171399998</v>
      </c>
    </row>
    <row r="116" spans="1:30" s="14" customFormat="1">
      <c r="A116" s="12">
        <v>6</v>
      </c>
      <c r="B116" s="12" t="s">
        <v>219</v>
      </c>
      <c r="C116" s="14" t="str">
        <f>VLOOKUP(B116,weights!A:B,2,FALSE)</f>
        <v>P</v>
      </c>
      <c r="D116" s="13">
        <v>114</v>
      </c>
      <c r="E116" s="14" t="s">
        <v>203</v>
      </c>
      <c r="G116" s="15"/>
      <c r="H116" s="18"/>
      <c r="I116" s="18"/>
      <c r="K116" s="14">
        <f>VLOOKUP(B116,weights!A:G,5,FALSE)</f>
        <v>1.55</v>
      </c>
      <c r="L116" s="14">
        <f>VLOOKUP(B116,weights!A:G,6,FALSE)</f>
        <v>7</v>
      </c>
      <c r="M116" s="14">
        <f>VLOOKUP(B116,weights!A:G,7,FALSE)</f>
        <v>10</v>
      </c>
      <c r="N116" t="s">
        <v>4475</v>
      </c>
      <c r="O116">
        <v>322</v>
      </c>
      <c r="P116">
        <v>48.885216182999997</v>
      </c>
      <c r="Q116">
        <v>2.3796630815599999</v>
      </c>
      <c r="R116" s="22"/>
      <c r="S116" s="22"/>
      <c r="T116" s="22"/>
      <c r="U116" s="24">
        <f>R116+S116/60+T116/3600</f>
        <v>0</v>
      </c>
      <c r="V116" s="28">
        <f>ABS(U116-P116)/P116</f>
        <v>1</v>
      </c>
      <c r="W116" s="22"/>
      <c r="X116" s="22"/>
      <c r="Y116" s="22"/>
      <c r="Z116" s="14">
        <f>W116+X116/60+Y116/3600</f>
        <v>0</v>
      </c>
      <c r="AA116" s="26">
        <f>ABS(Z116-Q116)/Q116</f>
        <v>1</v>
      </c>
      <c r="AB116" s="26"/>
      <c r="AC116" s="14">
        <f>P116</f>
        <v>48.885216182999997</v>
      </c>
      <c r="AD116" s="14">
        <f>Q116</f>
        <v>2.3796630815599999</v>
      </c>
    </row>
    <row r="117" spans="1:30" s="14" customFormat="1">
      <c r="A117" s="12">
        <v>7</v>
      </c>
      <c r="B117" s="12" t="s">
        <v>219</v>
      </c>
      <c r="C117" s="14" t="str">
        <f>VLOOKUP(B117,weights!A:B,2,FALSE)</f>
        <v>P</v>
      </c>
      <c r="D117" s="13">
        <v>115</v>
      </c>
      <c r="E117" s="14" t="s">
        <v>98</v>
      </c>
      <c r="G117" s="15" t="s">
        <v>214</v>
      </c>
      <c r="H117" s="18" t="s">
        <v>1656</v>
      </c>
      <c r="I117" s="18"/>
      <c r="K117" s="14">
        <f>VLOOKUP(B117,weights!A:G,5,FALSE)</f>
        <v>1.55</v>
      </c>
      <c r="L117" s="14">
        <f>VLOOKUP(B117,weights!A:G,6,FALSE)</f>
        <v>7</v>
      </c>
      <c r="M117" s="14">
        <f>VLOOKUP(B117,weights!A:G,7,FALSE)</f>
        <v>10</v>
      </c>
      <c r="N117" t="s">
        <v>4299</v>
      </c>
      <c r="O117">
        <v>354</v>
      </c>
      <c r="P117">
        <v>48.8827381328</v>
      </c>
      <c r="Q117">
        <v>2.3701223122799999</v>
      </c>
      <c r="R117" s="22"/>
      <c r="S117" s="22"/>
      <c r="T117" s="22"/>
      <c r="U117" s="24">
        <f>R117+S117/60+T117/3600</f>
        <v>0</v>
      </c>
      <c r="V117" s="28">
        <f>ABS(U117-P117)/P117</f>
        <v>1</v>
      </c>
      <c r="W117" s="22"/>
      <c r="X117" s="22"/>
      <c r="Y117" s="22"/>
      <c r="Z117" s="14">
        <f>W117+X117/60+Y117/3600</f>
        <v>0</v>
      </c>
      <c r="AA117" s="26">
        <f>ABS(Z117-Q117)/Q117</f>
        <v>1</v>
      </c>
      <c r="AB117" s="26"/>
      <c r="AC117" s="14">
        <f>P117</f>
        <v>48.8827381328</v>
      </c>
      <c r="AD117" s="14">
        <f>Q117</f>
        <v>2.3701223122799999</v>
      </c>
    </row>
    <row r="118" spans="1:30" s="14" customFormat="1">
      <c r="A118" s="12">
        <v>8</v>
      </c>
      <c r="B118" s="12" t="s">
        <v>219</v>
      </c>
      <c r="C118" s="14" t="str">
        <f>VLOOKUP(B118,weights!A:B,2,FALSE)</f>
        <v>P</v>
      </c>
      <c r="D118" s="13">
        <v>116</v>
      </c>
      <c r="E118" s="14" t="s">
        <v>97</v>
      </c>
      <c r="G118" s="15" t="s">
        <v>215</v>
      </c>
      <c r="H118" s="18" t="s">
        <v>1657</v>
      </c>
      <c r="I118" s="18"/>
      <c r="K118" s="14">
        <f>VLOOKUP(B118,weights!A:G,5,FALSE)</f>
        <v>1.55</v>
      </c>
      <c r="L118" s="14">
        <f>VLOOKUP(B118,weights!A:G,6,FALSE)</f>
        <v>7</v>
      </c>
      <c r="M118" s="14">
        <f>VLOOKUP(B118,weights!A:G,7,FALSE)</f>
        <v>10</v>
      </c>
      <c r="N118" t="s">
        <v>5734</v>
      </c>
      <c r="O118">
        <v>117</v>
      </c>
      <c r="P118">
        <v>48.883995220499997</v>
      </c>
      <c r="Q118">
        <v>2.3689127033099999</v>
      </c>
      <c r="R118" s="22"/>
      <c r="S118" s="22"/>
      <c r="T118" s="22"/>
      <c r="U118" s="24">
        <f>R118+S118/60+T118/3600</f>
        <v>0</v>
      </c>
      <c r="V118" s="28">
        <f>ABS(U118-P118)/P118</f>
        <v>1</v>
      </c>
      <c r="W118" s="22"/>
      <c r="X118" s="22"/>
      <c r="Y118" s="22"/>
      <c r="Z118" s="14">
        <f>W118+X118/60+Y118/3600</f>
        <v>0</v>
      </c>
      <c r="AA118" s="26">
        <f>ABS(Z118-Q118)/Q118</f>
        <v>1</v>
      </c>
      <c r="AB118" s="26"/>
      <c r="AC118" s="14">
        <f>P118</f>
        <v>48.883995220499997</v>
      </c>
      <c r="AD118" s="14">
        <f>Q118</f>
        <v>2.3689127033099999</v>
      </c>
    </row>
    <row r="119" spans="1:30" s="14" customFormat="1">
      <c r="A119" s="12">
        <v>9</v>
      </c>
      <c r="B119" s="12" t="s">
        <v>219</v>
      </c>
      <c r="C119" s="14" t="str">
        <f>VLOOKUP(B119,weights!A:B,2,FALSE)</f>
        <v>P</v>
      </c>
      <c r="D119" s="13">
        <v>117</v>
      </c>
      <c r="E119" s="14" t="s">
        <v>154</v>
      </c>
      <c r="G119" s="15" t="s">
        <v>1464</v>
      </c>
      <c r="H119" s="18" t="s">
        <v>1610</v>
      </c>
      <c r="I119" s="18" t="s">
        <v>1640</v>
      </c>
      <c r="K119" s="14">
        <f>VLOOKUP(B119,weights!A:G,5,FALSE)</f>
        <v>1.55</v>
      </c>
      <c r="L119" s="14">
        <f>VLOOKUP(B119,weights!A:G,6,FALSE)</f>
        <v>7</v>
      </c>
      <c r="M119" s="14">
        <f>VLOOKUP(B119,weights!A:G,7,FALSE)</f>
        <v>10</v>
      </c>
      <c r="N119" t="s">
        <v>4109</v>
      </c>
      <c r="O119">
        <v>817</v>
      </c>
      <c r="P119">
        <v>48.880922007599999</v>
      </c>
      <c r="Q119">
        <v>2.3563285436600001</v>
      </c>
      <c r="R119" s="22"/>
      <c r="S119" s="22"/>
      <c r="T119" s="22"/>
      <c r="U119" s="24">
        <f>R119+S119/60+T119/3600</f>
        <v>0</v>
      </c>
      <c r="V119" s="28">
        <f>ABS(U119-P119)/P119</f>
        <v>1</v>
      </c>
      <c r="W119" s="22"/>
      <c r="X119" s="22"/>
      <c r="Y119" s="22"/>
      <c r="Z119" s="14">
        <f>W119+X119/60+Y119/3600</f>
        <v>0</v>
      </c>
      <c r="AA119" s="26">
        <f>ABS(Z119-Q119)/Q119</f>
        <v>1</v>
      </c>
      <c r="AB119" s="26"/>
      <c r="AC119" s="14">
        <f>P119</f>
        <v>48.880922007599999</v>
      </c>
      <c r="AD119" s="14">
        <f>Q119</f>
        <v>2.3563285436600001</v>
      </c>
    </row>
    <row r="120" spans="1:30" s="14" customFormat="1">
      <c r="A120" s="12">
        <v>10</v>
      </c>
      <c r="B120" s="12" t="s">
        <v>219</v>
      </c>
      <c r="C120" s="14" t="str">
        <f>VLOOKUP(B120,weights!A:B,2,FALSE)</f>
        <v>P</v>
      </c>
      <c r="D120" s="13">
        <v>118</v>
      </c>
      <c r="E120" s="14" t="s">
        <v>156</v>
      </c>
      <c r="G120" s="15" t="s">
        <v>1448</v>
      </c>
      <c r="H120" s="18" t="s">
        <v>1658</v>
      </c>
      <c r="I120" s="18" t="s">
        <v>1642</v>
      </c>
      <c r="K120" s="14">
        <f>VLOOKUP(B120,weights!A:G,5,FALSE)</f>
        <v>1.55</v>
      </c>
      <c r="L120" s="14">
        <f>VLOOKUP(B120,weights!A:G,6,FALSE)</f>
        <v>7</v>
      </c>
      <c r="M120" s="14">
        <f>VLOOKUP(B120,weights!A:G,7,FALSE)</f>
        <v>10</v>
      </c>
      <c r="N120" t="s">
        <v>4098</v>
      </c>
      <c r="O120">
        <v>712</v>
      </c>
      <c r="P120">
        <v>48.8773756199</v>
      </c>
      <c r="Q120">
        <v>2.3594566169400002</v>
      </c>
      <c r="R120" s="22"/>
      <c r="S120" s="22"/>
      <c r="T120" s="22"/>
      <c r="U120" s="24">
        <f>R120+S120/60+T120/3600</f>
        <v>0</v>
      </c>
      <c r="V120" s="28">
        <f>ABS(U120-P120)/P120</f>
        <v>1</v>
      </c>
      <c r="W120" s="22"/>
      <c r="X120" s="22"/>
      <c r="Y120" s="22"/>
      <c r="Z120" s="14">
        <f>W120+X120/60+Y120/3600</f>
        <v>0</v>
      </c>
      <c r="AA120" s="26">
        <f>ABS(Z120-Q120)/Q120</f>
        <v>1</v>
      </c>
      <c r="AB120" s="26"/>
      <c r="AC120" s="14">
        <f>P120</f>
        <v>48.8773756199</v>
      </c>
      <c r="AD120" s="14">
        <f>Q120</f>
        <v>2.3594566169400002</v>
      </c>
    </row>
    <row r="121" spans="1:30" s="14" customFormat="1">
      <c r="A121" s="12">
        <v>11</v>
      </c>
      <c r="B121" s="12" t="s">
        <v>219</v>
      </c>
      <c r="C121" s="14" t="str">
        <f>VLOOKUP(B121,weights!A:B,2,FALSE)</f>
        <v>P</v>
      </c>
      <c r="D121" s="13">
        <v>119</v>
      </c>
      <c r="E121" s="14" t="s">
        <v>204</v>
      </c>
      <c r="G121" s="15"/>
      <c r="H121" s="18"/>
      <c r="I121" s="18"/>
      <c r="K121" s="14">
        <f>VLOOKUP(B121,weights!A:G,5,FALSE)</f>
        <v>1.55</v>
      </c>
      <c r="L121" s="14">
        <f>VLOOKUP(B121,weights!A:G,6,FALSE)</f>
        <v>7</v>
      </c>
      <c r="M121" s="14">
        <f>VLOOKUP(B121,weights!A:G,7,FALSE)</f>
        <v>10</v>
      </c>
      <c r="N121" t="s">
        <v>4287</v>
      </c>
      <c r="O121">
        <v>118</v>
      </c>
      <c r="P121">
        <v>48.870809983599997</v>
      </c>
      <c r="Q121">
        <v>2.3610274627800001</v>
      </c>
      <c r="R121" s="22"/>
      <c r="S121" s="22"/>
      <c r="T121" s="22"/>
      <c r="U121" s="24">
        <f>R121+S121/60+T121/3600</f>
        <v>0</v>
      </c>
      <c r="V121" s="28">
        <f>ABS(U121-P121)/P121</f>
        <v>1</v>
      </c>
      <c r="W121" s="22"/>
      <c r="X121" s="22"/>
      <c r="Y121" s="22"/>
      <c r="Z121" s="14">
        <f>W121+X121/60+Y121/3600</f>
        <v>0</v>
      </c>
      <c r="AA121" s="26">
        <f>ABS(Z121-Q121)/Q121</f>
        <v>1</v>
      </c>
      <c r="AB121" s="26"/>
      <c r="AC121" s="14">
        <f>P121</f>
        <v>48.870809983599997</v>
      </c>
      <c r="AD121" s="14">
        <f>Q121</f>
        <v>2.3610274627800001</v>
      </c>
    </row>
    <row r="122" spans="1:30" s="14" customFormat="1">
      <c r="A122" s="12">
        <v>12</v>
      </c>
      <c r="B122" s="12" t="s">
        <v>219</v>
      </c>
      <c r="C122" s="14" t="str">
        <f>VLOOKUP(B122,weights!A:B,2,FALSE)</f>
        <v>P</v>
      </c>
      <c r="D122" s="13">
        <v>120</v>
      </c>
      <c r="E122" s="14" t="s">
        <v>132</v>
      </c>
      <c r="G122" s="15" t="s">
        <v>216</v>
      </c>
      <c r="H122" s="18" t="s">
        <v>1659</v>
      </c>
      <c r="I122" s="18"/>
      <c r="K122" s="14">
        <f>VLOOKUP(B122,weights!A:G,5,FALSE)</f>
        <v>1.55</v>
      </c>
      <c r="L122" s="14">
        <f>VLOOKUP(B122,weights!A:G,6,FALSE)</f>
        <v>7</v>
      </c>
      <c r="M122" s="14">
        <f>VLOOKUP(B122,weights!A:G,7,FALSE)</f>
        <v>10</v>
      </c>
      <c r="N122" t="s">
        <v>5433</v>
      </c>
      <c r="O122">
        <v>123</v>
      </c>
      <c r="P122">
        <v>48.867503423800002</v>
      </c>
      <c r="Q122">
        <v>2.3638261439799999</v>
      </c>
      <c r="R122" s="22"/>
      <c r="S122" s="22"/>
      <c r="T122" s="22"/>
      <c r="U122" s="24">
        <f>R122+S122/60+T122/3600</f>
        <v>0</v>
      </c>
      <c r="V122" s="28">
        <f>ABS(U122-P122)/P122</f>
        <v>1</v>
      </c>
      <c r="W122" s="22"/>
      <c r="X122" s="22"/>
      <c r="Y122" s="22"/>
      <c r="Z122" s="14">
        <f>W122+X122/60+Y122/3600</f>
        <v>0</v>
      </c>
      <c r="AA122" s="26">
        <f>ABS(Z122-Q122)/Q122</f>
        <v>1</v>
      </c>
      <c r="AB122" s="26"/>
      <c r="AC122" s="14">
        <f>P122</f>
        <v>48.867503423800002</v>
      </c>
      <c r="AD122" s="14">
        <f>Q122</f>
        <v>2.3638261439799999</v>
      </c>
    </row>
    <row r="123" spans="1:30" s="14" customFormat="1">
      <c r="A123" s="12">
        <v>13</v>
      </c>
      <c r="B123" s="12" t="s">
        <v>219</v>
      </c>
      <c r="C123" s="14" t="str">
        <f>VLOOKUP(B123,weights!A:B,2,FALSE)</f>
        <v>P</v>
      </c>
      <c r="D123" s="13">
        <v>121</v>
      </c>
      <c r="E123" s="14" t="s">
        <v>205</v>
      </c>
      <c r="G123" s="15" t="s">
        <v>71</v>
      </c>
      <c r="H123" s="18" t="s">
        <v>1660</v>
      </c>
      <c r="I123" s="18"/>
      <c r="K123" s="14">
        <f>VLOOKUP(B123,weights!A:G,5,FALSE)</f>
        <v>1.55</v>
      </c>
      <c r="L123" s="14">
        <f>VLOOKUP(B123,weights!A:G,6,FALSE)</f>
        <v>7</v>
      </c>
      <c r="M123" s="14">
        <f>VLOOKUP(B123,weights!A:G,7,FALSE)</f>
        <v>10</v>
      </c>
      <c r="N123" t="s">
        <v>5033</v>
      </c>
      <c r="O123">
        <v>124</v>
      </c>
      <c r="P123">
        <v>48.864727620700002</v>
      </c>
      <c r="Q123">
        <v>2.36849638711</v>
      </c>
      <c r="R123" s="22"/>
      <c r="S123" s="22"/>
      <c r="T123" s="22"/>
      <c r="U123" s="24">
        <f>R123+S123/60+T123/3600</f>
        <v>0</v>
      </c>
      <c r="V123" s="28">
        <f>ABS(U123-P123)/P123</f>
        <v>1</v>
      </c>
      <c r="W123" s="22"/>
      <c r="X123" s="22"/>
      <c r="Y123" s="22"/>
      <c r="Z123" s="14">
        <f>W123+X123/60+Y123/3600</f>
        <v>0</v>
      </c>
      <c r="AA123" s="26">
        <f>ABS(Z123-Q123)/Q123</f>
        <v>1</v>
      </c>
      <c r="AB123" s="26"/>
      <c r="AC123" s="14">
        <f>P123</f>
        <v>48.864727620700002</v>
      </c>
      <c r="AD123" s="14">
        <f>Q123</f>
        <v>2.36849638711</v>
      </c>
    </row>
    <row r="124" spans="1:30" s="14" customFormat="1">
      <c r="A124" s="12">
        <v>14</v>
      </c>
      <c r="B124" s="12" t="s">
        <v>219</v>
      </c>
      <c r="C124" s="14" t="str">
        <f>VLOOKUP(B124,weights!A:B,2,FALSE)</f>
        <v>P</v>
      </c>
      <c r="D124" s="13">
        <v>122</v>
      </c>
      <c r="E124" s="14" t="s">
        <v>206</v>
      </c>
      <c r="G124" s="15"/>
      <c r="H124" s="18"/>
      <c r="I124" s="18"/>
      <c r="K124" s="14">
        <f>VLOOKUP(B124,weights!A:G,5,FALSE)</f>
        <v>1.55</v>
      </c>
      <c r="L124" s="14">
        <f>VLOOKUP(B124,weights!A:G,6,FALSE)</f>
        <v>7</v>
      </c>
      <c r="M124" s="14">
        <f>VLOOKUP(B124,weights!A:G,7,FALSE)</f>
        <v>10</v>
      </c>
      <c r="N124" t="s">
        <v>5441</v>
      </c>
      <c r="O124">
        <v>323</v>
      </c>
      <c r="P124">
        <v>48.859873621699997</v>
      </c>
      <c r="Q124">
        <v>2.3719139787599999</v>
      </c>
      <c r="R124" s="22"/>
      <c r="S124" s="22"/>
      <c r="T124" s="22"/>
      <c r="U124" s="24">
        <f>R124+S124/60+T124/3600</f>
        <v>0</v>
      </c>
      <c r="V124" s="28">
        <f>ABS(U124-P124)/P124</f>
        <v>1</v>
      </c>
      <c r="W124" s="22"/>
      <c r="X124" s="22"/>
      <c r="Y124" s="22"/>
      <c r="Z124" s="14">
        <f>W124+X124/60+Y124/3600</f>
        <v>0</v>
      </c>
      <c r="AA124" s="26">
        <f>ABS(Z124-Q124)/Q124</f>
        <v>1</v>
      </c>
      <c r="AB124" s="26"/>
      <c r="AC124" s="14">
        <f>P124</f>
        <v>48.859873621699997</v>
      </c>
      <c r="AD124" s="14">
        <f>Q124</f>
        <v>2.3719139787599999</v>
      </c>
    </row>
    <row r="125" spans="1:30" s="14" customFormat="1">
      <c r="A125" s="12">
        <v>15</v>
      </c>
      <c r="B125" s="12" t="s">
        <v>219</v>
      </c>
      <c r="C125" s="14" t="str">
        <f>VLOOKUP(B125,weights!A:B,2,FALSE)</f>
        <v>P</v>
      </c>
      <c r="D125" s="13">
        <v>123</v>
      </c>
      <c r="E125" s="14" t="s">
        <v>207</v>
      </c>
      <c r="G125" s="15"/>
      <c r="H125" s="18"/>
      <c r="I125" s="18"/>
      <c r="K125" s="14">
        <f>VLOOKUP(B125,weights!A:G,5,FALSE)</f>
        <v>1.55</v>
      </c>
      <c r="L125" s="14">
        <f>VLOOKUP(B125,weights!A:G,6,FALSE)</f>
        <v>7</v>
      </c>
      <c r="M125" s="14">
        <f>VLOOKUP(B125,weights!A:G,7,FALSE)</f>
        <v>10</v>
      </c>
      <c r="N125" t="s">
        <v>3441</v>
      </c>
      <c r="O125">
        <v>212</v>
      </c>
      <c r="P125">
        <v>48.856140713000002</v>
      </c>
      <c r="Q125">
        <v>2.3702093410999998</v>
      </c>
      <c r="R125" s="22"/>
      <c r="S125" s="22"/>
      <c r="T125" s="22"/>
      <c r="U125" s="24">
        <f>R125+S125/60+T125/3600</f>
        <v>0</v>
      </c>
      <c r="V125" s="28">
        <f>ABS(U125-P125)/P125</f>
        <v>1</v>
      </c>
      <c r="W125" s="22"/>
      <c r="X125" s="22"/>
      <c r="Y125" s="22"/>
      <c r="Z125" s="14">
        <f>W125+X125/60+Y125/3600</f>
        <v>0</v>
      </c>
      <c r="AA125" s="26">
        <f>ABS(Z125-Q125)/Q125</f>
        <v>1</v>
      </c>
      <c r="AB125" s="26"/>
      <c r="AC125" s="14">
        <f>P125</f>
        <v>48.856140713000002</v>
      </c>
      <c r="AD125" s="14">
        <f>Q125</f>
        <v>2.3702093410999998</v>
      </c>
    </row>
    <row r="126" spans="1:30" s="14" customFormat="1">
      <c r="A126" s="12">
        <v>16</v>
      </c>
      <c r="B126" s="12" t="s">
        <v>219</v>
      </c>
      <c r="C126" s="14" t="str">
        <f>VLOOKUP(B126,weights!A:B,2,FALSE)</f>
        <v>P</v>
      </c>
      <c r="D126" s="13">
        <v>124</v>
      </c>
      <c r="E126" s="14" t="s">
        <v>51</v>
      </c>
      <c r="G126" s="15" t="s">
        <v>217</v>
      </c>
      <c r="H126" s="18" t="s">
        <v>1661</v>
      </c>
      <c r="I126" s="18"/>
      <c r="K126" s="14">
        <f>VLOOKUP(B126,weights!A:G,5,FALSE)</f>
        <v>1.55</v>
      </c>
      <c r="L126" s="14">
        <f>VLOOKUP(B126,weights!A:G,6,FALSE)</f>
        <v>7</v>
      </c>
      <c r="M126" s="14">
        <f>VLOOKUP(B126,weights!A:G,7,FALSE)</f>
        <v>10</v>
      </c>
      <c r="N126" t="s">
        <v>3287</v>
      </c>
      <c r="O126">
        <v>324</v>
      </c>
      <c r="P126">
        <v>48.853436962300002</v>
      </c>
      <c r="Q126">
        <v>2.36873657263</v>
      </c>
      <c r="R126" s="22"/>
      <c r="S126" s="22"/>
      <c r="T126" s="22"/>
      <c r="U126" s="24">
        <f>R126+S126/60+T126/3600</f>
        <v>0</v>
      </c>
      <c r="V126" s="28">
        <f>ABS(U126-P126)/P126</f>
        <v>1</v>
      </c>
      <c r="W126" s="22"/>
      <c r="X126" s="22"/>
      <c r="Y126" s="22"/>
      <c r="Z126" s="14">
        <f>W126+X126/60+Y126/3600</f>
        <v>0</v>
      </c>
      <c r="AA126" s="26">
        <f>ABS(Z126-Q126)/Q126</f>
        <v>1</v>
      </c>
      <c r="AB126" s="26"/>
      <c r="AC126" s="14">
        <f>P126</f>
        <v>48.853436962300002</v>
      </c>
      <c r="AD126" s="14">
        <f>Q126</f>
        <v>2.36873657263</v>
      </c>
    </row>
    <row r="127" spans="1:30" s="14" customFormat="1">
      <c r="A127" s="12">
        <v>17</v>
      </c>
      <c r="B127" s="12" t="s">
        <v>219</v>
      </c>
      <c r="C127" s="14" t="str">
        <f>VLOOKUP(B127,weights!A:B,2,FALSE)</f>
        <v>P</v>
      </c>
      <c r="D127" s="13">
        <v>125</v>
      </c>
      <c r="E127" s="14" t="s">
        <v>208</v>
      </c>
      <c r="G127" s="15"/>
      <c r="H127" s="18"/>
      <c r="I127" s="18"/>
      <c r="K127" s="14">
        <f>VLOOKUP(B127,weights!A:G,5,FALSE)</f>
        <v>1.55</v>
      </c>
      <c r="L127" s="14">
        <f>VLOOKUP(B127,weights!A:G,6,FALSE)</f>
        <v>7</v>
      </c>
      <c r="M127" s="14">
        <f>VLOOKUP(B127,weights!A:G,7,FALSE)</f>
        <v>10</v>
      </c>
      <c r="N127" t="s">
        <v>5407</v>
      </c>
      <c r="O127">
        <v>213</v>
      </c>
      <c r="P127">
        <v>48.846515406899996</v>
      </c>
      <c r="Q127">
        <v>2.3658734666500001</v>
      </c>
      <c r="R127" s="22"/>
      <c r="S127" s="22"/>
      <c r="T127" s="22"/>
      <c r="U127" s="24">
        <f>R127+S127/60+T127/3600</f>
        <v>0</v>
      </c>
      <c r="V127" s="28">
        <f>ABS(U127-P127)/P127</f>
        <v>1</v>
      </c>
      <c r="W127" s="22"/>
      <c r="X127" s="22"/>
      <c r="Y127" s="22"/>
      <c r="Z127" s="14">
        <f>W127+X127/60+Y127/3600</f>
        <v>0</v>
      </c>
      <c r="AA127" s="26">
        <f>ABS(Z127-Q127)/Q127</f>
        <v>1</v>
      </c>
      <c r="AB127" s="26"/>
      <c r="AC127" s="14">
        <f>P127</f>
        <v>48.846515406899996</v>
      </c>
      <c r="AD127" s="14">
        <f>Q127</f>
        <v>2.3658734666500001</v>
      </c>
    </row>
    <row r="128" spans="1:30" s="14" customFormat="1">
      <c r="A128" s="12">
        <v>18</v>
      </c>
      <c r="B128" s="12" t="s">
        <v>219</v>
      </c>
      <c r="C128" s="14" t="str">
        <f>VLOOKUP(B128,weights!A:B,2,FALSE)</f>
        <v>P</v>
      </c>
      <c r="D128" s="13">
        <v>126</v>
      </c>
      <c r="E128" s="14" t="s">
        <v>209</v>
      </c>
      <c r="G128" s="15" t="s">
        <v>1447</v>
      </c>
      <c r="H128" s="18" t="s">
        <v>1662</v>
      </c>
      <c r="I128" s="18" t="s">
        <v>1663</v>
      </c>
      <c r="K128" s="14">
        <f>VLOOKUP(B128,weights!A:G,5,FALSE)</f>
        <v>1.55</v>
      </c>
      <c r="L128" s="14">
        <f>VLOOKUP(B128,weights!A:G,6,FALSE)</f>
        <v>7</v>
      </c>
      <c r="M128" s="14">
        <f>VLOOKUP(B128,weights!A:G,7,FALSE)</f>
        <v>10</v>
      </c>
      <c r="N128" t="s">
        <v>3236</v>
      </c>
      <c r="O128">
        <v>476</v>
      </c>
      <c r="P128">
        <v>48.842360082500001</v>
      </c>
      <c r="Q128">
        <v>2.3655817041099998</v>
      </c>
      <c r="R128" s="22"/>
      <c r="S128" s="22"/>
      <c r="T128" s="22"/>
      <c r="U128" s="24">
        <f>R128+S128/60+T128/3600</f>
        <v>0</v>
      </c>
      <c r="V128" s="28">
        <f>ABS(U128-P128)/P128</f>
        <v>1</v>
      </c>
      <c r="W128" s="22"/>
      <c r="X128" s="22"/>
      <c r="Y128" s="22"/>
      <c r="Z128" s="14">
        <f>W128+X128/60+Y128/3600</f>
        <v>0</v>
      </c>
      <c r="AA128" s="26">
        <f>ABS(Z128-Q128)/Q128</f>
        <v>1</v>
      </c>
      <c r="AB128" s="26"/>
      <c r="AC128" s="14">
        <f>P128</f>
        <v>48.842360082500001</v>
      </c>
      <c r="AD128" s="14">
        <f>Q128</f>
        <v>2.3655817041099998</v>
      </c>
    </row>
    <row r="129" spans="1:30" s="14" customFormat="1">
      <c r="A129" s="12">
        <v>19</v>
      </c>
      <c r="B129" s="12" t="s">
        <v>219</v>
      </c>
      <c r="C129" s="14" t="str">
        <f>VLOOKUP(B129,weights!A:B,2,FALSE)</f>
        <v>P</v>
      </c>
      <c r="D129" s="13">
        <v>127</v>
      </c>
      <c r="E129" s="14" t="s">
        <v>210</v>
      </c>
      <c r="G129" s="15"/>
      <c r="H129" s="18"/>
      <c r="I129" s="18"/>
      <c r="K129" s="14">
        <f>VLOOKUP(B129,weights!A:G,5,FALSE)</f>
        <v>1.55</v>
      </c>
      <c r="L129" s="14">
        <f>VLOOKUP(B129,weights!A:G,6,FALSE)</f>
        <v>7</v>
      </c>
      <c r="M129" s="14">
        <f>VLOOKUP(B129,weights!A:G,7,FALSE)</f>
        <v>10</v>
      </c>
      <c r="N129" t="s">
        <v>5588</v>
      </c>
      <c r="O129">
        <v>845</v>
      </c>
      <c r="P129">
        <v>48.838427296100001</v>
      </c>
      <c r="Q129">
        <v>2.36096716635</v>
      </c>
      <c r="R129" s="22"/>
      <c r="S129" s="22"/>
      <c r="T129" s="22"/>
      <c r="U129" s="24">
        <f>R129+S129/60+T129/3600</f>
        <v>0</v>
      </c>
      <c r="V129" s="28">
        <f>ABS(U129-P129)/P129</f>
        <v>1</v>
      </c>
      <c r="W129" s="22"/>
      <c r="X129" s="22"/>
      <c r="Y129" s="22"/>
      <c r="Z129" s="14">
        <f>W129+X129/60+Y129/3600</f>
        <v>0</v>
      </c>
      <c r="AA129" s="26">
        <f>ABS(Z129-Q129)/Q129</f>
        <v>1</v>
      </c>
      <c r="AB129" s="26"/>
      <c r="AC129" s="14">
        <f>P129</f>
        <v>48.838427296100001</v>
      </c>
      <c r="AD129" s="14">
        <f>Q129</f>
        <v>2.36096716635</v>
      </c>
    </row>
    <row r="130" spans="1:30" s="14" customFormat="1">
      <c r="A130" s="12">
        <v>20</v>
      </c>
      <c r="B130" s="12" t="s">
        <v>219</v>
      </c>
      <c r="C130" s="14" t="str">
        <f>VLOOKUP(B130,weights!A:B,2,FALSE)</f>
        <v>P</v>
      </c>
      <c r="D130" s="13">
        <v>128</v>
      </c>
      <c r="E130" s="14" t="s">
        <v>211</v>
      </c>
      <c r="G130" s="15"/>
      <c r="H130" s="18"/>
      <c r="I130" s="18"/>
      <c r="K130" s="14">
        <f>VLOOKUP(B130,weights!A:G,5,FALSE)</f>
        <v>1.55</v>
      </c>
      <c r="L130" s="14">
        <f>VLOOKUP(B130,weights!A:G,6,FALSE)</f>
        <v>7</v>
      </c>
      <c r="M130" s="14">
        <f>VLOOKUP(B130,weights!A:G,7,FALSE)</f>
        <v>10</v>
      </c>
      <c r="N130" t="s">
        <v>3504</v>
      </c>
      <c r="O130">
        <v>362</v>
      </c>
      <c r="P130">
        <v>48.835495357200003</v>
      </c>
      <c r="Q130">
        <v>2.3588234904399998</v>
      </c>
      <c r="R130" s="22"/>
      <c r="S130" s="22"/>
      <c r="T130" s="22"/>
      <c r="U130" s="24">
        <f>R130+S130/60+T130/3600</f>
        <v>0</v>
      </c>
      <c r="V130" s="28">
        <f>ABS(U130-P130)/P130</f>
        <v>1</v>
      </c>
      <c r="W130" s="22"/>
      <c r="X130" s="22"/>
      <c r="Y130" s="22"/>
      <c r="Z130" s="14">
        <f>W130+X130/60+Y130/3600</f>
        <v>0</v>
      </c>
      <c r="AA130" s="26">
        <f>ABS(Z130-Q130)/Q130</f>
        <v>1</v>
      </c>
      <c r="AB130" s="26"/>
      <c r="AC130" s="14">
        <f>P130</f>
        <v>48.835495357200003</v>
      </c>
      <c r="AD130" s="14">
        <f>Q130</f>
        <v>2.3588234904399998</v>
      </c>
    </row>
    <row r="131" spans="1:30" s="14" customFormat="1">
      <c r="A131" s="12">
        <v>21</v>
      </c>
      <c r="B131" s="12" t="s">
        <v>219</v>
      </c>
      <c r="C131" s="14" t="str">
        <f>VLOOKUP(B131,weights!A:B,2,FALSE)</f>
        <v>P</v>
      </c>
      <c r="D131" s="13">
        <v>129</v>
      </c>
      <c r="E131" s="14" t="s">
        <v>212</v>
      </c>
      <c r="G131" s="15" t="s">
        <v>218</v>
      </c>
      <c r="H131" s="18" t="s">
        <v>1664</v>
      </c>
      <c r="I131" s="18"/>
      <c r="K131" s="14">
        <f>VLOOKUP(B131,weights!A:G,5,FALSE)</f>
        <v>1.55</v>
      </c>
      <c r="L131" s="14">
        <f>VLOOKUP(B131,weights!A:G,6,FALSE)</f>
        <v>7</v>
      </c>
      <c r="M131" s="14">
        <f>VLOOKUP(B131,weights!A:G,7,FALSE)</f>
        <v>10</v>
      </c>
      <c r="N131" t="s">
        <v>5188</v>
      </c>
      <c r="O131">
        <v>240</v>
      </c>
      <c r="P131">
        <v>48.8309953013</v>
      </c>
      <c r="Q131">
        <v>2.3558348979699999</v>
      </c>
      <c r="R131" s="22"/>
      <c r="S131" s="22"/>
      <c r="T131" s="22"/>
      <c r="U131" s="24">
        <f>R131+S131/60+T131/3600</f>
        <v>0</v>
      </c>
      <c r="V131" s="28">
        <f>ABS(U131-P131)/P131</f>
        <v>1</v>
      </c>
      <c r="W131" s="22"/>
      <c r="X131" s="22"/>
      <c r="Y131" s="22"/>
      <c r="Z131" s="14">
        <f>W131+X131/60+Y131/3600</f>
        <v>0</v>
      </c>
      <c r="AA131" s="26">
        <f>ABS(Z131-Q131)/Q131</f>
        <v>1</v>
      </c>
      <c r="AB131" s="26"/>
      <c r="AC131" s="14">
        <f>P131</f>
        <v>48.8309953013</v>
      </c>
      <c r="AD131" s="14">
        <f>Q131</f>
        <v>2.3558348979699999</v>
      </c>
    </row>
    <row r="132" spans="1:30" s="14" customFormat="1">
      <c r="A132" s="12">
        <v>0</v>
      </c>
      <c r="B132" s="12" t="s">
        <v>196</v>
      </c>
      <c r="C132" s="14" t="str">
        <f>VLOOKUP(B132,weights!A:B,2,FALSE)</f>
        <v>P</v>
      </c>
      <c r="D132" s="13">
        <v>130</v>
      </c>
      <c r="E132" s="14" t="s">
        <v>31</v>
      </c>
      <c r="G132" s="14" t="s">
        <v>243</v>
      </c>
      <c r="H132" s="18" t="s">
        <v>1569</v>
      </c>
      <c r="I132" s="18" t="s">
        <v>1585</v>
      </c>
      <c r="K132" s="14">
        <f>VLOOKUP(B132,weights!A:G,5,FALSE)</f>
        <v>1.1100000000000001</v>
      </c>
      <c r="L132" s="14">
        <f>VLOOKUP(B132,weights!A:G,6,FALSE)</f>
        <v>7</v>
      </c>
      <c r="M132" s="14">
        <f>VLOOKUP(B132,weights!A:G,7,FALSE)</f>
        <v>10</v>
      </c>
      <c r="N132" t="s">
        <v>3597</v>
      </c>
      <c r="O132">
        <v>485</v>
      </c>
      <c r="P132">
        <v>48.874238476599999</v>
      </c>
      <c r="Q132">
        <v>2.2944905914699998</v>
      </c>
      <c r="R132" s="22"/>
      <c r="S132" s="22"/>
      <c r="T132" s="22"/>
      <c r="U132" s="24">
        <f>R132+S132/60+T132/3600</f>
        <v>0</v>
      </c>
      <c r="V132" s="28">
        <f>ABS(U132-P132)/P132</f>
        <v>1</v>
      </c>
      <c r="W132" s="22"/>
      <c r="X132" s="22"/>
      <c r="Y132" s="22"/>
      <c r="Z132" s="14">
        <f>W132+X132/60+Y132/3600</f>
        <v>0</v>
      </c>
      <c r="AA132" s="26">
        <f>ABS(Z132-Q132)/Q132</f>
        <v>1</v>
      </c>
      <c r="AB132" s="26"/>
      <c r="AC132" s="14">
        <f>P132</f>
        <v>48.874238476599999</v>
      </c>
      <c r="AD132" s="14">
        <f>Q132</f>
        <v>2.2944905914699998</v>
      </c>
    </row>
    <row r="133" spans="1:30" s="14" customFormat="1">
      <c r="A133" s="12">
        <v>1</v>
      </c>
      <c r="B133" s="12" t="s">
        <v>196</v>
      </c>
      <c r="C133" s="14" t="str">
        <f>VLOOKUP(B133,weights!A:B,2,FALSE)</f>
        <v>P</v>
      </c>
      <c r="D133" s="13">
        <v>131</v>
      </c>
      <c r="E133" s="14" t="s">
        <v>222</v>
      </c>
      <c r="H133" s="18"/>
      <c r="I133" s="18"/>
      <c r="K133" s="14">
        <f>VLOOKUP(B133,weights!A:G,5,FALSE)</f>
        <v>1.1100000000000001</v>
      </c>
      <c r="L133" s="14">
        <f>VLOOKUP(B133,weights!A:G,6,FALSE)</f>
        <v>7</v>
      </c>
      <c r="M133" s="14">
        <f>VLOOKUP(B133,weights!A:G,7,FALSE)</f>
        <v>10</v>
      </c>
      <c r="N133" t="s">
        <v>4348</v>
      </c>
      <c r="O133">
        <v>243</v>
      </c>
      <c r="P133">
        <v>48.871649769100003</v>
      </c>
      <c r="Q133">
        <v>2.2935242903400002</v>
      </c>
      <c r="R133" s="22"/>
      <c r="S133" s="22"/>
      <c r="T133" s="22"/>
      <c r="U133" s="24">
        <f>R133+S133/60+T133/3600</f>
        <v>0</v>
      </c>
      <c r="V133" s="28">
        <f>ABS(U133-P133)/P133</f>
        <v>1</v>
      </c>
      <c r="W133" s="22"/>
      <c r="X133" s="22"/>
      <c r="Y133" s="22"/>
      <c r="Z133" s="14">
        <f>W133+X133/60+Y133/3600</f>
        <v>0</v>
      </c>
      <c r="AA133" s="26">
        <f>ABS(Z133-Q133)/Q133</f>
        <v>1</v>
      </c>
      <c r="AB133" s="26"/>
      <c r="AC133" s="14">
        <f>P133</f>
        <v>48.871649769100003</v>
      </c>
      <c r="AD133" s="14">
        <f>Q133</f>
        <v>2.2935242903400002</v>
      </c>
    </row>
    <row r="134" spans="1:30" s="14" customFormat="1">
      <c r="A134" s="12">
        <v>2</v>
      </c>
      <c r="B134" s="12" t="s">
        <v>196</v>
      </c>
      <c r="C134" s="14" t="str">
        <f>VLOOKUP(B134,weights!A:B,2,FALSE)</f>
        <v>P</v>
      </c>
      <c r="D134" s="13">
        <v>132</v>
      </c>
      <c r="E134" s="14" t="s">
        <v>223</v>
      </c>
      <c r="H134" s="18"/>
      <c r="I134" s="18"/>
      <c r="K134" s="14">
        <f>VLOOKUP(B134,weights!A:G,5,FALSE)</f>
        <v>1.1100000000000001</v>
      </c>
      <c r="L134" s="14">
        <f>VLOOKUP(B134,weights!A:G,6,FALSE)</f>
        <v>7</v>
      </c>
      <c r="M134" s="14">
        <f>VLOOKUP(B134,weights!A:G,7,FALSE)</f>
        <v>10</v>
      </c>
      <c r="N134" t="s">
        <v>3369</v>
      </c>
      <c r="O134">
        <v>369</v>
      </c>
      <c r="P134">
        <v>48.866983109400003</v>
      </c>
      <c r="Q134">
        <v>2.2900588335799998</v>
      </c>
      <c r="R134" s="22"/>
      <c r="S134" s="22"/>
      <c r="T134" s="22"/>
      <c r="U134" s="24">
        <f>R134+S134/60+T134/3600</f>
        <v>0</v>
      </c>
      <c r="V134" s="28">
        <f>ABS(U134-P134)/P134</f>
        <v>1</v>
      </c>
      <c r="W134" s="22"/>
      <c r="X134" s="22"/>
      <c r="Y134" s="22"/>
      <c r="Z134" s="14">
        <f>W134+X134/60+Y134/3600</f>
        <v>0</v>
      </c>
      <c r="AA134" s="26">
        <f>ABS(Z134-Q134)/Q134</f>
        <v>1</v>
      </c>
      <c r="AB134" s="26"/>
      <c r="AC134" s="14">
        <f>P134</f>
        <v>48.866983109400003</v>
      </c>
      <c r="AD134" s="14">
        <f>Q134</f>
        <v>2.2900588335799998</v>
      </c>
    </row>
    <row r="135" spans="1:30" s="14" customFormat="1">
      <c r="A135" s="12">
        <v>3</v>
      </c>
      <c r="B135" s="12" t="s">
        <v>196</v>
      </c>
      <c r="C135" s="14" t="str">
        <f>VLOOKUP(B135,weights!A:B,2,FALSE)</f>
        <v>P</v>
      </c>
      <c r="D135" s="13">
        <v>133</v>
      </c>
      <c r="E135" s="14" t="s">
        <v>224</v>
      </c>
      <c r="G135" s="14" t="s">
        <v>71</v>
      </c>
      <c r="H135" s="18" t="s">
        <v>1665</v>
      </c>
      <c r="I135" s="18"/>
      <c r="K135" s="14">
        <f>VLOOKUP(B135,weights!A:G,5,FALSE)</f>
        <v>1.1100000000000001</v>
      </c>
      <c r="L135" s="14">
        <f>VLOOKUP(B135,weights!A:G,6,FALSE)</f>
        <v>7</v>
      </c>
      <c r="M135" s="14">
        <f>VLOOKUP(B135,weights!A:G,7,FALSE)</f>
        <v>10</v>
      </c>
      <c r="N135" t="s">
        <v>5823</v>
      </c>
      <c r="O135">
        <v>335</v>
      </c>
      <c r="P135">
        <v>48.863073782199997</v>
      </c>
      <c r="Q135">
        <v>2.2871668755000001</v>
      </c>
      <c r="R135" s="22"/>
      <c r="S135" s="22"/>
      <c r="T135" s="22"/>
      <c r="U135" s="24">
        <f>R135+S135/60+T135/3600</f>
        <v>0</v>
      </c>
      <c r="V135" s="28">
        <f>ABS(U135-P135)/P135</f>
        <v>1</v>
      </c>
      <c r="W135" s="22"/>
      <c r="X135" s="22"/>
      <c r="Y135" s="22"/>
      <c r="Z135" s="14">
        <f>W135+X135/60+Y135/3600</f>
        <v>0</v>
      </c>
      <c r="AA135" s="26">
        <f>ABS(Z135-Q135)/Q135</f>
        <v>1</v>
      </c>
      <c r="AB135" s="26"/>
      <c r="AC135" s="14">
        <f>P135</f>
        <v>48.863073782199997</v>
      </c>
      <c r="AD135" s="14">
        <f>Q135</f>
        <v>2.2871668755000001</v>
      </c>
    </row>
    <row r="136" spans="1:30" s="14" customFormat="1">
      <c r="A136" s="12">
        <v>4</v>
      </c>
      <c r="B136" s="12" t="s">
        <v>196</v>
      </c>
      <c r="C136" s="14" t="str">
        <f>VLOOKUP(B136,weights!A:B,2,FALSE)</f>
        <v>P</v>
      </c>
      <c r="D136" s="13">
        <v>134</v>
      </c>
      <c r="E136" s="14" t="s">
        <v>225</v>
      </c>
      <c r="H136" s="18"/>
      <c r="I136" s="18"/>
      <c r="K136" s="14">
        <f>VLOOKUP(B136,weights!A:G,5,FALSE)</f>
        <v>1.1100000000000001</v>
      </c>
      <c r="L136" s="14">
        <f>VLOOKUP(B136,weights!A:G,6,FALSE)</f>
        <v>7</v>
      </c>
      <c r="M136" s="14">
        <f>VLOOKUP(B136,weights!A:G,7,FALSE)</f>
        <v>10</v>
      </c>
      <c r="N136" t="s">
        <v>5119</v>
      </c>
      <c r="O136">
        <v>242</v>
      </c>
      <c r="P136">
        <v>48.857448691000002</v>
      </c>
      <c r="Q136">
        <v>2.2858124441299998</v>
      </c>
      <c r="R136" s="22"/>
      <c r="S136" s="22"/>
      <c r="T136" s="22"/>
      <c r="U136" s="24">
        <f>R136+S136/60+T136/3600</f>
        <v>0</v>
      </c>
      <c r="V136" s="28">
        <f>ABS(U136-P136)/P136</f>
        <v>1</v>
      </c>
      <c r="W136" s="22"/>
      <c r="X136" s="22"/>
      <c r="Y136" s="22"/>
      <c r="Z136" s="14">
        <f>W136+X136/60+Y136/3600</f>
        <v>0</v>
      </c>
      <c r="AA136" s="26">
        <f>ABS(Z136-Q136)/Q136</f>
        <v>1</v>
      </c>
      <c r="AB136" s="26"/>
      <c r="AC136" s="14">
        <f>P136</f>
        <v>48.857448691000002</v>
      </c>
      <c r="AD136" s="14">
        <f>Q136</f>
        <v>2.2858124441299998</v>
      </c>
    </row>
    <row r="137" spans="1:30" s="14" customFormat="1">
      <c r="A137" s="12">
        <v>5</v>
      </c>
      <c r="B137" s="12" t="s">
        <v>196</v>
      </c>
      <c r="C137" s="14" t="str">
        <f>VLOOKUP(B137,weights!A:B,2,FALSE)</f>
        <v>P</v>
      </c>
      <c r="D137" s="13">
        <v>135</v>
      </c>
      <c r="E137" s="14" t="s">
        <v>244</v>
      </c>
      <c r="G137" s="14" t="s">
        <v>755</v>
      </c>
      <c r="H137" s="18"/>
      <c r="I137" s="18" t="s">
        <v>1666</v>
      </c>
      <c r="K137" s="14">
        <f>VLOOKUP(B137,weights!A:G,5,FALSE)</f>
        <v>1.1100000000000001</v>
      </c>
      <c r="L137" s="14">
        <f>VLOOKUP(B137,weights!A:G,6,FALSE)</f>
        <v>7</v>
      </c>
      <c r="M137" s="14">
        <f>VLOOKUP(B137,weights!A:G,7,FALSE)</f>
        <v>10</v>
      </c>
      <c r="N137" t="s">
        <v>3341</v>
      </c>
      <c r="O137">
        <v>880</v>
      </c>
      <c r="P137">
        <v>48.8539426062</v>
      </c>
      <c r="Q137">
        <v>2.2893345327799999</v>
      </c>
      <c r="R137" s="22"/>
      <c r="S137" s="22"/>
      <c r="T137" s="22"/>
      <c r="U137" s="24">
        <f>R137+S137/60+T137/3600</f>
        <v>0</v>
      </c>
      <c r="V137" s="28">
        <f>ABS(U137-P137)/P137</f>
        <v>1</v>
      </c>
      <c r="W137" s="22"/>
      <c r="X137" s="22"/>
      <c r="Y137" s="22"/>
      <c r="Z137" s="14">
        <f>W137+X137/60+Y137/3600</f>
        <v>0</v>
      </c>
      <c r="AA137" s="26">
        <f>ABS(Z137-Q137)/Q137</f>
        <v>1</v>
      </c>
      <c r="AB137" s="26"/>
      <c r="AC137" s="14">
        <f>P137</f>
        <v>48.8539426062</v>
      </c>
      <c r="AD137" s="14">
        <f>Q137</f>
        <v>2.2893345327799999</v>
      </c>
    </row>
    <row r="138" spans="1:30" s="14" customFormat="1">
      <c r="A138" s="12">
        <v>6</v>
      </c>
      <c r="B138" s="12" t="s">
        <v>196</v>
      </c>
      <c r="C138" s="14" t="str">
        <f>VLOOKUP(B138,weights!A:B,2,FALSE)</f>
        <v>P</v>
      </c>
      <c r="D138" s="13">
        <v>136</v>
      </c>
      <c r="E138" s="14" t="s">
        <v>226</v>
      </c>
      <c r="H138" s="18"/>
      <c r="I138" s="18"/>
      <c r="K138" s="14">
        <f>VLOOKUP(B138,weights!A:G,5,FALSE)</f>
        <v>1.1100000000000001</v>
      </c>
      <c r="L138" s="14">
        <f>VLOOKUP(B138,weights!A:G,6,FALSE)</f>
        <v>7</v>
      </c>
      <c r="M138" s="14">
        <f>VLOOKUP(B138,weights!A:G,7,FALSE)</f>
        <v>10</v>
      </c>
      <c r="N138" t="s">
        <v>3895</v>
      </c>
      <c r="O138">
        <v>241</v>
      </c>
      <c r="P138">
        <v>48.850434550800003</v>
      </c>
      <c r="Q138">
        <v>2.29361243444</v>
      </c>
      <c r="R138" s="22"/>
      <c r="S138" s="22"/>
      <c r="T138" s="22"/>
      <c r="U138" s="24">
        <f>R138+S138/60+T138/3600</f>
        <v>0</v>
      </c>
      <c r="V138" s="28">
        <f>ABS(U138-P138)/P138</f>
        <v>1</v>
      </c>
      <c r="W138" s="22"/>
      <c r="X138" s="22"/>
      <c r="Y138" s="22"/>
      <c r="Z138" s="14">
        <f>W138+X138/60+Y138/3600</f>
        <v>0</v>
      </c>
      <c r="AA138" s="26">
        <f>ABS(Z138-Q138)/Q138</f>
        <v>1</v>
      </c>
      <c r="AB138" s="26"/>
      <c r="AC138" s="14">
        <f>P138</f>
        <v>48.850434550800003</v>
      </c>
      <c r="AD138" s="14">
        <f>Q138</f>
        <v>2.29361243444</v>
      </c>
    </row>
    <row r="139" spans="1:30" s="14" customFormat="1">
      <c r="A139" s="12">
        <v>7</v>
      </c>
      <c r="B139" s="12" t="s">
        <v>196</v>
      </c>
      <c r="C139" s="14" t="str">
        <f>VLOOKUP(B139,weights!A:B,2,FALSE)</f>
        <v>P</v>
      </c>
      <c r="D139" s="13">
        <v>137</v>
      </c>
      <c r="E139" s="14" t="s">
        <v>227</v>
      </c>
      <c r="G139" s="14" t="s">
        <v>245</v>
      </c>
      <c r="H139" s="18" t="s">
        <v>1667</v>
      </c>
      <c r="I139" s="18"/>
      <c r="K139" s="14">
        <f>VLOOKUP(B139,weights!A:G,5,FALSE)</f>
        <v>1.1100000000000001</v>
      </c>
      <c r="L139" s="14">
        <f>VLOOKUP(B139,weights!A:G,6,FALSE)</f>
        <v>7</v>
      </c>
      <c r="M139" s="14">
        <f>VLOOKUP(B139,weights!A:G,7,FALSE)</f>
        <v>10</v>
      </c>
      <c r="N139" t="s">
        <v>4419</v>
      </c>
      <c r="O139">
        <v>879</v>
      </c>
      <c r="P139">
        <v>48.849064563500001</v>
      </c>
      <c r="Q139">
        <v>2.29791659184</v>
      </c>
      <c r="R139" s="22"/>
      <c r="S139" s="22"/>
      <c r="T139" s="22"/>
      <c r="U139" s="24">
        <f>R139+S139/60+T139/3600</f>
        <v>0</v>
      </c>
      <c r="V139" s="28">
        <f>ABS(U139-P139)/P139</f>
        <v>1</v>
      </c>
      <c r="W139" s="22"/>
      <c r="X139" s="22"/>
      <c r="Y139" s="22"/>
      <c r="Z139" s="14">
        <f>W139+X139/60+Y139/3600</f>
        <v>0</v>
      </c>
      <c r="AA139" s="26">
        <f>ABS(Z139-Q139)/Q139</f>
        <v>1</v>
      </c>
      <c r="AB139" s="26"/>
      <c r="AC139" s="14">
        <f>P139</f>
        <v>48.849064563500001</v>
      </c>
      <c r="AD139" s="14">
        <f>Q139</f>
        <v>2.29791659184</v>
      </c>
    </row>
    <row r="140" spans="1:30" s="14" customFormat="1">
      <c r="A140" s="12">
        <v>8</v>
      </c>
      <c r="B140" s="12" t="s">
        <v>196</v>
      </c>
      <c r="C140" s="14" t="str">
        <f>VLOOKUP(B140,weights!A:B,2,FALSE)</f>
        <v>P</v>
      </c>
      <c r="D140" s="13">
        <v>138</v>
      </c>
      <c r="E140" s="14" t="s">
        <v>228</v>
      </c>
      <c r="H140" s="18"/>
      <c r="I140" s="18"/>
      <c r="K140" s="14">
        <f>VLOOKUP(B140,weights!A:G,5,FALSE)</f>
        <v>1.1100000000000001</v>
      </c>
      <c r="L140" s="14">
        <f>VLOOKUP(B140,weights!A:G,6,FALSE)</f>
        <v>7</v>
      </c>
      <c r="M140" s="14">
        <f>VLOOKUP(B140,weights!A:G,7,FALSE)</f>
        <v>10</v>
      </c>
      <c r="N140" t="s">
        <v>3501</v>
      </c>
      <c r="O140">
        <v>368</v>
      </c>
      <c r="P140">
        <v>48.847507082</v>
      </c>
      <c r="Q140">
        <v>2.30296829645</v>
      </c>
      <c r="R140" s="22"/>
      <c r="S140" s="22"/>
      <c r="T140" s="22"/>
      <c r="U140" s="24">
        <f>R140+S140/60+T140/3600</f>
        <v>0</v>
      </c>
      <c r="V140" s="28">
        <f>ABS(U140-P140)/P140</f>
        <v>1</v>
      </c>
      <c r="W140" s="22"/>
      <c r="X140" s="22"/>
      <c r="Y140" s="22"/>
      <c r="Z140" s="14">
        <f>W140+X140/60+Y140/3600</f>
        <v>0</v>
      </c>
      <c r="AA140" s="26">
        <f>ABS(Z140-Q140)/Q140</f>
        <v>1</v>
      </c>
      <c r="AB140" s="26"/>
      <c r="AC140" s="14">
        <f>P140</f>
        <v>48.847507082</v>
      </c>
      <c r="AD140" s="14">
        <f>Q140</f>
        <v>2.30296829645</v>
      </c>
    </row>
    <row r="141" spans="1:30" s="14" customFormat="1">
      <c r="A141" s="12">
        <v>9</v>
      </c>
      <c r="B141" s="12" t="s">
        <v>196</v>
      </c>
      <c r="C141" s="14" t="str">
        <f>VLOOKUP(B141,weights!A:B,2,FALSE)</f>
        <v>P</v>
      </c>
      <c r="D141" s="13">
        <v>139</v>
      </c>
      <c r="E141" s="14" t="s">
        <v>229</v>
      </c>
      <c r="H141" s="18"/>
      <c r="I141" s="18"/>
      <c r="K141" s="14">
        <f>VLOOKUP(B141,weights!A:G,5,FALSE)</f>
        <v>1.1100000000000001</v>
      </c>
      <c r="L141" s="14">
        <f>VLOOKUP(B141,weights!A:G,6,FALSE)</f>
        <v>7</v>
      </c>
      <c r="M141" s="14">
        <f>VLOOKUP(B141,weights!A:G,7,FALSE)</f>
        <v>10</v>
      </c>
      <c r="N141" t="s">
        <v>5704</v>
      </c>
      <c r="O141">
        <v>367</v>
      </c>
      <c r="P141">
        <v>48.845626966799998</v>
      </c>
      <c r="Q141">
        <v>2.3095314928200001</v>
      </c>
      <c r="R141" s="22"/>
      <c r="S141" s="22"/>
      <c r="T141" s="22"/>
      <c r="U141" s="24">
        <f>R141+S141/60+T141/3600</f>
        <v>0</v>
      </c>
      <c r="V141" s="28">
        <f>ABS(U141-P141)/P141</f>
        <v>1</v>
      </c>
      <c r="W141" s="22"/>
      <c r="X141" s="22"/>
      <c r="Y141" s="22"/>
      <c r="Z141" s="14">
        <f>W141+X141/60+Y141/3600</f>
        <v>0</v>
      </c>
      <c r="AA141" s="26">
        <f>ABS(Z141-Q141)/Q141</f>
        <v>1</v>
      </c>
      <c r="AB141" s="26"/>
      <c r="AC141" s="14">
        <f>P141</f>
        <v>48.845626966799998</v>
      </c>
      <c r="AD141" s="14">
        <f>Q141</f>
        <v>2.3095314928200001</v>
      </c>
    </row>
    <row r="142" spans="1:30" s="14" customFormat="1">
      <c r="A142" s="12">
        <v>10</v>
      </c>
      <c r="B142" s="12" t="s">
        <v>196</v>
      </c>
      <c r="C142" s="14" t="str">
        <f>VLOOKUP(B142,weights!A:B,2,FALSE)</f>
        <v>P</v>
      </c>
      <c r="D142" s="13">
        <v>140</v>
      </c>
      <c r="E142" s="14" t="s">
        <v>230</v>
      </c>
      <c r="G142" s="14" t="s">
        <v>110</v>
      </c>
      <c r="H142" s="18" t="s">
        <v>1668</v>
      </c>
      <c r="I142" s="18"/>
      <c r="K142" s="14">
        <f>VLOOKUP(B142,weights!A:G,5,FALSE)</f>
        <v>1.1100000000000001</v>
      </c>
      <c r="L142" s="14">
        <f>VLOOKUP(B142,weights!A:G,6,FALSE)</f>
        <v>7</v>
      </c>
      <c r="M142" s="14">
        <f>VLOOKUP(B142,weights!A:G,7,FALSE)</f>
        <v>10</v>
      </c>
      <c r="N142" t="s">
        <v>5122</v>
      </c>
      <c r="O142">
        <v>134</v>
      </c>
      <c r="P142">
        <v>48.842920619099999</v>
      </c>
      <c r="Q142">
        <v>2.31260704965</v>
      </c>
      <c r="R142" s="22"/>
      <c r="S142" s="22"/>
      <c r="T142" s="22"/>
      <c r="U142" s="24">
        <f>R142+S142/60+T142/3600</f>
        <v>0</v>
      </c>
      <c r="V142" s="28">
        <f>ABS(U142-P142)/P142</f>
        <v>1</v>
      </c>
      <c r="W142" s="22"/>
      <c r="X142" s="22"/>
      <c r="Y142" s="22"/>
      <c r="Z142" s="14">
        <f>W142+X142/60+Y142/3600</f>
        <v>0</v>
      </c>
      <c r="AA142" s="26">
        <f>ABS(Z142-Q142)/Q142</f>
        <v>1</v>
      </c>
      <c r="AB142" s="26"/>
      <c r="AC142" s="14">
        <f>P142</f>
        <v>48.842920619099999</v>
      </c>
      <c r="AD142" s="14">
        <f>Q142</f>
        <v>2.31260704965</v>
      </c>
    </row>
    <row r="143" spans="1:30" s="14" customFormat="1">
      <c r="A143" s="12">
        <v>11</v>
      </c>
      <c r="B143" s="12" t="s">
        <v>196</v>
      </c>
      <c r="C143" s="14" t="str">
        <f>VLOOKUP(B143,weights!A:B,2,FALSE)</f>
        <v>P</v>
      </c>
      <c r="D143" s="13">
        <v>141</v>
      </c>
      <c r="E143" s="14" t="s">
        <v>179</v>
      </c>
      <c r="G143" s="14" t="s">
        <v>751</v>
      </c>
      <c r="H143" s="18" t="s">
        <v>1669</v>
      </c>
      <c r="I143" s="18" t="s">
        <v>1649</v>
      </c>
      <c r="K143" s="14">
        <f>VLOOKUP(B143,weights!A:G,5,FALSE)</f>
        <v>1.1100000000000001</v>
      </c>
      <c r="L143" s="14">
        <f>VLOOKUP(B143,weights!A:G,6,FALSE)</f>
        <v>7</v>
      </c>
      <c r="M143" s="14">
        <f>VLOOKUP(B143,weights!A:G,7,FALSE)</f>
        <v>10</v>
      </c>
      <c r="N143" t="s">
        <v>4919</v>
      </c>
      <c r="O143">
        <v>477</v>
      </c>
      <c r="P143">
        <v>48.841186921099997</v>
      </c>
      <c r="Q143">
        <v>2.3205092275300001</v>
      </c>
      <c r="R143" s="22"/>
      <c r="S143" s="22"/>
      <c r="T143" s="22"/>
      <c r="U143" s="24">
        <f>R143+S143/60+T143/3600</f>
        <v>0</v>
      </c>
      <c r="V143" s="28">
        <f>ABS(U143-P143)/P143</f>
        <v>1</v>
      </c>
      <c r="W143" s="22"/>
      <c r="X143" s="22"/>
      <c r="Y143" s="22"/>
      <c r="Z143" s="14">
        <f>W143+X143/60+Y143/3600</f>
        <v>0</v>
      </c>
      <c r="AA143" s="26">
        <f>ABS(Z143-Q143)/Q143</f>
        <v>1</v>
      </c>
      <c r="AB143" s="26"/>
      <c r="AC143" s="14">
        <f>P143</f>
        <v>48.841186921099997</v>
      </c>
      <c r="AD143" s="14">
        <f>Q143</f>
        <v>2.3205092275300001</v>
      </c>
    </row>
    <row r="144" spans="1:30" s="14" customFormat="1">
      <c r="A144" s="12">
        <v>12</v>
      </c>
      <c r="B144" s="12" t="s">
        <v>196</v>
      </c>
      <c r="C144" s="14" t="str">
        <f>VLOOKUP(B144,weights!A:B,2,FALSE)</f>
        <v>P</v>
      </c>
      <c r="D144" s="13">
        <v>142</v>
      </c>
      <c r="E144" s="14" t="s">
        <v>231</v>
      </c>
      <c r="H144" s="18"/>
      <c r="I144" s="18"/>
      <c r="K144" s="14">
        <f>VLOOKUP(B144,weights!A:G,5,FALSE)</f>
        <v>1.1100000000000001</v>
      </c>
      <c r="L144" s="14">
        <f>VLOOKUP(B144,weights!A:G,6,FALSE)</f>
        <v>7</v>
      </c>
      <c r="M144" s="14">
        <f>VLOOKUP(B144,weights!A:G,7,FALSE)</f>
        <v>10</v>
      </c>
      <c r="N144" t="s">
        <v>3911</v>
      </c>
      <c r="O144">
        <v>366</v>
      </c>
      <c r="P144">
        <v>48.840663229299999</v>
      </c>
      <c r="Q144">
        <v>2.3263846107899999</v>
      </c>
      <c r="R144" s="22"/>
      <c r="S144" s="22"/>
      <c r="T144" s="22"/>
      <c r="U144" s="24">
        <f>R144+S144/60+T144/3600</f>
        <v>0</v>
      </c>
      <c r="V144" s="28">
        <f>ABS(U144-P144)/P144</f>
        <v>1</v>
      </c>
      <c r="W144" s="22"/>
      <c r="X144" s="22"/>
      <c r="Y144" s="22"/>
      <c r="Z144" s="14">
        <f>W144+X144/60+Y144/3600</f>
        <v>0</v>
      </c>
      <c r="AA144" s="26">
        <f>ABS(Z144-Q144)/Q144</f>
        <v>1</v>
      </c>
      <c r="AB144" s="26"/>
      <c r="AC144" s="14">
        <f>P144</f>
        <v>48.840663229299999</v>
      </c>
      <c r="AD144" s="14">
        <f>Q144</f>
        <v>2.3263846107899999</v>
      </c>
    </row>
    <row r="145" spans="1:30" s="14" customFormat="1">
      <c r="A145" s="12">
        <v>13</v>
      </c>
      <c r="B145" s="12" t="s">
        <v>196</v>
      </c>
      <c r="C145" s="14" t="str">
        <f>VLOOKUP(B145,weights!A:B,2,FALSE)</f>
        <v>P</v>
      </c>
      <c r="D145" s="13">
        <v>143</v>
      </c>
      <c r="E145" s="14" t="s">
        <v>183</v>
      </c>
      <c r="G145" s="14" t="s">
        <v>111</v>
      </c>
      <c r="H145" s="18" t="s">
        <v>1670</v>
      </c>
      <c r="I145" s="18"/>
      <c r="K145" s="14">
        <f>VLOOKUP(B145,weights!A:G,5,FALSE)</f>
        <v>1.1100000000000001</v>
      </c>
      <c r="L145" s="14">
        <f>VLOOKUP(B145,weights!A:G,6,FALSE)</f>
        <v>7</v>
      </c>
      <c r="M145" s="14">
        <f>VLOOKUP(B145,weights!A:G,7,FALSE)</f>
        <v>10</v>
      </c>
      <c r="N145" t="s">
        <v>5422</v>
      </c>
      <c r="O145">
        <v>843</v>
      </c>
      <c r="P145">
        <v>48.838964280699997</v>
      </c>
      <c r="Q145">
        <v>2.3307541920900001</v>
      </c>
      <c r="R145" s="22"/>
      <c r="S145" s="22"/>
      <c r="T145" s="22"/>
      <c r="U145" s="24">
        <f>R145+S145/60+T145/3600</f>
        <v>0</v>
      </c>
      <c r="V145" s="28">
        <f>ABS(U145-P145)/P145</f>
        <v>1</v>
      </c>
      <c r="W145" s="22"/>
      <c r="X145" s="22"/>
      <c r="Y145" s="22"/>
      <c r="Z145" s="14">
        <f>W145+X145/60+Y145/3600</f>
        <v>0</v>
      </c>
      <c r="AA145" s="26">
        <f>ABS(Z145-Q145)/Q145</f>
        <v>1</v>
      </c>
      <c r="AB145" s="26"/>
      <c r="AC145" s="14">
        <f>P145</f>
        <v>48.838964280699997</v>
      </c>
      <c r="AD145" s="14">
        <f>Q145</f>
        <v>2.3307541920900001</v>
      </c>
    </row>
    <row r="146" spans="1:30" s="14" customFormat="1">
      <c r="A146" s="12">
        <v>14</v>
      </c>
      <c r="B146" s="12" t="s">
        <v>196</v>
      </c>
      <c r="C146" s="14" t="str">
        <f>VLOOKUP(B146,weights!A:B,2,FALSE)</f>
        <v>P</v>
      </c>
      <c r="D146" s="13">
        <v>144</v>
      </c>
      <c r="E146" s="14" t="s">
        <v>185</v>
      </c>
      <c r="G146" s="14" t="s">
        <v>247</v>
      </c>
      <c r="H146" s="18" t="s">
        <v>1671</v>
      </c>
      <c r="I146" s="18" t="s">
        <v>1652</v>
      </c>
      <c r="K146" s="14">
        <f>VLOOKUP(B146,weights!A:G,5,FALSE)</f>
        <v>1.1100000000000001</v>
      </c>
      <c r="L146" s="14">
        <f>VLOOKUP(B146,weights!A:G,6,FALSE)</f>
        <v>7</v>
      </c>
      <c r="M146" s="14">
        <f>VLOOKUP(B146,weights!A:G,7,FALSE)</f>
        <v>10</v>
      </c>
      <c r="N146" t="s">
        <v>3846</v>
      </c>
      <c r="O146">
        <v>478</v>
      </c>
      <c r="P146">
        <v>48.834292980500003</v>
      </c>
      <c r="Q146">
        <v>2.3328523099599998</v>
      </c>
      <c r="R146" s="22"/>
      <c r="S146" s="22"/>
      <c r="T146" s="22"/>
      <c r="U146" s="24">
        <f>R146+S146/60+T146/3600</f>
        <v>0</v>
      </c>
      <c r="V146" s="28">
        <f>ABS(U146-P146)/P146</f>
        <v>1</v>
      </c>
      <c r="W146" s="22"/>
      <c r="X146" s="22"/>
      <c r="Y146" s="22"/>
      <c r="Z146" s="14">
        <f>W146+X146/60+Y146/3600</f>
        <v>0</v>
      </c>
      <c r="AA146" s="26">
        <f>ABS(Z146-Q146)/Q146</f>
        <v>1</v>
      </c>
      <c r="AB146" s="26"/>
      <c r="AC146" s="14">
        <f>P146</f>
        <v>48.834292980500003</v>
      </c>
      <c r="AD146" s="14">
        <f>Q146</f>
        <v>2.3328523099599998</v>
      </c>
    </row>
    <row r="147" spans="1:30" s="14" customFormat="1">
      <c r="A147" s="12">
        <v>15</v>
      </c>
      <c r="B147" s="12" t="s">
        <v>196</v>
      </c>
      <c r="C147" s="14" t="str">
        <f>VLOOKUP(B147,weights!A:B,2,FALSE)</f>
        <v>P</v>
      </c>
      <c r="D147" s="13">
        <v>145</v>
      </c>
      <c r="E147" s="14" t="s">
        <v>232</v>
      </c>
      <c r="H147" s="18"/>
      <c r="I147" s="18"/>
      <c r="K147" s="14">
        <f>VLOOKUP(B147,weights!A:G,5,FALSE)</f>
        <v>1.1100000000000001</v>
      </c>
      <c r="L147" s="14">
        <f>VLOOKUP(B147,weights!A:G,6,FALSE)</f>
        <v>7</v>
      </c>
      <c r="M147" s="14">
        <f>VLOOKUP(B147,weights!A:G,7,FALSE)</f>
        <v>10</v>
      </c>
      <c r="N147" t="s">
        <v>5566</v>
      </c>
      <c r="O147">
        <v>149</v>
      </c>
      <c r="P147">
        <v>48.8329008157</v>
      </c>
      <c r="Q147">
        <v>2.3371351947100001</v>
      </c>
      <c r="R147" s="22"/>
      <c r="S147" s="22"/>
      <c r="T147" s="22"/>
      <c r="U147" s="24">
        <f>R147+S147/60+T147/3600</f>
        <v>0</v>
      </c>
      <c r="V147" s="28">
        <f>ABS(U147-P147)/P147</f>
        <v>1</v>
      </c>
      <c r="W147" s="22"/>
      <c r="X147" s="22"/>
      <c r="Y147" s="22"/>
      <c r="Z147" s="14">
        <f>W147+X147/60+Y147/3600</f>
        <v>0</v>
      </c>
      <c r="AA147" s="26">
        <f>ABS(Z147-Q147)/Q147</f>
        <v>1</v>
      </c>
      <c r="AB147" s="26"/>
      <c r="AC147" s="14">
        <f>P147</f>
        <v>48.8329008157</v>
      </c>
      <c r="AD147" s="14">
        <f>Q147</f>
        <v>2.3371351947100001</v>
      </c>
    </row>
    <row r="148" spans="1:30" s="14" customFormat="1">
      <c r="A148" s="12">
        <v>16</v>
      </c>
      <c r="B148" s="12" t="s">
        <v>196</v>
      </c>
      <c r="C148" s="14" t="str">
        <f>VLOOKUP(B148,weights!A:B,2,FALSE)</f>
        <v>P</v>
      </c>
      <c r="D148" s="13">
        <v>146</v>
      </c>
      <c r="E148" s="14" t="s">
        <v>233</v>
      </c>
      <c r="H148" s="18"/>
      <c r="I148" s="18"/>
      <c r="K148" s="14">
        <f>VLOOKUP(B148,weights!A:G,5,FALSE)</f>
        <v>1.1100000000000001</v>
      </c>
      <c r="L148" s="14">
        <f>VLOOKUP(B148,weights!A:G,6,FALSE)</f>
        <v>7</v>
      </c>
      <c r="M148" s="14">
        <f>VLOOKUP(B148,weights!A:G,7,FALSE)</f>
        <v>10</v>
      </c>
      <c r="N148" t="s">
        <v>4163</v>
      </c>
      <c r="O148">
        <v>148</v>
      </c>
      <c r="P148">
        <v>48.831129548</v>
      </c>
      <c r="Q148">
        <v>2.3435116577500001</v>
      </c>
      <c r="R148" s="22"/>
      <c r="S148" s="22"/>
      <c r="T148" s="22"/>
      <c r="U148" s="24">
        <f>R148+S148/60+T148/3600</f>
        <v>0</v>
      </c>
      <c r="V148" s="28">
        <f>ABS(U148-P148)/P148</f>
        <v>1</v>
      </c>
      <c r="W148" s="22"/>
      <c r="X148" s="22"/>
      <c r="Y148" s="22"/>
      <c r="Z148" s="14">
        <f>W148+X148/60+Y148/3600</f>
        <v>0</v>
      </c>
      <c r="AA148" s="26">
        <f>ABS(Z148-Q148)/Q148</f>
        <v>1</v>
      </c>
      <c r="AB148" s="26"/>
      <c r="AC148" s="14">
        <f>P148</f>
        <v>48.831129548</v>
      </c>
      <c r="AD148" s="14">
        <f>Q148</f>
        <v>2.3435116577500001</v>
      </c>
    </row>
    <row r="149" spans="1:30" s="14" customFormat="1">
      <c r="A149" s="12">
        <v>17</v>
      </c>
      <c r="B149" s="12" t="s">
        <v>196</v>
      </c>
      <c r="C149" s="14" t="str">
        <f>VLOOKUP(B149,weights!A:B,2,FALSE)</f>
        <v>P</v>
      </c>
      <c r="D149" s="13">
        <v>147</v>
      </c>
      <c r="E149" s="14" t="s">
        <v>234</v>
      </c>
      <c r="H149" s="18"/>
      <c r="I149" s="18"/>
      <c r="K149" s="14">
        <f>VLOOKUP(B149,weights!A:G,5,FALSE)</f>
        <v>1.1100000000000001</v>
      </c>
      <c r="L149" s="14">
        <f>VLOOKUP(B149,weights!A:G,6,FALSE)</f>
        <v>7</v>
      </c>
      <c r="M149" s="14">
        <f>VLOOKUP(B149,weights!A:G,7,FALSE)</f>
        <v>10</v>
      </c>
      <c r="N149" t="s">
        <v>3766</v>
      </c>
      <c r="O149">
        <v>59</v>
      </c>
      <c r="P149">
        <v>48.829790513699997</v>
      </c>
      <c r="Q149">
        <v>2.3504148706499999</v>
      </c>
      <c r="R149" s="22"/>
      <c r="S149" s="22"/>
      <c r="T149" s="22"/>
      <c r="U149" s="24">
        <f>R149+S149/60+T149/3600</f>
        <v>0</v>
      </c>
      <c r="V149" s="28">
        <f>ABS(U149-P149)/P149</f>
        <v>1</v>
      </c>
      <c r="W149" s="22"/>
      <c r="X149" s="22"/>
      <c r="Y149" s="22"/>
      <c r="Z149" s="14">
        <f>W149+X149/60+Y149/3600</f>
        <v>0</v>
      </c>
      <c r="AA149" s="26">
        <f>ABS(Z149-Q149)/Q149</f>
        <v>1</v>
      </c>
      <c r="AB149" s="26"/>
      <c r="AC149" s="14">
        <f>P149</f>
        <v>48.829790513699997</v>
      </c>
      <c r="AD149" s="14">
        <f>Q149</f>
        <v>2.3504148706499999</v>
      </c>
    </row>
    <row r="150" spans="1:30" s="14" customFormat="1">
      <c r="A150" s="12">
        <v>18</v>
      </c>
      <c r="B150" s="12" t="s">
        <v>196</v>
      </c>
      <c r="C150" s="14" t="str">
        <f>VLOOKUP(B150,weights!A:B,2,FALSE)</f>
        <v>P</v>
      </c>
      <c r="D150" s="13">
        <v>148</v>
      </c>
      <c r="E150" s="14" t="s">
        <v>212</v>
      </c>
      <c r="G150" s="14" t="s">
        <v>112</v>
      </c>
      <c r="H150" s="18" t="s">
        <v>1672</v>
      </c>
      <c r="I150" s="18"/>
      <c r="K150" s="14">
        <f>VLOOKUP(B150,weights!A:G,5,FALSE)</f>
        <v>1.1100000000000001</v>
      </c>
      <c r="L150" s="14">
        <f>VLOOKUP(B150,weights!A:G,6,FALSE)</f>
        <v>7</v>
      </c>
      <c r="M150" s="14">
        <f>VLOOKUP(B150,weights!A:G,7,FALSE)</f>
        <v>10</v>
      </c>
      <c r="N150" t="s">
        <v>5188</v>
      </c>
      <c r="O150">
        <v>240</v>
      </c>
      <c r="P150">
        <v>48.8309953013</v>
      </c>
      <c r="Q150">
        <v>2.3558348979699999</v>
      </c>
      <c r="R150" s="22"/>
      <c r="S150" s="22"/>
      <c r="T150" s="22"/>
      <c r="U150" s="24">
        <f>R150+S150/60+T150/3600</f>
        <v>0</v>
      </c>
      <c r="V150" s="28">
        <f>ABS(U150-P150)/P150</f>
        <v>1</v>
      </c>
      <c r="W150" s="22"/>
      <c r="X150" s="22"/>
      <c r="Y150" s="22"/>
      <c r="Z150" s="14">
        <f>W150+X150/60+Y150/3600</f>
        <v>0</v>
      </c>
      <c r="AA150" s="26">
        <f>ABS(Z150-Q150)/Q150</f>
        <v>1</v>
      </c>
      <c r="AB150" s="26"/>
      <c r="AC150" s="14">
        <f>P150</f>
        <v>48.8309953013</v>
      </c>
      <c r="AD150" s="14">
        <f>Q150</f>
        <v>2.3558348979699999</v>
      </c>
    </row>
    <row r="151" spans="1:30" s="14" customFormat="1">
      <c r="A151" s="12">
        <v>19</v>
      </c>
      <c r="B151" s="12" t="s">
        <v>196</v>
      </c>
      <c r="C151" s="14" t="str">
        <f>VLOOKUP(B151,weights!A:B,2,FALSE)</f>
        <v>P</v>
      </c>
      <c r="D151" s="13">
        <v>149</v>
      </c>
      <c r="E151" s="14" t="s">
        <v>235</v>
      </c>
      <c r="H151" s="18"/>
      <c r="I151" s="18"/>
      <c r="K151" s="14">
        <f>VLOOKUP(B151,weights!A:G,5,FALSE)</f>
        <v>1.1100000000000001</v>
      </c>
      <c r="L151" s="14">
        <f>VLOOKUP(B151,weights!A:G,6,FALSE)</f>
        <v>7</v>
      </c>
      <c r="M151" s="14">
        <f>VLOOKUP(B151,weights!A:G,7,FALSE)</f>
        <v>10</v>
      </c>
      <c r="N151" t="s">
        <v>4984</v>
      </c>
      <c r="O151">
        <v>147</v>
      </c>
      <c r="P151">
        <v>48.833216719699998</v>
      </c>
      <c r="Q151">
        <v>2.36285639952</v>
      </c>
      <c r="R151" s="22"/>
      <c r="S151" s="22"/>
      <c r="T151" s="22"/>
      <c r="U151" s="24">
        <f>R151+S151/60+T151/3600</f>
        <v>0</v>
      </c>
      <c r="V151" s="28">
        <f>ABS(U151-P151)/P151</f>
        <v>1</v>
      </c>
      <c r="W151" s="22"/>
      <c r="X151" s="22"/>
      <c r="Y151" s="22"/>
      <c r="Z151" s="14">
        <f>W151+X151/60+Y151/3600</f>
        <v>0</v>
      </c>
      <c r="AA151" s="26">
        <f>ABS(Z151-Q151)/Q151</f>
        <v>1</v>
      </c>
      <c r="AB151" s="26"/>
      <c r="AC151" s="14">
        <f>P151</f>
        <v>48.833216719699998</v>
      </c>
      <c r="AD151" s="14">
        <f>Q151</f>
        <v>2.36285639952</v>
      </c>
    </row>
    <row r="152" spans="1:30" s="14" customFormat="1">
      <c r="A152" s="12">
        <v>20</v>
      </c>
      <c r="B152" s="12" t="s">
        <v>196</v>
      </c>
      <c r="C152" s="14" t="str">
        <f>VLOOKUP(B152,weights!A:B,2,FALSE)</f>
        <v>P</v>
      </c>
      <c r="D152" s="13">
        <v>150</v>
      </c>
      <c r="E152" s="14" t="s">
        <v>236</v>
      </c>
      <c r="H152" s="18"/>
      <c r="I152" s="18"/>
      <c r="K152" s="14">
        <f>VLOOKUP(B152,weights!A:G,5,FALSE)</f>
        <v>1.1100000000000001</v>
      </c>
      <c r="L152" s="14">
        <f>VLOOKUP(B152,weights!A:G,6,FALSE)</f>
        <v>7</v>
      </c>
      <c r="M152" s="14">
        <f>VLOOKUP(B152,weights!A:G,7,FALSE)</f>
        <v>10</v>
      </c>
      <c r="N152" t="s">
        <v>3681</v>
      </c>
      <c r="O152">
        <v>58</v>
      </c>
      <c r="P152">
        <v>48.834947722300001</v>
      </c>
      <c r="Q152">
        <v>2.3681263290599999</v>
      </c>
      <c r="R152" s="22"/>
      <c r="S152" s="22"/>
      <c r="T152" s="22"/>
      <c r="U152" s="24">
        <f>R152+S152/60+T152/3600</f>
        <v>0</v>
      </c>
      <c r="V152" s="28">
        <f>ABS(U152-P152)/P152</f>
        <v>1</v>
      </c>
      <c r="W152" s="22"/>
      <c r="X152" s="22"/>
      <c r="Y152" s="22"/>
      <c r="Z152" s="14">
        <f>W152+X152/60+Y152/3600</f>
        <v>0</v>
      </c>
      <c r="AA152" s="26">
        <f>ABS(Z152-Q152)/Q152</f>
        <v>1</v>
      </c>
      <c r="AB152" s="26"/>
      <c r="AC152" s="14">
        <f>P152</f>
        <v>48.834947722300001</v>
      </c>
      <c r="AD152" s="14">
        <f>Q152</f>
        <v>2.3681263290599999</v>
      </c>
    </row>
    <row r="153" spans="1:30" s="14" customFormat="1">
      <c r="A153" s="12">
        <v>21</v>
      </c>
      <c r="B153" s="12" t="s">
        <v>196</v>
      </c>
      <c r="C153" s="14" t="str">
        <f>VLOOKUP(B153,weights!A:B,2,FALSE)</f>
        <v>P</v>
      </c>
      <c r="D153" s="13">
        <v>151</v>
      </c>
      <c r="E153" s="14" t="s">
        <v>237</v>
      </c>
      <c r="H153" s="18"/>
      <c r="I153" s="18"/>
      <c r="K153" s="14">
        <f>VLOOKUP(B153,weights!A:G,5,FALSE)</f>
        <v>1.1100000000000001</v>
      </c>
      <c r="L153" s="14">
        <f>VLOOKUP(B153,weights!A:G,6,FALSE)</f>
        <v>7</v>
      </c>
      <c r="M153" s="14">
        <f>VLOOKUP(B153,weights!A:G,7,FALSE)</f>
        <v>10</v>
      </c>
      <c r="N153" t="s">
        <v>5404</v>
      </c>
      <c r="O153">
        <v>365</v>
      </c>
      <c r="P153">
        <v>48.837045120200003</v>
      </c>
      <c r="Q153">
        <v>2.3728257245400002</v>
      </c>
      <c r="R153" s="22"/>
      <c r="S153" s="22"/>
      <c r="T153" s="22"/>
      <c r="U153" s="24">
        <f>R153+S153/60+T153/3600</f>
        <v>0</v>
      </c>
      <c r="V153" s="28">
        <f>ABS(U153-P153)/P153</f>
        <v>1</v>
      </c>
      <c r="W153" s="22"/>
      <c r="X153" s="22"/>
      <c r="Y153" s="22"/>
      <c r="Z153" s="14">
        <f>W153+X153/60+Y153/3600</f>
        <v>0</v>
      </c>
      <c r="AA153" s="26">
        <f>ABS(Z153-Q153)/Q153</f>
        <v>1</v>
      </c>
      <c r="AB153" s="26"/>
      <c r="AC153" s="14">
        <f>P153</f>
        <v>48.837045120200003</v>
      </c>
      <c r="AD153" s="14">
        <f>Q153</f>
        <v>2.3728257245400002</v>
      </c>
    </row>
    <row r="154" spans="1:30" s="14" customFormat="1">
      <c r="A154" s="12">
        <v>22</v>
      </c>
      <c r="B154" s="12" t="s">
        <v>196</v>
      </c>
      <c r="C154" s="14" t="str">
        <f>VLOOKUP(B154,weights!A:B,2,FALSE)</f>
        <v>P</v>
      </c>
      <c r="D154" s="13">
        <v>152</v>
      </c>
      <c r="E154" s="14" t="s">
        <v>238</v>
      </c>
      <c r="G154" s="14" t="s">
        <v>248</v>
      </c>
      <c r="H154" s="18" t="s">
        <v>1673</v>
      </c>
      <c r="I154" s="18"/>
      <c r="K154" s="14">
        <f>VLOOKUP(B154,weights!A:G,5,FALSE)</f>
        <v>1.1100000000000001</v>
      </c>
      <c r="L154" s="14">
        <f>VLOOKUP(B154,weights!A:G,6,FALSE)</f>
        <v>7</v>
      </c>
      <c r="M154" s="14">
        <f>VLOOKUP(B154,weights!A:G,7,FALSE)</f>
        <v>10</v>
      </c>
      <c r="N154" t="s">
        <v>3321</v>
      </c>
      <c r="O154">
        <v>146</v>
      </c>
      <c r="P154">
        <v>48.840302093399998</v>
      </c>
      <c r="Q154">
        <v>2.3791217764399999</v>
      </c>
      <c r="R154" s="22"/>
      <c r="S154" s="22"/>
      <c r="T154" s="22"/>
      <c r="U154" s="24">
        <f>R154+S154/60+T154/3600</f>
        <v>0</v>
      </c>
      <c r="V154" s="28">
        <f>ABS(U154-P154)/P154</f>
        <v>1</v>
      </c>
      <c r="W154" s="22"/>
      <c r="X154" s="22"/>
      <c r="Y154" s="22"/>
      <c r="Z154" s="14">
        <f>W154+X154/60+Y154/3600</f>
        <v>0</v>
      </c>
      <c r="AA154" s="26">
        <f>ABS(Z154-Q154)/Q154</f>
        <v>1</v>
      </c>
      <c r="AB154" s="26"/>
      <c r="AC154" s="14">
        <f>P154</f>
        <v>48.840302093399998</v>
      </c>
      <c r="AD154" s="14">
        <f>Q154</f>
        <v>2.3791217764399999</v>
      </c>
    </row>
    <row r="155" spans="1:30" s="14" customFormat="1">
      <c r="A155" s="12">
        <v>23</v>
      </c>
      <c r="B155" s="12" t="s">
        <v>196</v>
      </c>
      <c r="C155" s="14" t="str">
        <f>VLOOKUP(B155,weights!A:B,2,FALSE)</f>
        <v>P</v>
      </c>
      <c r="D155" s="13">
        <v>153</v>
      </c>
      <c r="E155" s="14" t="s">
        <v>239</v>
      </c>
      <c r="H155" s="18"/>
      <c r="I155" s="18"/>
      <c r="K155" s="14">
        <f>VLOOKUP(B155,weights!A:G,5,FALSE)</f>
        <v>1.1100000000000001</v>
      </c>
      <c r="L155" s="14">
        <f>VLOOKUP(B155,weights!A:G,6,FALSE)</f>
        <v>7</v>
      </c>
      <c r="M155" s="14">
        <f>VLOOKUP(B155,weights!A:G,7,FALSE)</f>
        <v>10</v>
      </c>
      <c r="N155" t="s">
        <v>3892</v>
      </c>
      <c r="O155">
        <v>364</v>
      </c>
      <c r="P155">
        <v>48.839041143700001</v>
      </c>
      <c r="Q155">
        <v>2.3896200154199998</v>
      </c>
      <c r="R155" s="22"/>
      <c r="S155" s="22"/>
      <c r="T155" s="22"/>
      <c r="U155" s="24">
        <f>R155+S155/60+T155/3600</f>
        <v>0</v>
      </c>
      <c r="V155" s="28">
        <f>ABS(U155-P155)/P155</f>
        <v>1</v>
      </c>
      <c r="W155" s="22"/>
      <c r="X155" s="22"/>
      <c r="Y155" s="22"/>
      <c r="Z155" s="14">
        <f>W155+X155/60+Y155/3600</f>
        <v>0</v>
      </c>
      <c r="AA155" s="26">
        <f>ABS(Z155-Q155)/Q155</f>
        <v>1</v>
      </c>
      <c r="AB155" s="26"/>
      <c r="AC155" s="14">
        <f>P155</f>
        <v>48.839041143700001</v>
      </c>
      <c r="AD155" s="14">
        <f>Q155</f>
        <v>2.3896200154199998</v>
      </c>
    </row>
    <row r="156" spans="1:30" s="14" customFormat="1">
      <c r="A156" s="12">
        <v>24</v>
      </c>
      <c r="B156" s="12" t="s">
        <v>196</v>
      </c>
      <c r="C156" s="14" t="str">
        <f>VLOOKUP(B156,weights!A:B,2,FALSE)</f>
        <v>P</v>
      </c>
      <c r="D156" s="13">
        <v>154</v>
      </c>
      <c r="E156" s="14" t="s">
        <v>240</v>
      </c>
      <c r="H156" s="18"/>
      <c r="I156" s="18"/>
      <c r="K156" s="14">
        <f>VLOOKUP(B156,weights!A:G,5,FALSE)</f>
        <v>1.1100000000000001</v>
      </c>
      <c r="L156" s="14">
        <f>VLOOKUP(B156,weights!A:G,6,FALSE)</f>
        <v>7</v>
      </c>
      <c r="M156" s="14">
        <f>VLOOKUP(B156,weights!A:G,7,FALSE)</f>
        <v>10</v>
      </c>
      <c r="N156" t="s">
        <v>3836</v>
      </c>
      <c r="O156">
        <v>363</v>
      </c>
      <c r="P156">
        <v>48.839567198300003</v>
      </c>
      <c r="Q156">
        <v>2.3959529265900001</v>
      </c>
      <c r="R156" s="22"/>
      <c r="S156" s="22"/>
      <c r="T156" s="22"/>
      <c r="U156" s="24">
        <f>R156+S156/60+T156/3600</f>
        <v>0</v>
      </c>
      <c r="V156" s="28">
        <f>ABS(U156-P156)/P156</f>
        <v>1</v>
      </c>
      <c r="W156" s="22"/>
      <c r="X156" s="22"/>
      <c r="Y156" s="22"/>
      <c r="Z156" s="14">
        <f>W156+X156/60+Y156/3600</f>
        <v>0</v>
      </c>
      <c r="AA156" s="26">
        <f>ABS(Z156-Q156)/Q156</f>
        <v>1</v>
      </c>
      <c r="AB156" s="26"/>
      <c r="AC156" s="14">
        <f>P156</f>
        <v>48.839567198300003</v>
      </c>
      <c r="AD156" s="14">
        <f>Q156</f>
        <v>2.3959529265900001</v>
      </c>
    </row>
    <row r="157" spans="1:30" s="14" customFormat="1">
      <c r="A157" s="12">
        <v>25</v>
      </c>
      <c r="B157" s="12" t="s">
        <v>196</v>
      </c>
      <c r="C157" s="14" t="str">
        <f>VLOOKUP(B157,weights!A:B,2,FALSE)</f>
        <v>P</v>
      </c>
      <c r="D157" s="13">
        <v>155</v>
      </c>
      <c r="E157" s="14" t="s">
        <v>241</v>
      </c>
      <c r="H157" s="18"/>
      <c r="I157" s="18"/>
      <c r="K157" s="14">
        <f>VLOOKUP(B157,weights!A:G,5,FALSE)</f>
        <v>1.1100000000000001</v>
      </c>
      <c r="L157" s="14">
        <f>VLOOKUP(B157,weights!A:G,6,FALSE)</f>
        <v>7</v>
      </c>
      <c r="M157" s="14">
        <f>VLOOKUP(B157,weights!A:G,7,FALSE)</f>
        <v>10</v>
      </c>
      <c r="N157" t="s">
        <v>3301</v>
      </c>
      <c r="O157">
        <v>878</v>
      </c>
      <c r="P157">
        <v>48.841338247300001</v>
      </c>
      <c r="Q157">
        <v>2.4009185367999999</v>
      </c>
      <c r="R157" s="22"/>
      <c r="S157" s="22"/>
      <c r="T157" s="22"/>
      <c r="U157" s="24">
        <f>R157+S157/60+T157/3600</f>
        <v>0</v>
      </c>
      <c r="V157" s="28">
        <f>ABS(U157-P157)/P157</f>
        <v>1</v>
      </c>
      <c r="W157" s="22"/>
      <c r="X157" s="22"/>
      <c r="Y157" s="22"/>
      <c r="Z157" s="14">
        <f>W157+X157/60+Y157/3600</f>
        <v>0</v>
      </c>
      <c r="AA157" s="26">
        <f>ABS(Z157-Q157)/Q157</f>
        <v>1</v>
      </c>
      <c r="AB157" s="26"/>
      <c r="AC157" s="14">
        <f>P157</f>
        <v>48.841338247300001</v>
      </c>
      <c r="AD157" s="14">
        <f>Q157</f>
        <v>2.4009185367999999</v>
      </c>
    </row>
    <row r="158" spans="1:30" s="14" customFormat="1">
      <c r="A158" s="12">
        <v>26</v>
      </c>
      <c r="B158" s="12" t="s">
        <v>196</v>
      </c>
      <c r="C158" s="14" t="str">
        <f>VLOOKUP(B158,weights!A:B,2,FALSE)</f>
        <v>P</v>
      </c>
      <c r="D158" s="13">
        <v>156</v>
      </c>
      <c r="E158" s="14" t="s">
        <v>242</v>
      </c>
      <c r="H158" s="18"/>
      <c r="I158" s="18"/>
      <c r="K158" s="14">
        <f>VLOOKUP(B158,weights!A:G,5,FALSE)</f>
        <v>1.1100000000000001</v>
      </c>
      <c r="L158" s="14">
        <f>VLOOKUP(B158,weights!A:G,6,FALSE)</f>
        <v>7</v>
      </c>
      <c r="M158" s="14">
        <f>VLOOKUP(B158,weights!A:G,7,FALSE)</f>
        <v>10</v>
      </c>
      <c r="N158" t="s">
        <v>5168</v>
      </c>
      <c r="O158">
        <v>877</v>
      </c>
      <c r="P158">
        <v>48.845061579899998</v>
      </c>
      <c r="Q158">
        <v>2.4012890198300001</v>
      </c>
      <c r="R158" s="22"/>
      <c r="S158" s="22"/>
      <c r="T158" s="22"/>
      <c r="U158" s="24">
        <f>R158+S158/60+T158/3600</f>
        <v>0</v>
      </c>
      <c r="V158" s="28">
        <f>ABS(U158-P158)/P158</f>
        <v>1</v>
      </c>
      <c r="W158" s="22"/>
      <c r="X158" s="22"/>
      <c r="Y158" s="22"/>
      <c r="Z158" s="14">
        <f>W158+X158/60+Y158/3600</f>
        <v>0</v>
      </c>
      <c r="AA158" s="26">
        <f>ABS(Z158-Q158)/Q158</f>
        <v>1</v>
      </c>
      <c r="AB158" s="26"/>
      <c r="AC158" s="14">
        <f>P158</f>
        <v>48.845061579899998</v>
      </c>
      <c r="AD158" s="14">
        <f>Q158</f>
        <v>2.4012890198300001</v>
      </c>
    </row>
    <row r="159" spans="1:30" s="14" customFormat="1">
      <c r="A159" s="12">
        <v>27</v>
      </c>
      <c r="B159" s="12" t="s">
        <v>196</v>
      </c>
      <c r="C159" s="14" t="str">
        <f>VLOOKUP(B159,weights!A:B,2,FALSE)</f>
        <v>P</v>
      </c>
      <c r="D159" s="13">
        <v>157</v>
      </c>
      <c r="E159" s="14" t="s">
        <v>57</v>
      </c>
      <c r="G159" s="14" t="s">
        <v>249</v>
      </c>
      <c r="H159" s="18" t="s">
        <v>1570</v>
      </c>
      <c r="I159" s="18" t="s">
        <v>1600</v>
      </c>
      <c r="K159" s="14">
        <f>VLOOKUP(B159,weights!A:G,5,FALSE)</f>
        <v>1.1100000000000001</v>
      </c>
      <c r="L159" s="14">
        <f>VLOOKUP(B159,weights!A:G,6,FALSE)</f>
        <v>7</v>
      </c>
      <c r="M159" s="14">
        <f>VLOOKUP(B159,weights!A:G,7,FALSE)</f>
        <v>10</v>
      </c>
      <c r="N159" t="s">
        <v>4980</v>
      </c>
      <c r="O159">
        <v>475</v>
      </c>
      <c r="P159">
        <v>48.848237110399999</v>
      </c>
      <c r="Q159">
        <v>2.3958235888299999</v>
      </c>
      <c r="R159" s="22"/>
      <c r="S159" s="22"/>
      <c r="T159" s="22"/>
      <c r="U159" s="24">
        <f>R159+S159/60+T159/3600</f>
        <v>0</v>
      </c>
      <c r="V159" s="28">
        <f>ABS(U159-P159)/P159</f>
        <v>1</v>
      </c>
      <c r="W159" s="22"/>
      <c r="X159" s="22"/>
      <c r="Y159" s="22"/>
      <c r="Z159" s="14">
        <f>W159+X159/60+Y159/3600</f>
        <v>0</v>
      </c>
      <c r="AA159" s="26">
        <f>ABS(Z159-Q159)/Q159</f>
        <v>1</v>
      </c>
      <c r="AB159" s="26"/>
      <c r="AC159" s="14">
        <f>P159</f>
        <v>48.848237110399999</v>
      </c>
      <c r="AD159" s="14">
        <f>Q159</f>
        <v>2.3958235888299999</v>
      </c>
    </row>
    <row r="160" spans="1:30" s="14" customFormat="1">
      <c r="A160" s="12">
        <v>0</v>
      </c>
      <c r="B160" s="12" t="s">
        <v>74</v>
      </c>
      <c r="C160" s="14" t="str">
        <f>VLOOKUP(B160,weights!A:B,2,FALSE)</f>
        <v>M</v>
      </c>
      <c r="D160" s="13">
        <v>158</v>
      </c>
      <c r="E160" s="14" t="s">
        <v>250</v>
      </c>
      <c r="F160" s="14" t="s">
        <v>251</v>
      </c>
      <c r="G160" s="15" t="s">
        <v>213</v>
      </c>
      <c r="H160" s="18"/>
      <c r="I160" s="18" t="s">
        <v>1674</v>
      </c>
      <c r="J160" s="14">
        <v>159</v>
      </c>
      <c r="K160" s="14">
        <f>VLOOKUP(B160,weights!A:G,5,FALSE)</f>
        <v>1.42</v>
      </c>
      <c r="L160" s="14">
        <f>VLOOKUP(B160,weights!A:G,6,FALSE)</f>
        <v>7</v>
      </c>
      <c r="M160" s="14">
        <f>VLOOKUP(B160,weights!A:G,7,FALSE)</f>
        <v>10</v>
      </c>
      <c r="N160" t="s">
        <v>4381</v>
      </c>
      <c r="O160">
        <v>470</v>
      </c>
      <c r="P160">
        <v>48.920785969100002</v>
      </c>
      <c r="Q160">
        <v>2.4105986151000001</v>
      </c>
      <c r="R160" s="22">
        <v>48</v>
      </c>
      <c r="S160" s="22">
        <v>55</v>
      </c>
      <c r="T160" s="22">
        <v>15</v>
      </c>
      <c r="U160" s="24">
        <f>R160+S160/60+T160/3600</f>
        <v>48.920833333333334</v>
      </c>
      <c r="V160" s="28">
        <f>ABS(U160-P160)/P160</f>
        <v>9.6818218255456587E-7</v>
      </c>
      <c r="W160" s="22">
        <v>2</v>
      </c>
      <c r="X160" s="22">
        <v>24</v>
      </c>
      <c r="Y160" s="22">
        <v>38</v>
      </c>
      <c r="Z160" s="14">
        <f>W160+X160/60+Y160/3600</f>
        <v>2.4105555555555553</v>
      </c>
      <c r="AA160" s="26">
        <f>ABS(Z160-Q160)/Q160</f>
        <v>1.7862594035771161E-5</v>
      </c>
      <c r="AB160" s="26"/>
      <c r="AC160" s="24">
        <f>U160</f>
        <v>48.920833333333334</v>
      </c>
      <c r="AD160" s="14">
        <f>Z160</f>
        <v>2.4105555555555553</v>
      </c>
    </row>
    <row r="161" spans="1:30" s="14" customFormat="1">
      <c r="A161" s="12">
        <v>1</v>
      </c>
      <c r="B161" s="12" t="s">
        <v>74</v>
      </c>
      <c r="C161" s="14" t="str">
        <f>VLOOKUP(B161,weights!A:B,2,FALSE)</f>
        <v>M</v>
      </c>
      <c r="D161" s="13">
        <v>159</v>
      </c>
      <c r="E161" s="14" t="s">
        <v>252</v>
      </c>
      <c r="F161" s="14" t="s">
        <v>253</v>
      </c>
      <c r="G161" s="15"/>
      <c r="H161" s="18"/>
      <c r="I161" s="18"/>
      <c r="J161" s="14">
        <v>160</v>
      </c>
      <c r="K161" s="14">
        <f>VLOOKUP(B161,weights!A:G,5,FALSE)</f>
        <v>1.42</v>
      </c>
      <c r="L161" s="14">
        <f>VLOOKUP(B161,weights!A:G,6,FALSE)</f>
        <v>7</v>
      </c>
      <c r="M161" s="14">
        <f>VLOOKUP(B161,weights!A:G,7,FALSE)</f>
        <v>10</v>
      </c>
      <c r="N161" t="s">
        <v>4050</v>
      </c>
      <c r="O161">
        <v>244</v>
      </c>
      <c r="P161">
        <v>48.9149497573</v>
      </c>
      <c r="Q161">
        <v>2.40440908878</v>
      </c>
      <c r="R161" s="22">
        <v>48</v>
      </c>
      <c r="S161" s="22">
        <v>54</v>
      </c>
      <c r="T161" s="22">
        <v>51</v>
      </c>
      <c r="U161" s="24">
        <f>R161+S161/60+T161/3600</f>
        <v>48.914166666666667</v>
      </c>
      <c r="V161" s="28">
        <f>ABS(U161-P161)/P161</f>
        <v>1.6009229023424681E-5</v>
      </c>
      <c r="W161" s="22">
        <v>2</v>
      </c>
      <c r="X161" s="22">
        <v>24</v>
      </c>
      <c r="Y161" s="22">
        <v>15</v>
      </c>
      <c r="Z161" s="14">
        <f>W161+X161/60+Y161/3600</f>
        <v>2.4041666666666668</v>
      </c>
      <c r="AA161" s="26">
        <f>ABS(Z161-Q161)/Q161</f>
        <v>1.0082398809108514E-4</v>
      </c>
      <c r="AB161" s="26"/>
      <c r="AC161" s="24">
        <f>U161</f>
        <v>48.914166666666667</v>
      </c>
      <c r="AD161" s="14">
        <f>Z161</f>
        <v>2.4041666666666668</v>
      </c>
    </row>
    <row r="162" spans="1:30" s="14" customFormat="1">
      <c r="A162" s="12">
        <v>2</v>
      </c>
      <c r="B162" s="12" t="s">
        <v>74</v>
      </c>
      <c r="C162" s="14" t="str">
        <f>VLOOKUP(B162,weights!A:B,2,FALSE)</f>
        <v>M</v>
      </c>
      <c r="D162" s="13">
        <v>160</v>
      </c>
      <c r="E162" s="14" t="s">
        <v>254</v>
      </c>
      <c r="F162" s="14" t="s">
        <v>255</v>
      </c>
      <c r="G162" s="15"/>
      <c r="H162" s="18"/>
      <c r="I162" s="18"/>
      <c r="J162" s="14">
        <v>161</v>
      </c>
      <c r="K162" s="14">
        <f>VLOOKUP(B162,weights!A:G,5,FALSE)</f>
        <v>1.42</v>
      </c>
      <c r="L162" s="14">
        <f>VLOOKUP(B162,weights!A:G,6,FALSE)</f>
        <v>7</v>
      </c>
      <c r="M162" s="14">
        <f>VLOOKUP(B162,weights!A:G,7,FALSE)</f>
        <v>10</v>
      </c>
      <c r="N162" t="s">
        <v>3220</v>
      </c>
      <c r="O162">
        <v>370</v>
      </c>
      <c r="P162">
        <v>48.903759931099998</v>
      </c>
      <c r="Q162">
        <v>2.3922870596300001</v>
      </c>
      <c r="R162" s="22">
        <v>48</v>
      </c>
      <c r="S162" s="22">
        <v>54</v>
      </c>
      <c r="T162" s="22">
        <v>14</v>
      </c>
      <c r="U162" s="24">
        <f>R162+S162/60+T162/3600</f>
        <v>48.903888888888886</v>
      </c>
      <c r="V162" s="28">
        <f>ABS(U162-P162)/P162</f>
        <v>2.6369708396658243E-6</v>
      </c>
      <c r="W162" s="22">
        <v>2</v>
      </c>
      <c r="X162" s="22">
        <v>23</v>
      </c>
      <c r="Y162" s="22">
        <v>33</v>
      </c>
      <c r="Z162" s="14">
        <f>W162+X162/60+Y162/3600</f>
        <v>2.3925000000000001</v>
      </c>
      <c r="AA162" s="26">
        <f>ABS(Z162-Q162)/Q162</f>
        <v>8.9011211736815586E-5</v>
      </c>
      <c r="AB162" s="26"/>
      <c r="AC162" s="24">
        <f>U162</f>
        <v>48.903888888888886</v>
      </c>
      <c r="AD162" s="14">
        <f>Z162</f>
        <v>2.3925000000000001</v>
      </c>
    </row>
    <row r="163" spans="1:30" s="14" customFormat="1">
      <c r="A163" s="12">
        <v>3</v>
      </c>
      <c r="B163" s="12" t="s">
        <v>74</v>
      </c>
      <c r="C163" s="14" t="str">
        <f>VLOOKUP(B163,weights!A:B,2,FALSE)</f>
        <v>M</v>
      </c>
      <c r="D163" s="13">
        <v>161</v>
      </c>
      <c r="E163" s="14" t="s">
        <v>322</v>
      </c>
      <c r="F163" s="14" t="s">
        <v>256</v>
      </c>
      <c r="G163" s="15" t="s">
        <v>143</v>
      </c>
      <c r="H163" s="18"/>
      <c r="I163" s="18" t="s">
        <v>1675</v>
      </c>
      <c r="J163" s="14">
        <v>162</v>
      </c>
      <c r="K163" s="14">
        <f>VLOOKUP(B163,weights!A:G,5,FALSE)</f>
        <v>1.42</v>
      </c>
      <c r="L163" s="14">
        <f>VLOOKUP(B163,weights!A:G,6,FALSE)</f>
        <v>7</v>
      </c>
      <c r="M163" s="14">
        <f>VLOOKUP(B163,weights!A:G,7,FALSE)</f>
        <v>10</v>
      </c>
      <c r="N163" t="s">
        <v>5331</v>
      </c>
      <c r="O163">
        <v>710</v>
      </c>
      <c r="P163">
        <v>48.8973898916</v>
      </c>
      <c r="Q163">
        <v>2.3855083876699998</v>
      </c>
      <c r="R163" s="22">
        <v>48</v>
      </c>
      <c r="S163" s="22">
        <v>53</v>
      </c>
      <c r="T163" s="22">
        <v>49</v>
      </c>
      <c r="U163" s="24">
        <f>R163+S163/60+T163/3600</f>
        <v>48.896944444444443</v>
      </c>
      <c r="V163" s="28">
        <f>ABS(U163-P163)/P163</f>
        <v>9.1098350350330128E-6</v>
      </c>
      <c r="W163" s="22">
        <v>2</v>
      </c>
      <c r="X163" s="22">
        <v>23</v>
      </c>
      <c r="Y163" s="22">
        <v>9</v>
      </c>
      <c r="Z163" s="14">
        <f>W163+X163/60+Y163/3600</f>
        <v>2.3858333333333333</v>
      </c>
      <c r="AA163" s="26">
        <f>ABS(Z163-Q163)/Q163</f>
        <v>1.3621652517046634E-4</v>
      </c>
      <c r="AB163" s="26"/>
      <c r="AC163" s="24">
        <f>U163</f>
        <v>48.896944444444443</v>
      </c>
      <c r="AD163" s="14">
        <f>Z163</f>
        <v>2.3858333333333333</v>
      </c>
    </row>
    <row r="164" spans="1:30" s="14" customFormat="1">
      <c r="A164" s="12">
        <v>4</v>
      </c>
      <c r="B164" s="12" t="s">
        <v>74</v>
      </c>
      <c r="C164" s="14" t="str">
        <f>VLOOKUP(B164,weights!A:B,2,FALSE)</f>
        <v>M</v>
      </c>
      <c r="D164" s="13">
        <v>162</v>
      </c>
      <c r="E164" s="14" t="s">
        <v>257</v>
      </c>
      <c r="F164" s="14" t="s">
        <v>258</v>
      </c>
      <c r="G164" s="15"/>
      <c r="H164" s="18"/>
      <c r="I164" s="18"/>
      <c r="J164" s="14">
        <v>163</v>
      </c>
      <c r="K164" s="14">
        <f>VLOOKUP(B164,weights!A:G,5,FALSE)</f>
        <v>1.42</v>
      </c>
      <c r="L164" s="14">
        <f>VLOOKUP(B164,weights!A:G,6,FALSE)</f>
        <v>7</v>
      </c>
      <c r="M164" s="14">
        <f>VLOOKUP(B164,weights!A:G,7,FALSE)</f>
        <v>10</v>
      </c>
      <c r="N164" t="s">
        <v>3757</v>
      </c>
      <c r="O164">
        <v>881</v>
      </c>
      <c r="P164">
        <v>48.894836467499999</v>
      </c>
      <c r="Q164">
        <v>2.3825223434299998</v>
      </c>
      <c r="R164" s="22">
        <v>48</v>
      </c>
      <c r="S164" s="22">
        <v>53</v>
      </c>
      <c r="T164" s="22">
        <v>41</v>
      </c>
      <c r="U164" s="24">
        <f>R164+S164/60+T164/3600</f>
        <v>48.894722222222221</v>
      </c>
      <c r="V164" s="28">
        <f>ABS(U164-P164)/P164</f>
        <v>2.3365509741384984E-6</v>
      </c>
      <c r="W164" s="22">
        <v>2</v>
      </c>
      <c r="X164" s="22">
        <v>22</v>
      </c>
      <c r="Y164" s="22">
        <v>57</v>
      </c>
      <c r="Z164" s="14">
        <f>W164+X164/60+Y164/3600</f>
        <v>2.3824999999999998</v>
      </c>
      <c r="AA164" s="26">
        <f>ABS(Z164-Q164)/Q164</f>
        <v>9.3780568570843168E-6</v>
      </c>
      <c r="AB164" s="26"/>
      <c r="AC164" s="24">
        <f>U164</f>
        <v>48.894722222222221</v>
      </c>
      <c r="AD164" s="14">
        <f>Z164</f>
        <v>2.3824999999999998</v>
      </c>
    </row>
    <row r="165" spans="1:30" s="14" customFormat="1">
      <c r="A165" s="12">
        <v>5</v>
      </c>
      <c r="B165" s="12" t="s">
        <v>74</v>
      </c>
      <c r="C165" s="14" t="str">
        <f>VLOOKUP(B165,weights!A:B,2,FALSE)</f>
        <v>M</v>
      </c>
      <c r="D165" s="13">
        <v>163</v>
      </c>
      <c r="E165" s="14" t="s">
        <v>259</v>
      </c>
      <c r="F165" s="14" t="s">
        <v>260</v>
      </c>
      <c r="G165" s="15"/>
      <c r="H165" s="18"/>
      <c r="I165" s="18"/>
      <c r="J165" s="14">
        <v>164</v>
      </c>
      <c r="K165" s="14">
        <f>VLOOKUP(B165,weights!A:G,5,FALSE)</f>
        <v>1.42</v>
      </c>
      <c r="L165" s="14">
        <f>VLOOKUP(B165,weights!A:G,6,FALSE)</f>
        <v>7</v>
      </c>
      <c r="M165" s="14">
        <f>VLOOKUP(B165,weights!A:G,7,FALSE)</f>
        <v>10</v>
      </c>
      <c r="N165" t="s">
        <v>3818</v>
      </c>
      <c r="O165">
        <v>882</v>
      </c>
      <c r="P165">
        <v>48.890788969500001</v>
      </c>
      <c r="Q165">
        <v>2.3773157556000002</v>
      </c>
      <c r="R165" s="22">
        <v>48</v>
      </c>
      <c r="S165" s="22">
        <v>53</v>
      </c>
      <c r="T165" s="22">
        <v>29</v>
      </c>
      <c r="U165" s="24">
        <f>R165+S165/60+T165/3600</f>
        <v>48.891388888888891</v>
      </c>
      <c r="V165" s="28">
        <f>ABS(U165-P165)/P165</f>
        <v>1.2270601508680007E-5</v>
      </c>
      <c r="W165" s="22">
        <v>2</v>
      </c>
      <c r="X165" s="22">
        <v>22</v>
      </c>
      <c r="Y165" s="22">
        <v>38</v>
      </c>
      <c r="Z165" s="14">
        <f>W165+X165/60+Y165/3600</f>
        <v>2.3772222222222221</v>
      </c>
      <c r="AA165" s="26">
        <f>ABS(Z165-Q165)/Q165</f>
        <v>3.9344112181033819E-5</v>
      </c>
      <c r="AB165" s="26"/>
      <c r="AC165" s="24">
        <f>U165</f>
        <v>48.891388888888891</v>
      </c>
      <c r="AD165" s="14">
        <f>Z165</f>
        <v>2.3772222222222221</v>
      </c>
    </row>
    <row r="166" spans="1:30" s="14" customFormat="1">
      <c r="A166" s="12">
        <v>6</v>
      </c>
      <c r="B166" s="12" t="s">
        <v>74</v>
      </c>
      <c r="C166" s="14" t="str">
        <f>VLOOKUP(B166,weights!A:B,2,FALSE)</f>
        <v>M</v>
      </c>
      <c r="D166" s="13">
        <v>164</v>
      </c>
      <c r="E166" s="14" t="s">
        <v>261</v>
      </c>
      <c r="F166" s="14" t="s">
        <v>262</v>
      </c>
      <c r="G166" s="15"/>
      <c r="H166" s="18"/>
      <c r="I166" s="18"/>
      <c r="J166" s="14">
        <v>165</v>
      </c>
      <c r="K166" s="14">
        <f>VLOOKUP(B166,weights!A:G,5,FALSE)</f>
        <v>1.42</v>
      </c>
      <c r="L166" s="14">
        <f>VLOOKUP(B166,weights!A:G,6,FALSE)</f>
        <v>7</v>
      </c>
      <c r="M166" s="14">
        <f>VLOOKUP(B166,weights!A:G,7,FALSE)</f>
        <v>10</v>
      </c>
      <c r="N166" t="s">
        <v>5447</v>
      </c>
      <c r="O166">
        <v>883</v>
      </c>
      <c r="P166">
        <v>48.888267620599997</v>
      </c>
      <c r="Q166">
        <v>2.3742040160800002</v>
      </c>
      <c r="R166" s="22">
        <v>48</v>
      </c>
      <c r="S166" s="22">
        <v>53</v>
      </c>
      <c r="T166" s="22">
        <v>18</v>
      </c>
      <c r="U166" s="24">
        <f>R166+S166/60+T166/3600</f>
        <v>48.888333333333335</v>
      </c>
      <c r="V166" s="28">
        <f>ABS(U166-P166)/P166</f>
        <v>1.3441411720353279E-6</v>
      </c>
      <c r="W166" s="22">
        <v>2</v>
      </c>
      <c r="X166" s="22">
        <v>22</v>
      </c>
      <c r="Y166" s="22">
        <v>27</v>
      </c>
      <c r="Z166" s="14">
        <f>W166+X166/60+Y166/3600</f>
        <v>2.3741666666666665</v>
      </c>
      <c r="AA166" s="26">
        <f>ABS(Z166-Q166)/Q166</f>
        <v>1.5731341148740783E-5</v>
      </c>
      <c r="AB166" s="26"/>
      <c r="AC166" s="24">
        <f>U166</f>
        <v>48.888333333333335</v>
      </c>
      <c r="AD166" s="14">
        <f>Z166</f>
        <v>2.3741666666666665</v>
      </c>
    </row>
    <row r="167" spans="1:30" s="14" customFormat="1">
      <c r="A167" s="12">
        <v>7</v>
      </c>
      <c r="B167" s="12" t="s">
        <v>74</v>
      </c>
      <c r="C167" s="14" t="str">
        <f>VLOOKUP(B167,weights!A:B,2,FALSE)</f>
        <v>M</v>
      </c>
      <c r="D167" s="13">
        <v>165</v>
      </c>
      <c r="E167" s="14" t="s">
        <v>97</v>
      </c>
      <c r="F167" s="14" t="s">
        <v>263</v>
      </c>
      <c r="G167" s="15" t="s">
        <v>314</v>
      </c>
      <c r="H167" s="18" t="s">
        <v>1676</v>
      </c>
      <c r="I167" s="18"/>
      <c r="J167" s="14">
        <v>166</v>
      </c>
      <c r="K167" s="14">
        <f>VLOOKUP(B167,weights!A:G,5,FALSE)</f>
        <v>1.42</v>
      </c>
      <c r="L167" s="14">
        <f>VLOOKUP(B167,weights!A:G,6,FALSE)</f>
        <v>7</v>
      </c>
      <c r="M167" s="14">
        <f>VLOOKUP(B167,weights!A:G,7,FALSE)</f>
        <v>10</v>
      </c>
      <c r="N167" t="s">
        <v>5734</v>
      </c>
      <c r="O167">
        <v>117</v>
      </c>
      <c r="P167">
        <v>48.883995220499997</v>
      </c>
      <c r="Q167">
        <v>2.3689127033099999</v>
      </c>
      <c r="R167" s="22">
        <v>48</v>
      </c>
      <c r="S167" s="22">
        <v>53</v>
      </c>
      <c r="T167" s="22">
        <v>3</v>
      </c>
      <c r="U167" s="24">
        <f>R167+S167/60+T167/3600</f>
        <v>48.884166666666665</v>
      </c>
      <c r="V167" s="28">
        <f>ABS(U167-P167)/P167</f>
        <v>3.5072044724380272E-6</v>
      </c>
      <c r="W167" s="22">
        <v>2</v>
      </c>
      <c r="X167" s="22">
        <v>22</v>
      </c>
      <c r="Y167" s="22">
        <v>7</v>
      </c>
      <c r="Z167" s="14">
        <f>W167+X167/60+Y167/3600</f>
        <v>2.368611111111111</v>
      </c>
      <c r="AA167" s="26">
        <f>ABS(Z167-Q167)/Q167</f>
        <v>1.273125001472271E-4</v>
      </c>
      <c r="AB167" s="26"/>
      <c r="AC167" s="24">
        <f>U167</f>
        <v>48.884166666666665</v>
      </c>
      <c r="AD167" s="14">
        <f>Z167</f>
        <v>2.368611111111111</v>
      </c>
    </row>
    <row r="168" spans="1:30" s="14" customFormat="1">
      <c r="A168" s="12">
        <v>8</v>
      </c>
      <c r="B168" s="12" t="s">
        <v>74</v>
      </c>
      <c r="C168" s="14" t="str">
        <f>VLOOKUP(B168,weights!A:B,2,FALSE)</f>
        <v>M</v>
      </c>
      <c r="D168" s="13">
        <v>166</v>
      </c>
      <c r="E168" s="14" t="s">
        <v>264</v>
      </c>
      <c r="F168" s="14" t="s">
        <v>265</v>
      </c>
      <c r="G168" s="15" t="s">
        <v>344</v>
      </c>
      <c r="H168" s="18" t="s">
        <v>1677</v>
      </c>
      <c r="I168" s="18"/>
      <c r="J168" s="14">
        <v>167</v>
      </c>
      <c r="K168" s="14">
        <f>VLOOKUP(B168,weights!A:G,5,FALSE)</f>
        <v>1.42</v>
      </c>
      <c r="L168" s="14">
        <f>VLOOKUP(B168,weights!A:G,6,FALSE)</f>
        <v>7</v>
      </c>
      <c r="M168" s="14">
        <f>VLOOKUP(B168,weights!A:G,7,FALSE)</f>
        <v>10</v>
      </c>
      <c r="N168" t="s">
        <v>4653</v>
      </c>
      <c r="O168">
        <v>371</v>
      </c>
      <c r="P168">
        <v>48.881584251</v>
      </c>
      <c r="Q168">
        <v>2.3659210371000001</v>
      </c>
      <c r="R168" s="22">
        <v>48</v>
      </c>
      <c r="S168" s="22">
        <v>52</v>
      </c>
      <c r="T168" s="22">
        <v>53</v>
      </c>
      <c r="U168" s="24">
        <f>R168+S168/60+T168/3600</f>
        <v>48.881388888888893</v>
      </c>
      <c r="V168" s="28">
        <f>ABS(U168-P168)/P168</f>
        <v>3.9966403319476713E-6</v>
      </c>
      <c r="W168" s="22">
        <v>2</v>
      </c>
      <c r="X168" s="22">
        <v>21</v>
      </c>
      <c r="Y168" s="22">
        <v>55</v>
      </c>
      <c r="Z168" s="14">
        <f>W168+X168/60+Y168/3600</f>
        <v>2.365277777777778</v>
      </c>
      <c r="AA168" s="26">
        <f>ABS(Z168-Q168)/Q168</f>
        <v>2.7188537239203765E-4</v>
      </c>
      <c r="AB168" s="26"/>
      <c r="AC168" s="24">
        <f>U168</f>
        <v>48.881388888888893</v>
      </c>
      <c r="AD168" s="14">
        <f>Z168</f>
        <v>2.365277777777778</v>
      </c>
    </row>
    <row r="169" spans="1:30" s="14" customFormat="1">
      <c r="A169" s="12">
        <v>9</v>
      </c>
      <c r="B169" s="12" t="s">
        <v>74</v>
      </c>
      <c r="C169" s="14" t="str">
        <f>VLOOKUP(B169,weights!A:B,2,FALSE)</f>
        <v>M</v>
      </c>
      <c r="D169" s="13">
        <v>167</v>
      </c>
      <c r="E169" s="14" t="s">
        <v>266</v>
      </c>
      <c r="F169" s="14" t="s">
        <v>267</v>
      </c>
      <c r="G169" s="15" t="s">
        <v>315</v>
      </c>
      <c r="H169" s="18"/>
      <c r="I169" s="18" t="s">
        <v>1642</v>
      </c>
      <c r="J169" s="14">
        <v>168</v>
      </c>
      <c r="K169" s="14">
        <f>VLOOKUP(B169,weights!A:G,5,FALSE)</f>
        <v>1.42</v>
      </c>
      <c r="L169" s="14">
        <f>VLOOKUP(B169,weights!A:G,6,FALSE)</f>
        <v>7</v>
      </c>
      <c r="M169" s="14">
        <f>VLOOKUP(B169,weights!A:G,7,FALSE)</f>
        <v>10</v>
      </c>
      <c r="N169" t="s">
        <v>3625</v>
      </c>
      <c r="O169">
        <v>245</v>
      </c>
      <c r="P169">
        <v>48.8785656258</v>
      </c>
      <c r="Q169">
        <v>2.3621600705599999</v>
      </c>
      <c r="R169" s="22">
        <v>48</v>
      </c>
      <c r="S169" s="22">
        <v>52</v>
      </c>
      <c r="T169" s="22">
        <v>43</v>
      </c>
      <c r="U169" s="24">
        <f>R169+S169/60+T169/3600</f>
        <v>48.878611111111113</v>
      </c>
      <c r="V169" s="28">
        <f>ABS(U169-P169)/P169</f>
        <v>9.3057786229819179E-7</v>
      </c>
      <c r="W169" s="22">
        <v>2</v>
      </c>
      <c r="X169" s="22">
        <v>21</v>
      </c>
      <c r="Y169" s="22">
        <v>43</v>
      </c>
      <c r="Z169" s="14">
        <f>W169+X169/60+Y169/3600</f>
        <v>2.3619444444444446</v>
      </c>
      <c r="AA169" s="26">
        <f>ABS(Z169-Q169)/Q169</f>
        <v>9.1283447824997584E-5</v>
      </c>
      <c r="AB169" s="26"/>
      <c r="AC169" s="24">
        <f>U169</f>
        <v>48.878611111111113</v>
      </c>
      <c r="AD169" s="14">
        <f>Z169</f>
        <v>2.3619444444444446</v>
      </c>
    </row>
    <row r="170" spans="1:30" s="14" customFormat="1">
      <c r="A170" s="12">
        <v>10</v>
      </c>
      <c r="B170" s="12" t="s">
        <v>74</v>
      </c>
      <c r="C170" s="14" t="str">
        <f>VLOOKUP(B170,weights!A:B,2,FALSE)</f>
        <v>M</v>
      </c>
      <c r="D170" s="13">
        <v>168</v>
      </c>
      <c r="E170" s="14" t="s">
        <v>156</v>
      </c>
      <c r="F170" s="14" t="s">
        <v>157</v>
      </c>
      <c r="G170" s="15" t="s">
        <v>1449</v>
      </c>
      <c r="H170" s="18" t="s">
        <v>1678</v>
      </c>
      <c r="I170" s="18" t="s">
        <v>1679</v>
      </c>
      <c r="J170" s="14">
        <v>169</v>
      </c>
      <c r="K170" s="14">
        <f>VLOOKUP(B170,weights!A:G,5,FALSE)</f>
        <v>1.42</v>
      </c>
      <c r="L170" s="14">
        <f>VLOOKUP(B170,weights!A:G,6,FALSE)</f>
        <v>7</v>
      </c>
      <c r="M170" s="14">
        <f>VLOOKUP(B170,weights!A:G,7,FALSE)</f>
        <v>10</v>
      </c>
      <c r="N170" t="s">
        <v>4098</v>
      </c>
      <c r="O170">
        <v>712</v>
      </c>
      <c r="P170">
        <v>48.8773756199</v>
      </c>
      <c r="Q170">
        <v>2.3594566169400002</v>
      </c>
      <c r="R170" s="22">
        <v>48</v>
      </c>
      <c r="S170" s="22">
        <v>52</v>
      </c>
      <c r="T170" s="22">
        <v>34</v>
      </c>
      <c r="U170" s="24">
        <f>R170+S170/60+T170/3600</f>
        <v>48.876111111111115</v>
      </c>
      <c r="V170" s="28">
        <f>ABS(U170-P170)/P170</f>
        <v>2.5871045097003677E-5</v>
      </c>
      <c r="W170" s="22">
        <v>2</v>
      </c>
      <c r="X170" s="22">
        <v>21</v>
      </c>
      <c r="Y170" s="22">
        <v>29</v>
      </c>
      <c r="Z170" s="14">
        <f>W170+X170/60+Y170/3600</f>
        <v>2.3580555555555556</v>
      </c>
      <c r="AA170" s="26">
        <f>ABS(Z170-Q170)/Q170</f>
        <v>5.9380680042410471E-4</v>
      </c>
      <c r="AB170" s="26"/>
      <c r="AC170" s="24">
        <f>U170</f>
        <v>48.876111111111115</v>
      </c>
      <c r="AD170" s="14">
        <f>Z170</f>
        <v>2.3580555555555556</v>
      </c>
    </row>
    <row r="171" spans="1:30" s="14" customFormat="1">
      <c r="A171" s="12">
        <v>11</v>
      </c>
      <c r="B171" s="12" t="s">
        <v>74</v>
      </c>
      <c r="C171" s="14" t="str">
        <f>VLOOKUP(B171,weights!A:B,2,FALSE)</f>
        <v>M</v>
      </c>
      <c r="D171" s="13">
        <v>169</v>
      </c>
      <c r="E171" s="14" t="s">
        <v>268</v>
      </c>
      <c r="F171" s="14" t="s">
        <v>269</v>
      </c>
      <c r="G171" s="15"/>
      <c r="H171" s="18"/>
      <c r="I171" s="18"/>
      <c r="J171" s="14">
        <v>170</v>
      </c>
      <c r="K171" s="14">
        <f>VLOOKUP(B171,weights!A:G,5,FALSE)</f>
        <v>1.42</v>
      </c>
      <c r="L171" s="14">
        <f>VLOOKUP(B171,weights!A:G,6,FALSE)</f>
        <v>7</v>
      </c>
      <c r="M171" s="14">
        <f>VLOOKUP(B171,weights!A:G,7,FALSE)</f>
        <v>10</v>
      </c>
      <c r="N171" t="s">
        <v>5215</v>
      </c>
      <c r="O171">
        <v>246</v>
      </c>
      <c r="P171">
        <v>48.8772363191</v>
      </c>
      <c r="Q171">
        <v>2.3492939011099998</v>
      </c>
      <c r="R171" s="22">
        <v>48</v>
      </c>
      <c r="S171" s="22">
        <v>52</v>
      </c>
      <c r="T171" s="22">
        <v>37</v>
      </c>
      <c r="U171" s="24">
        <f>R171+S171/60+T171/3600</f>
        <v>48.876944444444447</v>
      </c>
      <c r="V171" s="28">
        <f>ABS(U171-P171)/P171</f>
        <v>5.9715867248859078E-6</v>
      </c>
      <c r="W171" s="22">
        <v>2</v>
      </c>
      <c r="X171" s="22">
        <v>20</v>
      </c>
      <c r="Y171" s="22">
        <v>57</v>
      </c>
      <c r="Z171" s="14">
        <f>W171+X171/60+Y171/3600</f>
        <v>2.3491666666666666</v>
      </c>
      <c r="AA171" s="26">
        <f>ABS(Z171-Q171)/Q171</f>
        <v>5.4158589214003216E-5</v>
      </c>
      <c r="AB171" s="26"/>
      <c r="AC171" s="24">
        <f>U171</f>
        <v>48.876944444444447</v>
      </c>
      <c r="AD171" s="14">
        <f>Z171</f>
        <v>2.3491666666666666</v>
      </c>
    </row>
    <row r="172" spans="1:30" s="14" customFormat="1">
      <c r="A172" s="12">
        <v>12</v>
      </c>
      <c r="B172" s="12" t="s">
        <v>74</v>
      </c>
      <c r="C172" s="14" t="str">
        <f>VLOOKUP(B172,weights!A:B,2,FALSE)</f>
        <v>M</v>
      </c>
      <c r="D172" s="13">
        <v>170</v>
      </c>
      <c r="E172" s="14" t="s">
        <v>270</v>
      </c>
      <c r="F172" s="14" t="s">
        <v>271</v>
      </c>
      <c r="G172" s="15"/>
      <c r="H172" s="18"/>
      <c r="I172" s="18"/>
      <c r="J172" s="14">
        <v>171</v>
      </c>
      <c r="K172" s="14">
        <f>VLOOKUP(B172,weights!A:G,5,FALSE)</f>
        <v>1.42</v>
      </c>
      <c r="L172" s="14">
        <f>VLOOKUP(B172,weights!A:G,6,FALSE)</f>
        <v>7</v>
      </c>
      <c r="M172" s="14">
        <f>VLOOKUP(B172,weights!A:G,7,FALSE)</f>
        <v>10</v>
      </c>
      <c r="N172" t="s">
        <v>3498</v>
      </c>
      <c r="O172">
        <v>60</v>
      </c>
      <c r="P172">
        <v>48.875890681900003</v>
      </c>
      <c r="Q172">
        <v>2.34412603046</v>
      </c>
      <c r="R172" s="22">
        <v>48</v>
      </c>
      <c r="S172" s="22">
        <v>52</v>
      </c>
      <c r="T172" s="22">
        <v>33</v>
      </c>
      <c r="U172" s="24">
        <f>R172+S172/60+T172/3600</f>
        <v>48.875833333333333</v>
      </c>
      <c r="V172" s="28">
        <f>ABS(U172-P172)/P172</f>
        <v>1.1733508253354366E-6</v>
      </c>
      <c r="W172" s="22">
        <v>2</v>
      </c>
      <c r="X172" s="22">
        <v>20</v>
      </c>
      <c r="Y172" s="22">
        <v>35</v>
      </c>
      <c r="Z172" s="14">
        <f>W172+X172/60+Y172/3600</f>
        <v>2.3430555555555559</v>
      </c>
      <c r="AA172" s="26">
        <f>ABS(Z172-Q172)/Q172</f>
        <v>4.5666269242104437E-4</v>
      </c>
      <c r="AB172" s="26"/>
      <c r="AC172" s="24">
        <f>U172</f>
        <v>48.875833333333333</v>
      </c>
      <c r="AD172" s="14">
        <f>Z172</f>
        <v>2.3430555555555559</v>
      </c>
    </row>
    <row r="173" spans="1:30" s="14" customFormat="1">
      <c r="A173" s="12">
        <v>13</v>
      </c>
      <c r="B173" s="12" t="s">
        <v>74</v>
      </c>
      <c r="C173" s="14" t="str">
        <f>VLOOKUP(B173,weights!A:B,2,FALSE)</f>
        <v>M</v>
      </c>
      <c r="D173" s="13">
        <v>171</v>
      </c>
      <c r="E173" s="14" t="s">
        <v>272</v>
      </c>
      <c r="F173" s="14" t="s">
        <v>273</v>
      </c>
      <c r="G173" s="15"/>
      <c r="H173" s="18"/>
      <c r="I173" s="18"/>
      <c r="J173" s="14">
        <v>172</v>
      </c>
      <c r="K173" s="14">
        <f>VLOOKUP(B173,weights!A:G,5,FALSE)</f>
        <v>1.42</v>
      </c>
      <c r="L173" s="14">
        <f>VLOOKUP(B173,weights!A:G,6,FALSE)</f>
        <v>7</v>
      </c>
      <c r="M173" s="14">
        <f>VLOOKUP(B173,weights!A:G,7,FALSE)</f>
        <v>10</v>
      </c>
      <c r="N173" t="s">
        <v>4506</v>
      </c>
      <c r="O173">
        <v>61</v>
      </c>
      <c r="P173">
        <v>48.874874343400002</v>
      </c>
      <c r="Q173">
        <v>2.34019988439</v>
      </c>
      <c r="R173" s="22">
        <v>48</v>
      </c>
      <c r="S173" s="22">
        <v>52</v>
      </c>
      <c r="T173" s="22">
        <v>30</v>
      </c>
      <c r="U173" s="24">
        <f>R173+S173/60+T173/3600</f>
        <v>48.875</v>
      </c>
      <c r="V173" s="28">
        <f>ABS(U173-P173)/P173</f>
        <v>2.5709856380438812E-6</v>
      </c>
      <c r="W173" s="22">
        <v>2</v>
      </c>
      <c r="X173" s="22">
        <v>20</v>
      </c>
      <c r="Y173" s="22">
        <v>26</v>
      </c>
      <c r="Z173" s="14">
        <f>W173+X173/60+Y173/3600</f>
        <v>2.3405555555555555</v>
      </c>
      <c r="AA173" s="26">
        <f>ABS(Z173-Q173)/Q173</f>
        <v>1.5198324208454093E-4</v>
      </c>
      <c r="AB173" s="26"/>
      <c r="AC173" s="24">
        <f>U173</f>
        <v>48.875</v>
      </c>
      <c r="AD173" s="14">
        <f>Z173</f>
        <v>2.3405555555555555</v>
      </c>
    </row>
    <row r="174" spans="1:30" s="14" customFormat="1">
      <c r="A174" s="12">
        <v>14</v>
      </c>
      <c r="B174" s="12" t="s">
        <v>74</v>
      </c>
      <c r="C174" s="14" t="str">
        <f>VLOOKUP(B174,weights!A:B,2,FALSE)</f>
        <v>M</v>
      </c>
      <c r="D174" s="13">
        <v>172</v>
      </c>
      <c r="E174" s="14" t="s">
        <v>274</v>
      </c>
      <c r="F174" s="14" t="s">
        <v>275</v>
      </c>
      <c r="G174" s="15" t="s">
        <v>71</v>
      </c>
      <c r="H174" s="18" t="s">
        <v>1680</v>
      </c>
      <c r="I174" s="18"/>
      <c r="J174" s="14">
        <v>173</v>
      </c>
      <c r="K174" s="14">
        <f>VLOOKUP(B174,weights!A:G,5,FALSE)</f>
        <v>1.42</v>
      </c>
      <c r="L174" s="14">
        <f>VLOOKUP(B174,weights!A:G,6,FALSE)</f>
        <v>7</v>
      </c>
      <c r="M174" s="14">
        <f>VLOOKUP(B174,weights!A:G,7,FALSE)</f>
        <v>10</v>
      </c>
      <c r="N174" t="s">
        <v>3652</v>
      </c>
      <c r="O174">
        <v>31</v>
      </c>
      <c r="P174">
        <v>48.872968140799998</v>
      </c>
      <c r="Q174">
        <v>2.3332570917900002</v>
      </c>
      <c r="R174" s="22">
        <v>48</v>
      </c>
      <c r="S174" s="22">
        <v>52</v>
      </c>
      <c r="T174" s="22">
        <v>22</v>
      </c>
      <c r="U174" s="24">
        <f>R174+S174/60+T174/3600</f>
        <v>48.872777777777777</v>
      </c>
      <c r="V174" s="28">
        <f>ABS(U174-P174)/P174</f>
        <v>3.895057522837016E-6</v>
      </c>
      <c r="W174" s="22">
        <v>2</v>
      </c>
      <c r="X174" s="22">
        <v>20</v>
      </c>
      <c r="Y174" s="22">
        <v>0</v>
      </c>
      <c r="Z174" s="14">
        <f>W174+X174/60+Y174/3600</f>
        <v>2.3333333333333335</v>
      </c>
      <c r="AA174" s="26">
        <f>ABS(Z174-Q174)/Q174</f>
        <v>3.2676014829900129E-5</v>
      </c>
      <c r="AB174" s="26"/>
      <c r="AC174" s="24">
        <f>U174</f>
        <v>48.872777777777777</v>
      </c>
      <c r="AD174" s="14">
        <f>Z174</f>
        <v>2.3333333333333335</v>
      </c>
    </row>
    <row r="175" spans="1:30" s="14" customFormat="1">
      <c r="A175" s="12">
        <v>15</v>
      </c>
      <c r="B175" s="12" t="s">
        <v>74</v>
      </c>
      <c r="C175" s="14" t="str">
        <f>VLOOKUP(B175,weights!A:B,2,FALSE)</f>
        <v>M</v>
      </c>
      <c r="D175" s="13">
        <v>173</v>
      </c>
      <c r="E175" s="14" t="s">
        <v>125</v>
      </c>
      <c r="F175" s="14" t="s">
        <v>276</v>
      </c>
      <c r="G175" s="15" t="s">
        <v>749</v>
      </c>
      <c r="H175" s="18" t="s">
        <v>1681</v>
      </c>
      <c r="I175" s="18" t="s">
        <v>1625</v>
      </c>
      <c r="J175" s="14">
        <v>174</v>
      </c>
      <c r="K175" s="14">
        <f>VLOOKUP(B175,weights!A:G,5,FALSE)</f>
        <v>1.42</v>
      </c>
      <c r="L175" s="14">
        <f>VLOOKUP(B175,weights!A:G,6,FALSE)</f>
        <v>7</v>
      </c>
      <c r="M175" s="14">
        <f>VLOOKUP(B175,weights!A:G,7,FALSE)</f>
        <v>10</v>
      </c>
      <c r="N175" t="s">
        <v>5044</v>
      </c>
      <c r="O175">
        <v>67</v>
      </c>
      <c r="P175">
        <v>48.870677681799997</v>
      </c>
      <c r="Q175">
        <v>2.3323546392600001</v>
      </c>
      <c r="R175" s="22">
        <v>48</v>
      </c>
      <c r="S175" s="22">
        <v>52</v>
      </c>
      <c r="T175" s="22">
        <v>14</v>
      </c>
      <c r="U175" s="24">
        <f>R175+S175/60+T175/3600</f>
        <v>48.870555555555555</v>
      </c>
      <c r="V175" s="28">
        <f>ABS(U175-P175)/P175</f>
        <v>2.4989676884964911E-6</v>
      </c>
      <c r="W175" s="22">
        <v>2</v>
      </c>
      <c r="X175" s="22">
        <v>19</v>
      </c>
      <c r="Y175" s="22">
        <v>58</v>
      </c>
      <c r="Z175" s="14">
        <f>W175+X175/60+Y175/3600</f>
        <v>2.3327777777777774</v>
      </c>
      <c r="AA175" s="26">
        <f>ABS(Z175-Q175)/Q175</f>
        <v>1.8142117440234656E-4</v>
      </c>
      <c r="AB175" s="26"/>
      <c r="AC175" s="24">
        <f>U175</f>
        <v>48.870555555555555</v>
      </c>
      <c r="AD175" s="14">
        <f>Z175</f>
        <v>2.3327777777777774</v>
      </c>
    </row>
    <row r="176" spans="1:30" s="14" customFormat="1">
      <c r="A176" s="12">
        <v>16</v>
      </c>
      <c r="B176" s="12" t="s">
        <v>74</v>
      </c>
      <c r="C176" s="14" t="str">
        <f>VLOOKUP(B176,weights!A:B,2,FALSE)</f>
        <v>M</v>
      </c>
      <c r="D176" s="13">
        <v>174</v>
      </c>
      <c r="E176" s="14" t="s">
        <v>277</v>
      </c>
      <c r="F176" s="14" t="s">
        <v>278</v>
      </c>
      <c r="G176" s="15" t="s">
        <v>248</v>
      </c>
      <c r="H176" s="18" t="s">
        <v>1682</v>
      </c>
      <c r="I176" s="18"/>
      <c r="J176" s="14">
        <v>175</v>
      </c>
      <c r="K176" s="14">
        <f>VLOOKUP(B176,weights!A:G,5,FALSE)</f>
        <v>1.42</v>
      </c>
      <c r="L176" s="14">
        <f>VLOOKUP(B176,weights!A:G,6,FALSE)</f>
        <v>7</v>
      </c>
      <c r="M176" s="14">
        <f>VLOOKUP(B176,weights!A:G,7,FALSE)</f>
        <v>10</v>
      </c>
      <c r="N176" t="s">
        <v>5397</v>
      </c>
      <c r="O176">
        <v>247</v>
      </c>
      <c r="P176">
        <v>48.865761102800001</v>
      </c>
      <c r="Q176">
        <v>2.33442748591</v>
      </c>
      <c r="R176" s="22">
        <v>48</v>
      </c>
      <c r="S176" s="22">
        <v>51</v>
      </c>
      <c r="T176" s="22">
        <v>59</v>
      </c>
      <c r="U176" s="24">
        <f>R176+S176/60+T176/3600</f>
        <v>48.866388888888892</v>
      </c>
      <c r="V176" s="28">
        <f>ABS(U176-P176)/P176</f>
        <v>1.2847156674195274E-5</v>
      </c>
      <c r="W176" s="22">
        <v>2</v>
      </c>
      <c r="X176" s="22">
        <v>20</v>
      </c>
      <c r="Y176" s="22">
        <v>2</v>
      </c>
      <c r="Z176" s="14">
        <f>W176+X176/60+Y176/3600</f>
        <v>2.3338888888888891</v>
      </c>
      <c r="AA176" s="26">
        <f>ABS(Z176-Q176)/Q176</f>
        <v>2.3071910537455223E-4</v>
      </c>
      <c r="AB176" s="26"/>
      <c r="AC176" s="24">
        <f>U176</f>
        <v>48.866388888888892</v>
      </c>
      <c r="AD176" s="14">
        <f>Z176</f>
        <v>2.3338888888888891</v>
      </c>
    </row>
    <row r="177" spans="1:30" s="14" customFormat="1">
      <c r="A177" s="12">
        <v>17</v>
      </c>
      <c r="B177" s="12" t="s">
        <v>74</v>
      </c>
      <c r="C177" s="14" t="str">
        <f>VLOOKUP(B177,weights!A:B,2,FALSE)</f>
        <v>M</v>
      </c>
      <c r="D177" s="13">
        <v>175</v>
      </c>
      <c r="E177" s="14" t="s">
        <v>42</v>
      </c>
      <c r="F177" s="14" t="s">
        <v>279</v>
      </c>
      <c r="G177" s="15" t="s">
        <v>115</v>
      </c>
      <c r="H177" s="18" t="s">
        <v>1683</v>
      </c>
      <c r="I177" s="18"/>
      <c r="J177" s="14">
        <v>176</v>
      </c>
      <c r="K177" s="14">
        <f>VLOOKUP(B177,weights!A:G,5,FALSE)</f>
        <v>1.42</v>
      </c>
      <c r="L177" s="14">
        <f>VLOOKUP(B177,weights!A:G,6,FALSE)</f>
        <v>7</v>
      </c>
      <c r="M177" s="14">
        <f>VLOOKUP(B177,weights!A:G,7,FALSE)</f>
        <v>10</v>
      </c>
      <c r="N177" t="s">
        <v>5078</v>
      </c>
      <c r="O177">
        <v>325</v>
      </c>
      <c r="P177">
        <v>48.862595536800001</v>
      </c>
      <c r="Q177">
        <v>2.3366841699999998</v>
      </c>
      <c r="R177" s="22">
        <v>48</v>
      </c>
      <c r="S177" s="22">
        <v>51</v>
      </c>
      <c r="T177" s="22">
        <v>46</v>
      </c>
      <c r="U177" s="24">
        <f>R177+S177/60+T177/3600</f>
        <v>48.862777777777779</v>
      </c>
      <c r="V177" s="28">
        <f>ABS(U177-P177)/P177</f>
        <v>3.729662245254562E-6</v>
      </c>
      <c r="W177" s="22">
        <v>2</v>
      </c>
      <c r="X177" s="22">
        <v>20</v>
      </c>
      <c r="Y177" s="22">
        <v>10</v>
      </c>
      <c r="Z177" s="14">
        <f>W177+X177/60+Y177/3600</f>
        <v>2.3361111111111112</v>
      </c>
      <c r="AA177" s="26">
        <f>ABS(Z177-Q177)/Q177</f>
        <v>2.4524447772870781E-4</v>
      </c>
      <c r="AB177" s="26"/>
      <c r="AC177" s="24">
        <f>U177</f>
        <v>48.862777777777779</v>
      </c>
      <c r="AD177" s="14">
        <f>Z177</f>
        <v>2.3361111111111112</v>
      </c>
    </row>
    <row r="178" spans="1:30" s="14" customFormat="1">
      <c r="A178" s="12">
        <v>18</v>
      </c>
      <c r="B178" s="12" t="s">
        <v>74</v>
      </c>
      <c r="C178" s="14" t="str">
        <f>VLOOKUP(B178,weights!A:B,2,FALSE)</f>
        <v>M</v>
      </c>
      <c r="D178" s="13">
        <v>176</v>
      </c>
      <c r="E178" s="14" t="s">
        <v>280</v>
      </c>
      <c r="F178" s="14" t="s">
        <v>281</v>
      </c>
      <c r="G178" s="15"/>
      <c r="H178" s="18"/>
      <c r="I178" s="18"/>
      <c r="J178" s="14">
        <v>177</v>
      </c>
      <c r="K178" s="14">
        <f>VLOOKUP(B178,weights!A:G,5,FALSE)</f>
        <v>1.42</v>
      </c>
      <c r="L178" s="14">
        <f>VLOOKUP(B178,weights!A:G,6,FALSE)</f>
        <v>7</v>
      </c>
      <c r="M178" s="14">
        <f>VLOOKUP(B178,weights!A:G,7,FALSE)</f>
        <v>10</v>
      </c>
      <c r="N178" t="s">
        <v>5253</v>
      </c>
      <c r="O178">
        <v>62</v>
      </c>
      <c r="P178">
        <v>48.8585538273</v>
      </c>
      <c r="Q178">
        <v>2.3422327579900002</v>
      </c>
      <c r="R178" s="22">
        <v>48</v>
      </c>
      <c r="S178" s="22">
        <v>51</v>
      </c>
      <c r="T178" s="22">
        <v>31</v>
      </c>
      <c r="U178" s="24">
        <f>R178+S178/60+T178/3600</f>
        <v>48.858611111111109</v>
      </c>
      <c r="V178" s="28">
        <f>ABS(U178-P178)/P178</f>
        <v>1.1724418064476324E-6</v>
      </c>
      <c r="W178" s="22">
        <v>2</v>
      </c>
      <c r="X178" s="22">
        <v>20</v>
      </c>
      <c r="Y178" s="22">
        <v>32</v>
      </c>
      <c r="Z178" s="14">
        <f>W178+X178/60+Y178/3600</f>
        <v>2.3422222222222224</v>
      </c>
      <c r="AA178" s="26">
        <f>ABS(Z178-Q178)/Q178</f>
        <v>4.4981728403479935E-6</v>
      </c>
      <c r="AB178" s="26"/>
      <c r="AC178" s="24">
        <f>U178</f>
        <v>48.858611111111109</v>
      </c>
      <c r="AD178" s="14">
        <f>Z178</f>
        <v>2.3422222222222224</v>
      </c>
    </row>
    <row r="179" spans="1:30" s="14" customFormat="1">
      <c r="A179" s="12">
        <v>19</v>
      </c>
      <c r="B179" s="12" t="s">
        <v>74</v>
      </c>
      <c r="C179" s="14" t="str">
        <f>VLOOKUP(B179,weights!A:B,2,FALSE)</f>
        <v>M</v>
      </c>
      <c r="D179" s="13">
        <v>177</v>
      </c>
      <c r="E179" s="14" t="s">
        <v>46</v>
      </c>
      <c r="F179" s="14" t="s">
        <v>47</v>
      </c>
      <c r="G179" s="15" t="s">
        <v>1441</v>
      </c>
      <c r="H179" s="18" t="s">
        <v>1571</v>
      </c>
      <c r="I179" s="18" t="s">
        <v>1592</v>
      </c>
      <c r="J179" s="14">
        <v>178</v>
      </c>
      <c r="K179" s="14">
        <f>VLOOKUP(B179,weights!A:G,5,FALSE)</f>
        <v>1.42</v>
      </c>
      <c r="L179" s="14">
        <f>VLOOKUP(B179,weights!A:G,6,FALSE)</f>
        <v>7</v>
      </c>
      <c r="M179" s="14">
        <f>VLOOKUP(B179,weights!A:G,7,FALSE)</f>
        <v>10</v>
      </c>
      <c r="N179" t="s">
        <v>3634</v>
      </c>
      <c r="O179">
        <v>222</v>
      </c>
      <c r="P179">
        <v>48.858061862299998</v>
      </c>
      <c r="Q179">
        <v>2.3476251557199999</v>
      </c>
      <c r="R179" s="22">
        <v>48</v>
      </c>
      <c r="S179" s="22">
        <v>51</v>
      </c>
      <c r="T179" s="22">
        <v>31</v>
      </c>
      <c r="U179" s="24">
        <f>R179+S179/60+T179/3600</f>
        <v>48.858611111111109</v>
      </c>
      <c r="V179" s="28">
        <f>ABS(U179-P179)/P179</f>
        <v>1.1241723273010907E-5</v>
      </c>
      <c r="W179" s="22">
        <v>2</v>
      </c>
      <c r="X179" s="22">
        <v>20</v>
      </c>
      <c r="Y179" s="22">
        <v>50</v>
      </c>
      <c r="Z179" s="14">
        <f>W179+X179/60+Y179/3600</f>
        <v>2.3472222222222223</v>
      </c>
      <c r="AA179" s="26">
        <f>ABS(Z179-Q179)/Q179</f>
        <v>1.7163451192188251E-4</v>
      </c>
      <c r="AB179" s="26"/>
      <c r="AC179" s="24">
        <f>U179</f>
        <v>48.858611111111109</v>
      </c>
      <c r="AD179" s="14">
        <f>Z179</f>
        <v>2.3472222222222223</v>
      </c>
    </row>
    <row r="180" spans="1:30" s="14" customFormat="1">
      <c r="A180" s="12">
        <v>20</v>
      </c>
      <c r="B180" s="12" t="s">
        <v>74</v>
      </c>
      <c r="C180" s="14" t="str">
        <f>VLOOKUP(B180,weights!A:B,2,FALSE)</f>
        <v>M</v>
      </c>
      <c r="D180" s="13">
        <v>178</v>
      </c>
      <c r="E180" s="14" t="s">
        <v>318</v>
      </c>
      <c r="F180" s="14" t="s">
        <v>282</v>
      </c>
      <c r="G180" s="15"/>
      <c r="H180" s="18"/>
      <c r="I180" s="18"/>
      <c r="J180" s="14">
        <v>179</v>
      </c>
      <c r="K180" s="14">
        <f>VLOOKUP(B180,weights!A:G,5,FALSE)</f>
        <v>1.42</v>
      </c>
      <c r="L180" s="14">
        <f>VLOOKUP(B180,weights!A:G,6,FALSE)</f>
        <v>7</v>
      </c>
      <c r="M180" s="14">
        <f>VLOOKUP(B180,weights!A:G,7,FALSE)</f>
        <v>10</v>
      </c>
      <c r="N180" t="s">
        <v>5250</v>
      </c>
      <c r="O180">
        <v>63</v>
      </c>
      <c r="P180">
        <v>48.853575473399999</v>
      </c>
      <c r="Q180">
        <v>2.3571625688800002</v>
      </c>
      <c r="R180" s="22">
        <v>48</v>
      </c>
      <c r="S180" s="22">
        <v>51</v>
      </c>
      <c r="T180" s="22">
        <v>13</v>
      </c>
      <c r="U180" s="24">
        <f>R180+S180/60+T180/3600</f>
        <v>48.853611111111114</v>
      </c>
      <c r="V180" s="28">
        <f>ABS(U180-P180)/P180</f>
        <v>7.2948009985457629E-7</v>
      </c>
      <c r="W180" s="22">
        <v>2</v>
      </c>
      <c r="X180" s="22">
        <v>21</v>
      </c>
      <c r="Y180" s="22">
        <v>26</v>
      </c>
      <c r="Z180" s="14">
        <f>W180+X180/60+Y180/3600</f>
        <v>2.3572222222222221</v>
      </c>
      <c r="AA180" s="26">
        <f>ABS(Z180-Q180)/Q180</f>
        <v>2.5307266884971134E-5</v>
      </c>
      <c r="AB180" s="26"/>
      <c r="AC180" s="24">
        <f>U180</f>
        <v>48.853611111111114</v>
      </c>
      <c r="AD180" s="14">
        <f>Z180</f>
        <v>2.3572222222222221</v>
      </c>
    </row>
    <row r="181" spans="1:30" s="14" customFormat="1">
      <c r="A181" s="12">
        <v>21</v>
      </c>
      <c r="B181" s="12" t="s">
        <v>74</v>
      </c>
      <c r="C181" s="14" t="str">
        <f>VLOOKUP(B181,weights!A:B,2,FALSE)</f>
        <v>M</v>
      </c>
      <c r="D181" s="13">
        <v>179</v>
      </c>
      <c r="E181" s="14" t="s">
        <v>283</v>
      </c>
      <c r="F181" s="14" t="s">
        <v>284</v>
      </c>
      <c r="G181" s="15"/>
      <c r="H181" s="18"/>
      <c r="I181" s="18"/>
      <c r="J181" s="14">
        <v>180</v>
      </c>
      <c r="K181" s="14">
        <f>VLOOKUP(B181,weights!A:G,5,FALSE)</f>
        <v>1.42</v>
      </c>
      <c r="L181" s="14">
        <f>VLOOKUP(B181,weights!A:G,6,FALSE)</f>
        <v>7</v>
      </c>
      <c r="M181" s="14">
        <f>VLOOKUP(B181,weights!A:G,7,FALSE)</f>
        <v>10</v>
      </c>
      <c r="N181" t="s">
        <v>5748</v>
      </c>
      <c r="O181">
        <v>884</v>
      </c>
      <c r="P181">
        <v>48.851237607100003</v>
      </c>
      <c r="Q181">
        <v>2.3619852263899999</v>
      </c>
      <c r="R181" s="22">
        <v>48</v>
      </c>
      <c r="S181" s="22">
        <v>51</v>
      </c>
      <c r="T181" s="22">
        <v>4</v>
      </c>
      <c r="U181" s="24">
        <f>R181+S181/60+T181/3600</f>
        <v>48.851111111111109</v>
      </c>
      <c r="V181" s="28">
        <f>ABS(U181-P181)/P181</f>
        <v>2.5894121641631383E-6</v>
      </c>
      <c r="W181" s="22">
        <v>2</v>
      </c>
      <c r="X181" s="22">
        <v>21</v>
      </c>
      <c r="Y181" s="22">
        <v>45</v>
      </c>
      <c r="Z181" s="14">
        <f>W181+X181/60+Y181/3600</f>
        <v>2.3625000000000003</v>
      </c>
      <c r="AA181" s="26">
        <f>ABS(Z181-Q181)/Q181</f>
        <v>2.1794107949911896E-4</v>
      </c>
      <c r="AB181" s="26"/>
      <c r="AC181" s="24">
        <f>U181</f>
        <v>48.851111111111109</v>
      </c>
      <c r="AD181" s="14">
        <f>Z181</f>
        <v>2.3625000000000003</v>
      </c>
    </row>
    <row r="182" spans="1:30" s="14" customFormat="1">
      <c r="A182" s="12">
        <v>22</v>
      </c>
      <c r="B182" s="12" t="s">
        <v>74</v>
      </c>
      <c r="C182" s="14" t="str">
        <f>VLOOKUP(B182,weights!A:B,2,FALSE)</f>
        <v>M</v>
      </c>
      <c r="D182" s="13">
        <v>180</v>
      </c>
      <c r="E182" s="14" t="s">
        <v>285</v>
      </c>
      <c r="F182" s="14" t="s">
        <v>286</v>
      </c>
      <c r="G182" s="15" t="s">
        <v>195</v>
      </c>
      <c r="H182" s="18" t="s">
        <v>1684</v>
      </c>
      <c r="I182" s="18"/>
      <c r="J182" s="14">
        <v>181</v>
      </c>
      <c r="K182" s="14">
        <f>VLOOKUP(B182,weights!A:G,5,FALSE)</f>
        <v>1.42</v>
      </c>
      <c r="L182" s="14">
        <f>VLOOKUP(B182,weights!A:G,6,FALSE)</f>
        <v>7</v>
      </c>
      <c r="M182" s="14">
        <f>VLOOKUP(B182,weights!A:G,7,FALSE)</f>
        <v>10</v>
      </c>
      <c r="N182" t="s">
        <v>4337</v>
      </c>
      <c r="O182">
        <v>218</v>
      </c>
      <c r="P182">
        <v>48.8461511231</v>
      </c>
      <c r="Q182">
        <v>2.3549179837000001</v>
      </c>
      <c r="R182" s="22">
        <v>48</v>
      </c>
      <c r="S182" s="22">
        <v>50</v>
      </c>
      <c r="T182" s="22">
        <v>45</v>
      </c>
      <c r="U182" s="24">
        <f>R182+S182/60+T182/3600</f>
        <v>48.845833333333339</v>
      </c>
      <c r="V182" s="28">
        <f>ABS(U182-P182)/P182</f>
        <v>6.5059325935602697E-6</v>
      </c>
      <c r="W182" s="22">
        <v>2</v>
      </c>
      <c r="X182" s="22">
        <v>21</v>
      </c>
      <c r="Y182" s="22">
        <v>17</v>
      </c>
      <c r="Z182" s="14">
        <f>W182+X182/60+Y182/3600</f>
        <v>2.3547222222222222</v>
      </c>
      <c r="AA182" s="26">
        <f>ABS(Z182-Q182)/Q182</f>
        <v>8.3128787980256031E-5</v>
      </c>
      <c r="AB182" s="26"/>
      <c r="AC182" s="24">
        <f>U182</f>
        <v>48.845833333333339</v>
      </c>
      <c r="AD182" s="14">
        <f>Z182</f>
        <v>2.3547222222222222</v>
      </c>
    </row>
    <row r="183" spans="1:30" s="14" customFormat="1">
      <c r="A183" s="12">
        <v>23</v>
      </c>
      <c r="B183" s="12" t="s">
        <v>74</v>
      </c>
      <c r="C183" s="14" t="str">
        <f>VLOOKUP(B183,weights!A:B,2,FALSE)</f>
        <v>M</v>
      </c>
      <c r="D183" s="13">
        <v>181</v>
      </c>
      <c r="E183" s="14" t="s">
        <v>319</v>
      </c>
      <c r="F183" s="14" t="s">
        <v>287</v>
      </c>
      <c r="G183" s="15"/>
      <c r="H183" s="18"/>
      <c r="I183" s="18"/>
      <c r="J183" s="14">
        <v>182</v>
      </c>
      <c r="K183" s="14">
        <f>VLOOKUP(B183,weights!A:G,5,FALSE)</f>
        <v>1.42</v>
      </c>
      <c r="L183" s="14">
        <f>VLOOKUP(B183,weights!A:G,6,FALSE)</f>
        <v>7</v>
      </c>
      <c r="M183" s="14">
        <f>VLOOKUP(B183,weights!A:G,7,FALSE)</f>
        <v>10</v>
      </c>
      <c r="N183" t="s">
        <v>5188</v>
      </c>
      <c r="O183">
        <v>240</v>
      </c>
      <c r="P183">
        <v>48.8309953013</v>
      </c>
      <c r="Q183">
        <v>2.3558348979699999</v>
      </c>
      <c r="R183" s="22">
        <v>48</v>
      </c>
      <c r="S183" s="22">
        <v>50</v>
      </c>
      <c r="T183" s="22">
        <v>36</v>
      </c>
      <c r="U183" s="24">
        <f>R183+S183/60+T183/3600</f>
        <v>48.843333333333334</v>
      </c>
      <c r="V183" s="28">
        <f>ABS(U183-P183)/P183</f>
        <v>2.5266804326238006E-4</v>
      </c>
      <c r="W183" s="22">
        <v>2</v>
      </c>
      <c r="X183" s="22">
        <v>21</v>
      </c>
      <c r="Y183" s="22">
        <v>9</v>
      </c>
      <c r="Z183" s="14">
        <f>W183+X183/60+Y183/3600</f>
        <v>2.3525</v>
      </c>
      <c r="AA183" s="26">
        <f>ABS(Z183-Q183)/Q183</f>
        <v>1.415590699022886E-3</v>
      </c>
      <c r="AB183" s="26"/>
      <c r="AC183" s="24">
        <f>U183</f>
        <v>48.843333333333334</v>
      </c>
      <c r="AD183" s="14">
        <f>Z183</f>
        <v>2.3525</v>
      </c>
    </row>
    <row r="184" spans="1:30" s="14" customFormat="1">
      <c r="A184" s="12">
        <v>24</v>
      </c>
      <c r="B184" s="12" t="s">
        <v>74</v>
      </c>
      <c r="C184" s="14" t="str">
        <f>VLOOKUP(B184,weights!A:B,2,FALSE)</f>
        <v>M</v>
      </c>
      <c r="D184" s="13">
        <v>182</v>
      </c>
      <c r="E184" s="14" t="s">
        <v>288</v>
      </c>
      <c r="F184" s="14" t="s">
        <v>289</v>
      </c>
      <c r="G184" s="15"/>
      <c r="H184" s="18"/>
      <c r="I184" s="18"/>
      <c r="J184" s="14">
        <v>183</v>
      </c>
      <c r="K184" s="14">
        <f>VLOOKUP(B184,weights!A:G,5,FALSE)</f>
        <v>1.42</v>
      </c>
      <c r="L184" s="14">
        <f>VLOOKUP(B184,weights!A:G,6,FALSE)</f>
        <v>7</v>
      </c>
      <c r="M184" s="14">
        <f>VLOOKUP(B184,weights!A:G,7,FALSE)</f>
        <v>10</v>
      </c>
      <c r="N184" t="s">
        <v>3519</v>
      </c>
      <c r="O184">
        <v>248</v>
      </c>
      <c r="P184">
        <v>48.840486652599999</v>
      </c>
      <c r="Q184">
        <v>2.3517394871700001</v>
      </c>
      <c r="R184" s="22">
        <v>48</v>
      </c>
      <c r="S184" s="22">
        <v>50</v>
      </c>
      <c r="T184" s="22">
        <v>26</v>
      </c>
      <c r="U184" s="24">
        <f>R184+S184/60+T184/3600</f>
        <v>48.840555555555561</v>
      </c>
      <c r="V184" s="28">
        <f>ABS(U184-P184)/P184</f>
        <v>1.4107753686345305E-6</v>
      </c>
      <c r="W184" s="22">
        <v>2</v>
      </c>
      <c r="X184" s="22">
        <v>21</v>
      </c>
      <c r="Y184" s="22">
        <v>6</v>
      </c>
      <c r="Z184" s="14">
        <f>W184+X184/60+Y184/3600</f>
        <v>2.3516666666666666</v>
      </c>
      <c r="AA184" s="26">
        <f>ABS(Z184-Q184)/Q184</f>
        <v>3.0964528057144673E-5</v>
      </c>
      <c r="AB184" s="26"/>
      <c r="AC184" s="24">
        <f>U184</f>
        <v>48.840555555555561</v>
      </c>
      <c r="AD184" s="14">
        <f>Z184</f>
        <v>2.3516666666666666</v>
      </c>
    </row>
    <row r="185" spans="1:30" s="14" customFormat="1">
      <c r="A185" s="12">
        <v>25</v>
      </c>
      <c r="B185" s="12" t="s">
        <v>74</v>
      </c>
      <c r="C185" s="14" t="str">
        <f>VLOOKUP(B185,weights!A:B,2,FALSE)</f>
        <v>M</v>
      </c>
      <c r="D185" s="13">
        <v>183</v>
      </c>
      <c r="E185" s="14" t="s">
        <v>290</v>
      </c>
      <c r="F185" s="14" t="s">
        <v>291</v>
      </c>
      <c r="G185" s="15"/>
      <c r="H185" s="18"/>
      <c r="I185" s="18"/>
      <c r="J185" s="14">
        <v>184</v>
      </c>
      <c r="K185" s="14">
        <f>VLOOKUP(B185,weights!A:G,5,FALSE)</f>
        <v>1.42</v>
      </c>
      <c r="L185" s="14">
        <f>VLOOKUP(B185,weights!A:G,6,FALSE)</f>
        <v>7</v>
      </c>
      <c r="M185" s="14">
        <f>VLOOKUP(B185,weights!A:G,7,FALSE)</f>
        <v>10</v>
      </c>
      <c r="N185" t="s">
        <v>4575</v>
      </c>
      <c r="O185">
        <v>372</v>
      </c>
      <c r="P185">
        <v>48.835863487799998</v>
      </c>
      <c r="Q185">
        <v>2.3525889228699999</v>
      </c>
      <c r="R185" s="22">
        <v>48</v>
      </c>
      <c r="S185" s="22">
        <v>50</v>
      </c>
      <c r="T185" s="22">
        <v>12</v>
      </c>
      <c r="U185" s="24">
        <f>R185+S185/60+T185/3600</f>
        <v>48.836666666666666</v>
      </c>
      <c r="V185" s="28">
        <f>ABS(U185-P185)/P185</f>
        <v>1.6446496679005624E-5</v>
      </c>
      <c r="W185" s="22">
        <v>2</v>
      </c>
      <c r="X185" s="22">
        <v>21</v>
      </c>
      <c r="Y185" s="22">
        <v>7</v>
      </c>
      <c r="Z185" s="14">
        <f>W185+X185/60+Y185/3600</f>
        <v>2.3519444444444444</v>
      </c>
      <c r="AA185" s="26">
        <f>ABS(Z185-Q185)/Q185</f>
        <v>2.7394434246050237E-4</v>
      </c>
      <c r="AB185" s="26"/>
      <c r="AC185" s="24">
        <f>U185</f>
        <v>48.836666666666666</v>
      </c>
      <c r="AD185" s="14">
        <f>Z185</f>
        <v>2.3519444444444444</v>
      </c>
    </row>
    <row r="186" spans="1:30" s="14" customFormat="1">
      <c r="A186" s="12">
        <v>26</v>
      </c>
      <c r="B186" s="12" t="s">
        <v>74</v>
      </c>
      <c r="C186" s="14" t="str">
        <f>VLOOKUP(B186,weights!A:B,2,FALSE)</f>
        <v>M</v>
      </c>
      <c r="D186" s="13">
        <v>184</v>
      </c>
      <c r="E186" s="14" t="s">
        <v>212</v>
      </c>
      <c r="F186" s="14" t="s">
        <v>292</v>
      </c>
      <c r="G186" s="15" t="s">
        <v>316</v>
      </c>
      <c r="H186" s="18" t="s">
        <v>1685</v>
      </c>
      <c r="I186" s="18"/>
      <c r="J186" s="14">
        <v>185</v>
      </c>
      <c r="K186" s="14">
        <f>VLOOKUP(B186,weights!A:G,5,FALSE)</f>
        <v>1.42</v>
      </c>
      <c r="L186" s="14">
        <f>VLOOKUP(B186,weights!A:G,6,FALSE)</f>
        <v>7</v>
      </c>
      <c r="M186" s="14">
        <f>VLOOKUP(B186,weights!A:G,7,FALSE)</f>
        <v>10</v>
      </c>
      <c r="N186" t="s">
        <v>5171</v>
      </c>
      <c r="O186">
        <v>150</v>
      </c>
      <c r="P186">
        <v>48.815930762999997</v>
      </c>
      <c r="Q186">
        <v>2.3772672001499999</v>
      </c>
      <c r="R186" s="22">
        <v>48</v>
      </c>
      <c r="S186" s="22">
        <v>49</v>
      </c>
      <c r="T186" s="22">
        <v>53</v>
      </c>
      <c r="U186" s="24">
        <f>R186+S186/60+T186/3600</f>
        <v>48.831388888888895</v>
      </c>
      <c r="V186" s="28">
        <f>ABS(U186-P186)/P186</f>
        <v>3.1666150060616366E-4</v>
      </c>
      <c r="W186" s="22">
        <v>2</v>
      </c>
      <c r="X186" s="22">
        <v>21</v>
      </c>
      <c r="Y186" s="22">
        <v>21</v>
      </c>
      <c r="Z186" s="14">
        <f>W186+X186/60+Y186/3600</f>
        <v>2.3558333333333334</v>
      </c>
      <c r="AA186" s="26">
        <f>ABS(Z186-Q186)/Q186</f>
        <v>9.0161790880360672E-3</v>
      </c>
      <c r="AB186" s="26"/>
      <c r="AC186" s="24">
        <f>U186</f>
        <v>48.831388888888895</v>
      </c>
      <c r="AD186" s="14">
        <f>Z186</f>
        <v>2.3558333333333334</v>
      </c>
    </row>
    <row r="187" spans="1:30" s="14" customFormat="1">
      <c r="A187" s="12">
        <v>27</v>
      </c>
      <c r="B187" s="12" t="s">
        <v>74</v>
      </c>
      <c r="C187" s="14" t="str">
        <f>VLOOKUP(B187,weights!A:B,2,FALSE)</f>
        <v>M</v>
      </c>
      <c r="D187" s="13">
        <v>185</v>
      </c>
      <c r="E187" s="14" t="s">
        <v>293</v>
      </c>
      <c r="F187" s="14" t="s">
        <v>294</v>
      </c>
      <c r="G187" s="15"/>
      <c r="H187" s="18"/>
      <c r="I187" s="18"/>
      <c r="J187" s="14">
        <v>186</v>
      </c>
      <c r="K187" s="14">
        <f>VLOOKUP(B187,weights!A:G,5,FALSE)</f>
        <v>1.42</v>
      </c>
      <c r="L187" s="14">
        <f>VLOOKUP(B187,weights!A:G,6,FALSE)</f>
        <v>7</v>
      </c>
      <c r="M187" s="14">
        <f>VLOOKUP(B187,weights!A:G,7,FALSE)</f>
        <v>10</v>
      </c>
      <c r="N187" t="s">
        <v>5799</v>
      </c>
      <c r="O187">
        <v>65</v>
      </c>
      <c r="P187">
        <v>48.826426010900001</v>
      </c>
      <c r="Q187">
        <v>2.3572456507599999</v>
      </c>
      <c r="R187" s="22">
        <v>48</v>
      </c>
      <c r="S187" s="22">
        <v>49</v>
      </c>
      <c r="T187" s="22">
        <v>34</v>
      </c>
      <c r="U187" s="24">
        <f>R187+S187/60+T187/3600</f>
        <v>48.826111111111118</v>
      </c>
      <c r="V187" s="28">
        <f>ABS(U187-P187)/P187</f>
        <v>6.44937208413708E-6</v>
      </c>
      <c r="W187" s="22">
        <v>2</v>
      </c>
      <c r="X187" s="22">
        <v>21</v>
      </c>
      <c r="Y187" s="22">
        <v>25</v>
      </c>
      <c r="Z187" s="14">
        <f>W187+X187/60+Y187/3600</f>
        <v>2.3569444444444447</v>
      </c>
      <c r="AA187" s="26">
        <f>ABS(Z187-Q187)/Q187</f>
        <v>1.2777892514430111E-4</v>
      </c>
      <c r="AB187" s="26"/>
      <c r="AC187" s="24">
        <f>U187</f>
        <v>48.826111111111118</v>
      </c>
      <c r="AD187" s="14">
        <f>Z187</f>
        <v>2.3569444444444447</v>
      </c>
    </row>
    <row r="188" spans="1:30" s="14" customFormat="1">
      <c r="A188" s="12">
        <v>28</v>
      </c>
      <c r="B188" s="12" t="s">
        <v>74</v>
      </c>
      <c r="C188" s="14" t="str">
        <f>VLOOKUP(B188,weights!A:B,2,FALSE)</f>
        <v>M</v>
      </c>
      <c r="D188" s="13">
        <v>186</v>
      </c>
      <c r="E188" s="14" t="s">
        <v>295</v>
      </c>
      <c r="F188" s="14" t="s">
        <v>296</v>
      </c>
      <c r="G188" s="15"/>
      <c r="H188" s="18"/>
      <c r="I188" s="18"/>
      <c r="J188" s="14">
        <v>187.191</v>
      </c>
      <c r="K188" s="14">
        <f>VLOOKUP(B188,weights!A:G,5,FALSE)</f>
        <v>1.42</v>
      </c>
      <c r="L188" s="14">
        <f>VLOOKUP(B188,weights!A:G,6,FALSE)</f>
        <v>7</v>
      </c>
      <c r="M188" s="14">
        <f>VLOOKUP(B188,weights!A:G,7,FALSE)</f>
        <v>10</v>
      </c>
      <c r="N188" t="s">
        <v>4733</v>
      </c>
      <c r="O188">
        <v>249</v>
      </c>
      <c r="P188">
        <v>48.822437831899997</v>
      </c>
      <c r="Q188">
        <v>2.3584738838899999</v>
      </c>
      <c r="R188" s="22">
        <v>48</v>
      </c>
      <c r="S188" s="22">
        <v>49</v>
      </c>
      <c r="T188" s="22">
        <v>20</v>
      </c>
      <c r="U188" s="24">
        <f>R188+S188/60+T188/3600</f>
        <v>48.822222222222223</v>
      </c>
      <c r="V188" s="28">
        <f>ABS(U188-P188)/P188</f>
        <v>4.4162005698335135E-6</v>
      </c>
      <c r="W188" s="22">
        <v>2</v>
      </c>
      <c r="X188" s="22">
        <v>21</v>
      </c>
      <c r="Y188" s="22">
        <v>31</v>
      </c>
      <c r="Z188" s="14">
        <f>W188+X188/60+Y188/3600</f>
        <v>2.3586111111111112</v>
      </c>
      <c r="AA188" s="26">
        <f>ABS(Z188-Q188)/Q188</f>
        <v>5.8184753305376774E-5</v>
      </c>
      <c r="AB188" s="26"/>
      <c r="AC188" s="24">
        <f>U188</f>
        <v>48.822222222222223</v>
      </c>
      <c r="AD188" s="14">
        <f>Z188</f>
        <v>2.3586111111111112</v>
      </c>
    </row>
    <row r="189" spans="1:30" s="14" customFormat="1">
      <c r="A189" s="12">
        <v>29</v>
      </c>
      <c r="B189" s="12" t="s">
        <v>74</v>
      </c>
      <c r="C189" s="14" t="str">
        <f>VLOOKUP(B189,weights!A:B,2,FALSE)</f>
        <v>M</v>
      </c>
      <c r="D189" s="13">
        <v>187</v>
      </c>
      <c r="E189" s="14" t="s">
        <v>297</v>
      </c>
      <c r="F189" s="14" t="s">
        <v>298</v>
      </c>
      <c r="G189" s="15"/>
      <c r="H189" s="18"/>
      <c r="I189" s="18"/>
      <c r="J189" s="14">
        <v>188</v>
      </c>
      <c r="K189" s="14">
        <f>VLOOKUP(B189,weights!A:G,5,FALSE)</f>
        <v>1.42</v>
      </c>
      <c r="L189" s="14">
        <f>VLOOKUP(B189,weights!A:G,6,FALSE)</f>
        <v>7</v>
      </c>
      <c r="M189" s="14">
        <f>VLOOKUP(B189,weights!A:G,7,FALSE)</f>
        <v>10</v>
      </c>
      <c r="N189" t="s">
        <v>4494</v>
      </c>
      <c r="O189">
        <v>374</v>
      </c>
      <c r="P189">
        <v>48.810129957299999</v>
      </c>
      <c r="Q189">
        <v>2.3622633871300001</v>
      </c>
      <c r="R189" s="22">
        <v>48</v>
      </c>
      <c r="S189" s="22">
        <v>48</v>
      </c>
      <c r="T189" s="22">
        <v>37</v>
      </c>
      <c r="U189" s="24">
        <f>R189+S189/60+T189/3600</f>
        <v>48.810277777777777</v>
      </c>
      <c r="V189" s="28">
        <f>ABS(U189-P189)/P189</f>
        <v>3.0284794961127575E-6</v>
      </c>
      <c r="W189" s="22">
        <v>2</v>
      </c>
      <c r="X189" s="22">
        <v>21</v>
      </c>
      <c r="Y189" s="22">
        <v>43</v>
      </c>
      <c r="Z189" s="14">
        <f>W189+X189/60+Y189/3600</f>
        <v>2.3619444444444446</v>
      </c>
      <c r="AA189" s="26">
        <f>ABS(Z189-Q189)/Q189</f>
        <v>1.3501571725366729E-4</v>
      </c>
      <c r="AB189" s="26"/>
      <c r="AC189" s="24">
        <f>U189</f>
        <v>48.810277777777777</v>
      </c>
      <c r="AD189" s="14">
        <f>Z189</f>
        <v>2.3619444444444446</v>
      </c>
    </row>
    <row r="190" spans="1:30" s="14" customFormat="1">
      <c r="A190" s="12">
        <v>30</v>
      </c>
      <c r="B190" s="12" t="s">
        <v>74</v>
      </c>
      <c r="C190" s="14" t="str">
        <f>VLOOKUP(B190,weights!A:B,2,FALSE)</f>
        <v>M</v>
      </c>
      <c r="D190" s="13">
        <v>188</v>
      </c>
      <c r="E190" s="14" t="s">
        <v>299</v>
      </c>
      <c r="F190" s="14" t="s">
        <v>300</v>
      </c>
      <c r="G190" s="15"/>
      <c r="H190" s="18"/>
      <c r="I190" s="18"/>
      <c r="J190" s="14">
        <v>189</v>
      </c>
      <c r="K190" s="14">
        <f>VLOOKUP(B190,weights!A:G,5,FALSE)</f>
        <v>1.42</v>
      </c>
      <c r="L190" s="14">
        <f>VLOOKUP(B190,weights!A:G,6,FALSE)</f>
        <v>7</v>
      </c>
      <c r="M190" s="14">
        <f>VLOOKUP(B190,weights!A:G,7,FALSE)</f>
        <v>10</v>
      </c>
      <c r="N190" t="s">
        <v>5924</v>
      </c>
      <c r="O190">
        <v>885</v>
      </c>
      <c r="P190">
        <v>48.804688120900003</v>
      </c>
      <c r="Q190">
        <v>2.3639531965999998</v>
      </c>
      <c r="R190" s="22">
        <v>48</v>
      </c>
      <c r="S190" s="22">
        <v>48</v>
      </c>
      <c r="T190" s="22">
        <v>17</v>
      </c>
      <c r="U190" s="24">
        <f>R190+S190/60+T190/3600</f>
        <v>48.804722222222217</v>
      </c>
      <c r="V190" s="28">
        <f>ABS(U190-P190)/P190</f>
        <v>6.9873046067962391E-7</v>
      </c>
      <c r="W190" s="22">
        <v>2</v>
      </c>
      <c r="X190" s="22">
        <v>21</v>
      </c>
      <c r="Y190" s="22">
        <v>49</v>
      </c>
      <c r="Z190" s="14">
        <f>W190+X190/60+Y190/3600</f>
        <v>2.3636111111111111</v>
      </c>
      <c r="AA190" s="26">
        <f>ABS(Z190-Q190)/Q190</f>
        <v>1.4470907858104388E-4</v>
      </c>
      <c r="AB190" s="26"/>
      <c r="AC190" s="24">
        <f>U190</f>
        <v>48.804722222222217</v>
      </c>
      <c r="AD190" s="14">
        <f>Z190</f>
        <v>2.3636111111111111</v>
      </c>
    </row>
    <row r="191" spans="1:30" s="14" customFormat="1">
      <c r="A191" s="12">
        <v>31</v>
      </c>
      <c r="B191" s="12" t="s">
        <v>74</v>
      </c>
      <c r="C191" s="14" t="str">
        <f>VLOOKUP(B191,weights!A:B,2,FALSE)</f>
        <v>M</v>
      </c>
      <c r="D191" s="13">
        <v>189</v>
      </c>
      <c r="E191" s="14" t="s">
        <v>320</v>
      </c>
      <c r="F191" s="14" t="s">
        <v>301</v>
      </c>
      <c r="G191" s="15"/>
      <c r="H191" s="18"/>
      <c r="I191" s="18"/>
      <c r="J191" s="14">
        <v>190</v>
      </c>
      <c r="K191" s="14">
        <f>VLOOKUP(B191,weights!A:G,5,FALSE)</f>
        <v>1.42</v>
      </c>
      <c r="L191" s="14">
        <f>VLOOKUP(B191,weights!A:G,6,FALSE)</f>
        <v>7</v>
      </c>
      <c r="M191" s="14">
        <f>VLOOKUP(B191,weights!A:G,7,FALSE)</f>
        <v>10</v>
      </c>
      <c r="N191" t="s">
        <v>5931</v>
      </c>
      <c r="O191">
        <v>151</v>
      </c>
      <c r="P191">
        <v>48.796483084599998</v>
      </c>
      <c r="Q191">
        <v>2.36826954005</v>
      </c>
      <c r="R191" s="22">
        <v>48</v>
      </c>
      <c r="S191" s="22">
        <v>47</v>
      </c>
      <c r="T191" s="22">
        <v>47</v>
      </c>
      <c r="U191" s="24">
        <f>R191+S191/60+T191/3600</f>
        <v>48.796388888888885</v>
      </c>
      <c r="V191" s="28">
        <f>ABS(U191-P191)/P191</f>
        <v>1.9303791002824535E-6</v>
      </c>
      <c r="W191" s="22">
        <v>2</v>
      </c>
      <c r="X191" s="22">
        <v>22</v>
      </c>
      <c r="Y191" s="22">
        <v>5</v>
      </c>
      <c r="Z191" s="14">
        <f>W191+X191/60+Y191/3600</f>
        <v>2.3680555555555558</v>
      </c>
      <c r="AA191" s="26">
        <f>ABS(Z191-Q191)/Q191</f>
        <v>9.0354788939982933E-5</v>
      </c>
      <c r="AB191" s="26"/>
      <c r="AC191" s="24">
        <f>U191</f>
        <v>48.796388888888885</v>
      </c>
      <c r="AD191" s="14">
        <f>Z191</f>
        <v>2.3680555555555558</v>
      </c>
    </row>
    <row r="192" spans="1:30" s="14" customFormat="1">
      <c r="A192" s="12">
        <v>32</v>
      </c>
      <c r="B192" s="12" t="s">
        <v>74</v>
      </c>
      <c r="C192" s="14" t="str">
        <f>VLOOKUP(B192,weights!A:B,2,FALSE)</f>
        <v>M</v>
      </c>
      <c r="D192" s="13">
        <v>190</v>
      </c>
      <c r="E192" s="14" t="s">
        <v>302</v>
      </c>
      <c r="F192" s="14" t="s">
        <v>303</v>
      </c>
      <c r="G192" s="15" t="s">
        <v>317</v>
      </c>
      <c r="H192" s="18"/>
      <c r="I192" s="18" t="s">
        <v>1686</v>
      </c>
      <c r="K192" s="14">
        <f>VLOOKUP(B192,weights!A:G,5,FALSE)</f>
        <v>1.42</v>
      </c>
      <c r="L192" s="14">
        <f>VLOOKUP(B192,weights!A:G,6,FALSE)</f>
        <v>7</v>
      </c>
      <c r="M192" s="14">
        <f>VLOOKUP(B192,weights!A:G,7,FALSE)</f>
        <v>10</v>
      </c>
      <c r="N192" t="s">
        <v>5927</v>
      </c>
      <c r="O192">
        <v>823</v>
      </c>
      <c r="P192">
        <v>48.787562792099997</v>
      </c>
      <c r="Q192">
        <v>2.36780410698</v>
      </c>
      <c r="R192" s="22">
        <v>48</v>
      </c>
      <c r="S192" s="22">
        <v>47</v>
      </c>
      <c r="T192" s="22">
        <v>13</v>
      </c>
      <c r="U192" s="24">
        <f>R192+S192/60+T192/3600</f>
        <v>48.786944444444444</v>
      </c>
      <c r="V192" s="28">
        <f>ABS(U192-P192)/P192</f>
        <v>1.2674288695019438E-5</v>
      </c>
      <c r="W192" s="22">
        <v>2</v>
      </c>
      <c r="X192" s="22">
        <v>22</v>
      </c>
      <c r="Y192" s="22">
        <v>2</v>
      </c>
      <c r="Z192" s="14">
        <f>W192+X192/60+Y192/3600</f>
        <v>2.3672222222222223</v>
      </c>
      <c r="AA192" s="26">
        <f>ABS(Z192-Q192)/Q192</f>
        <v>2.4574869013121694E-4</v>
      </c>
      <c r="AB192" s="26"/>
      <c r="AC192" s="24">
        <f>U192</f>
        <v>48.786944444444444</v>
      </c>
      <c r="AD192" s="14">
        <f>Z192</f>
        <v>2.3672222222222223</v>
      </c>
    </row>
    <row r="193" spans="1:30" s="14" customFormat="1">
      <c r="A193" s="12">
        <v>33</v>
      </c>
      <c r="B193" s="12" t="s">
        <v>74</v>
      </c>
      <c r="C193" s="14" t="str">
        <f>VLOOKUP(B193,weights!A:B,2,FALSE)</f>
        <v>M</v>
      </c>
      <c r="D193" s="13">
        <v>191</v>
      </c>
      <c r="E193" s="14" t="s">
        <v>304</v>
      </c>
      <c r="F193" s="14" t="s">
        <v>305</v>
      </c>
      <c r="G193" s="15" t="s">
        <v>198</v>
      </c>
      <c r="H193" s="18"/>
      <c r="I193" s="18" t="s">
        <v>1687</v>
      </c>
      <c r="J193" s="14">
        <v>192</v>
      </c>
      <c r="K193" s="14">
        <f>VLOOKUP(B193,weights!A:G,5,FALSE)</f>
        <v>1.42</v>
      </c>
      <c r="L193" s="14">
        <f>VLOOKUP(B193,weights!A:G,6,FALSE)</f>
        <v>7</v>
      </c>
      <c r="M193" s="14">
        <f>VLOOKUP(B193,weights!A:G,7,FALSE)</f>
        <v>10</v>
      </c>
      <c r="N193" t="s">
        <v>5286</v>
      </c>
      <c r="O193">
        <v>482</v>
      </c>
      <c r="P193">
        <v>48.8190515147</v>
      </c>
      <c r="Q193">
        <v>2.3601297420199998</v>
      </c>
      <c r="R193" s="22">
        <v>48</v>
      </c>
      <c r="S193" s="22">
        <v>49</v>
      </c>
      <c r="T193" s="22">
        <v>9</v>
      </c>
      <c r="U193" s="24">
        <f>R193+S193/60+T193/3600</f>
        <v>48.819166666666668</v>
      </c>
      <c r="V193" s="28">
        <f>ABS(U193-P193)/P193</f>
        <v>2.3587505921352802E-6</v>
      </c>
      <c r="W193" s="22">
        <v>2</v>
      </c>
      <c r="X193" s="22">
        <v>21</v>
      </c>
      <c r="Y193" s="22">
        <v>34</v>
      </c>
      <c r="Z193" s="14">
        <f>W193+X193/60+Y193/3600</f>
        <v>2.3594444444444447</v>
      </c>
      <c r="AA193" s="26">
        <f>ABS(Z193-Q193)/Q193</f>
        <v>2.9036436571855444E-4</v>
      </c>
      <c r="AB193" s="26"/>
      <c r="AC193" s="24">
        <f>U193</f>
        <v>48.819166666666668</v>
      </c>
      <c r="AD193" s="14">
        <f>Z193</f>
        <v>2.3594444444444447</v>
      </c>
    </row>
    <row r="194" spans="1:30" s="14" customFormat="1">
      <c r="A194" s="12">
        <v>34</v>
      </c>
      <c r="B194" s="12" t="s">
        <v>74</v>
      </c>
      <c r="C194" s="14" t="str">
        <f>VLOOKUP(B194,weights!A:B,2,FALSE)</f>
        <v>M</v>
      </c>
      <c r="D194" s="13">
        <v>192</v>
      </c>
      <c r="E194" s="14" t="s">
        <v>306</v>
      </c>
      <c r="F194" s="14" t="s">
        <v>307</v>
      </c>
      <c r="G194" s="15" t="s">
        <v>198</v>
      </c>
      <c r="H194" s="18"/>
      <c r="I194" s="18" t="s">
        <v>1688</v>
      </c>
      <c r="J194" s="14">
        <v>193</v>
      </c>
      <c r="K194" s="14">
        <f>VLOOKUP(B194,weights!A:G,5,FALSE)</f>
        <v>1.42</v>
      </c>
      <c r="L194" s="14">
        <f>VLOOKUP(B194,weights!A:G,6,FALSE)</f>
        <v>7</v>
      </c>
      <c r="M194" s="14">
        <f>VLOOKUP(B194,weights!A:G,7,FALSE)</f>
        <v>10</v>
      </c>
      <c r="N194" t="s">
        <v>5313</v>
      </c>
      <c r="O194">
        <v>821</v>
      </c>
      <c r="P194">
        <v>48.819761266699999</v>
      </c>
      <c r="Q194">
        <v>2.36401545947</v>
      </c>
      <c r="R194" s="22">
        <v>48</v>
      </c>
      <c r="S194" s="22">
        <v>49</v>
      </c>
      <c r="T194" s="22">
        <v>12</v>
      </c>
      <c r="U194" s="24">
        <f>R194+S194/60+T194/3600</f>
        <v>48.82</v>
      </c>
      <c r="V194" s="28">
        <f>ABS(U194-P194)/P194</f>
        <v>4.8900956048797866E-6</v>
      </c>
      <c r="W194" s="22">
        <v>2</v>
      </c>
      <c r="X194" s="22">
        <v>21</v>
      </c>
      <c r="Y194" s="22">
        <v>52</v>
      </c>
      <c r="Z194" s="14">
        <f>W194+X194/60+Y194/3600</f>
        <v>2.3644444444444446</v>
      </c>
      <c r="AA194" s="26">
        <f>ABS(Z194-Q194)/Q194</f>
        <v>1.8146453853593766E-4</v>
      </c>
      <c r="AB194" s="26"/>
      <c r="AC194" s="24">
        <f>U194</f>
        <v>48.82</v>
      </c>
      <c r="AD194" s="14">
        <f>Z194</f>
        <v>2.3644444444444446</v>
      </c>
    </row>
    <row r="195" spans="1:30" s="14" customFormat="1">
      <c r="A195" s="12">
        <v>35</v>
      </c>
      <c r="B195" s="12" t="s">
        <v>74</v>
      </c>
      <c r="C195" s="14" t="str">
        <f>VLOOKUP(B195,weights!A:B,2,FALSE)</f>
        <v>M</v>
      </c>
      <c r="D195" s="13">
        <v>193</v>
      </c>
      <c r="E195" s="14" t="s">
        <v>308</v>
      </c>
      <c r="F195" s="14" t="s">
        <v>309</v>
      </c>
      <c r="G195" s="15" t="s">
        <v>198</v>
      </c>
      <c r="H195" s="18"/>
      <c r="I195" s="18" t="s">
        <v>1689</v>
      </c>
      <c r="J195" s="14">
        <v>194</v>
      </c>
      <c r="K195" s="14">
        <f>VLOOKUP(B195,weights!A:G,5,FALSE)</f>
        <v>1.42</v>
      </c>
      <c r="L195" s="14">
        <f>VLOOKUP(B195,weights!A:G,6,FALSE)</f>
        <v>7</v>
      </c>
      <c r="M195" s="14">
        <f>VLOOKUP(B195,weights!A:G,7,FALSE)</f>
        <v>10</v>
      </c>
      <c r="N195" t="s">
        <v>5290</v>
      </c>
      <c r="O195">
        <v>822</v>
      </c>
      <c r="P195">
        <v>48.821355783800001</v>
      </c>
      <c r="Q195">
        <v>2.3692905873500001</v>
      </c>
      <c r="R195" s="22">
        <v>48</v>
      </c>
      <c r="S195" s="22">
        <v>49</v>
      </c>
      <c r="T195" s="22">
        <v>18</v>
      </c>
      <c r="U195" s="24">
        <f>R195+S195/60+T195/3600</f>
        <v>48.821666666666673</v>
      </c>
      <c r="V195" s="28">
        <f>ABS(U195-P195)/P195</f>
        <v>6.3677638951250477E-6</v>
      </c>
      <c r="W195" s="22">
        <v>2</v>
      </c>
      <c r="X195" s="22">
        <v>22</v>
      </c>
      <c r="Y195" s="22">
        <v>9</v>
      </c>
      <c r="Z195" s="14">
        <f>W195+X195/60+Y195/3600</f>
        <v>2.3691666666666666</v>
      </c>
      <c r="AA195" s="26">
        <f>ABS(Z195-Q195)/Q195</f>
        <v>5.2302863985986435E-5</v>
      </c>
      <c r="AB195" s="26"/>
      <c r="AC195" s="24">
        <f>U195</f>
        <v>48.821666666666673</v>
      </c>
      <c r="AD195" s="14">
        <f>Z195</f>
        <v>2.3691666666666666</v>
      </c>
    </row>
    <row r="196" spans="1:30" s="14" customFormat="1">
      <c r="A196" s="12">
        <v>36</v>
      </c>
      <c r="B196" s="12" t="s">
        <v>74</v>
      </c>
      <c r="C196" s="14" t="str">
        <f>VLOOKUP(B196,weights!A:B,2,FALSE)</f>
        <v>M</v>
      </c>
      <c r="D196" s="13">
        <v>194</v>
      </c>
      <c r="E196" s="14" t="s">
        <v>310</v>
      </c>
      <c r="F196" s="14" t="s">
        <v>311</v>
      </c>
      <c r="G196" s="15"/>
      <c r="H196" s="18"/>
      <c r="I196" s="18"/>
      <c r="J196" s="14">
        <v>195</v>
      </c>
      <c r="K196" s="14">
        <f>VLOOKUP(B196,weights!A:G,5,FALSE)</f>
        <v>1.42</v>
      </c>
      <c r="L196" s="14">
        <f>VLOOKUP(B196,weights!A:G,6,FALSE)</f>
        <v>7</v>
      </c>
      <c r="M196" s="14">
        <f>VLOOKUP(B196,weights!A:G,7,FALSE)</f>
        <v>10</v>
      </c>
      <c r="R196" s="22">
        <v>48</v>
      </c>
      <c r="S196" s="22">
        <v>48</v>
      </c>
      <c r="T196" s="22">
        <v>57</v>
      </c>
      <c r="U196" s="24">
        <f>R196+S196/60+T196/3600</f>
        <v>48.81583333333333</v>
      </c>
      <c r="V196" s="28" t="e">
        <f>ABS(U196-P196)/P196</f>
        <v>#DIV/0!</v>
      </c>
      <c r="W196" s="22">
        <v>2</v>
      </c>
      <c r="X196" s="22">
        <v>22</v>
      </c>
      <c r="Y196" s="22">
        <v>39</v>
      </c>
      <c r="Z196" s="14">
        <f>W196+X196/60+Y196/3600</f>
        <v>2.3774999999999999</v>
      </c>
      <c r="AA196" s="26" t="e">
        <f>ABS(Z196-Q196)/Q196</f>
        <v>#DIV/0!</v>
      </c>
      <c r="AB196" s="26"/>
      <c r="AC196" s="24">
        <f>U196</f>
        <v>48.81583333333333</v>
      </c>
      <c r="AD196" s="14">
        <f>Z196</f>
        <v>2.3774999999999999</v>
      </c>
    </row>
    <row r="197" spans="1:30" s="14" customFormat="1">
      <c r="A197" s="12">
        <v>37</v>
      </c>
      <c r="B197" s="12" t="s">
        <v>74</v>
      </c>
      <c r="C197" s="14" t="str">
        <f>VLOOKUP(B197,weights!A:B,2,FALSE)</f>
        <v>M</v>
      </c>
      <c r="D197" s="13">
        <v>195</v>
      </c>
      <c r="E197" s="14" t="s">
        <v>312</v>
      </c>
      <c r="F197" s="14" t="s">
        <v>313</v>
      </c>
      <c r="G197" s="15"/>
      <c r="H197" s="18"/>
      <c r="I197" s="18"/>
      <c r="K197" s="14">
        <f>VLOOKUP(B197,weights!A:G,5,FALSE)</f>
        <v>1.42</v>
      </c>
      <c r="L197" s="14">
        <f>VLOOKUP(B197,weights!A:G,6,FALSE)</f>
        <v>7</v>
      </c>
      <c r="M197" s="14">
        <f>VLOOKUP(B197,weights!A:G,7,FALSE)</f>
        <v>10</v>
      </c>
      <c r="N197" t="s">
        <v>4706</v>
      </c>
      <c r="O197">
        <v>373</v>
      </c>
      <c r="P197">
        <v>48.811099197700003</v>
      </c>
      <c r="Q197">
        <v>2.3835514796499999</v>
      </c>
      <c r="R197" s="22">
        <v>48</v>
      </c>
      <c r="S197" s="22">
        <v>48</v>
      </c>
      <c r="T197" s="22">
        <v>40</v>
      </c>
      <c r="U197" s="24">
        <f>R197+S197/60+T197/3600</f>
        <v>48.81111111111111</v>
      </c>
      <c r="V197" s="28">
        <f>ABS(U197-P197)/P197</f>
        <v>2.4407176448019371E-7</v>
      </c>
      <c r="W197" s="22">
        <v>2</v>
      </c>
      <c r="X197" s="22">
        <v>22</v>
      </c>
      <c r="Y197" s="22">
        <v>58</v>
      </c>
      <c r="Z197" s="14">
        <f>W197+X197/60+Y197/3600</f>
        <v>2.3827777777777777</v>
      </c>
      <c r="AA197" s="26">
        <f>ABS(Z197-Q197)/Q197</f>
        <v>3.246004455233602E-4</v>
      </c>
      <c r="AB197" s="26"/>
      <c r="AC197" s="24">
        <f>U197</f>
        <v>48.81111111111111</v>
      </c>
      <c r="AD197" s="14">
        <f>Z197</f>
        <v>2.3827777777777777</v>
      </c>
    </row>
    <row r="198" spans="1:30" s="14" customFormat="1">
      <c r="A198" s="12">
        <v>0</v>
      </c>
      <c r="B198" s="12" t="s">
        <v>344</v>
      </c>
      <c r="C198" s="14" t="str">
        <f>VLOOKUP(B198,weights!A:B,2,FALSE)</f>
        <v>M</v>
      </c>
      <c r="D198" s="13">
        <v>196</v>
      </c>
      <c r="E198" s="14" t="s">
        <v>264</v>
      </c>
      <c r="G198" s="14" t="s">
        <v>74</v>
      </c>
      <c r="H198" s="18" t="s">
        <v>1690</v>
      </c>
      <c r="I198" s="18"/>
      <c r="J198" s="14">
        <v>197</v>
      </c>
      <c r="K198" s="14">
        <f>VLOOKUP(B198,weights!A:G,5,FALSE)</f>
        <v>1.5</v>
      </c>
      <c r="L198" s="14">
        <f>VLOOKUP(B198,weights!A:G,6,FALSE)</f>
        <v>7</v>
      </c>
      <c r="M198" s="14">
        <f>VLOOKUP(B198,weights!A:G,7,FALSE)</f>
        <v>10</v>
      </c>
      <c r="N198" t="s">
        <v>4653</v>
      </c>
      <c r="O198">
        <v>371</v>
      </c>
      <c r="P198">
        <v>48.881584251</v>
      </c>
      <c r="Q198">
        <v>2.3659210371000001</v>
      </c>
      <c r="R198" s="22"/>
      <c r="S198" s="22"/>
      <c r="T198" s="22"/>
      <c r="U198" s="24">
        <f>R198+S198/60+T198/3600</f>
        <v>0</v>
      </c>
      <c r="V198" s="28">
        <f>ABS(U198-P198)/P198</f>
        <v>1</v>
      </c>
      <c r="W198" s="22"/>
      <c r="X198" s="22"/>
      <c r="Y198" s="22"/>
      <c r="Z198" s="14">
        <f>W198+X198/60+Y198/3600</f>
        <v>0</v>
      </c>
      <c r="AA198" s="26">
        <f>ABS(Z198-Q198)/Q198</f>
        <v>1</v>
      </c>
      <c r="AB198" s="26"/>
      <c r="AC198" s="14">
        <f>P198</f>
        <v>48.881584251</v>
      </c>
      <c r="AD198" s="14">
        <f>Q198</f>
        <v>2.3659210371000001</v>
      </c>
    </row>
    <row r="199" spans="1:30" s="14" customFormat="1">
      <c r="A199" s="12">
        <v>1</v>
      </c>
      <c r="B199" s="12" t="s">
        <v>344</v>
      </c>
      <c r="C199" s="14" t="str">
        <f>VLOOKUP(B199,weights!A:B,2,FALSE)</f>
        <v>M</v>
      </c>
      <c r="D199" s="13">
        <v>197</v>
      </c>
      <c r="E199" s="14" t="s">
        <v>98</v>
      </c>
      <c r="G199" s="14" t="s">
        <v>314</v>
      </c>
      <c r="H199" s="18" t="s">
        <v>1691</v>
      </c>
      <c r="I199" s="18"/>
      <c r="J199" s="14">
        <v>198</v>
      </c>
      <c r="K199" s="14">
        <f>VLOOKUP(B199,weights!A:G,5,FALSE)</f>
        <v>1.5</v>
      </c>
      <c r="L199" s="14">
        <f>VLOOKUP(B199,weights!A:G,6,FALSE)</f>
        <v>7</v>
      </c>
      <c r="M199" s="14">
        <f>VLOOKUP(B199,weights!A:G,7,FALSE)</f>
        <v>10</v>
      </c>
      <c r="N199" t="s">
        <v>4299</v>
      </c>
      <c r="O199">
        <v>354</v>
      </c>
      <c r="P199">
        <v>48.8827381328</v>
      </c>
      <c r="Q199">
        <v>2.3701223122799999</v>
      </c>
      <c r="R199" s="22"/>
      <c r="S199" s="22"/>
      <c r="T199" s="22"/>
      <c r="U199" s="24">
        <f>R199+S199/60+T199/3600</f>
        <v>0</v>
      </c>
      <c r="V199" s="28">
        <f>ABS(U199-P199)/P199</f>
        <v>1</v>
      </c>
      <c r="W199" s="22"/>
      <c r="X199" s="22"/>
      <c r="Y199" s="22"/>
      <c r="Z199" s="14">
        <f>W199+X199/60+Y199/3600</f>
        <v>0</v>
      </c>
      <c r="AA199" s="26">
        <f>ABS(Z199-Q199)/Q199</f>
        <v>1</v>
      </c>
      <c r="AB199" s="26"/>
      <c r="AC199" s="14">
        <f>P199</f>
        <v>48.8827381328</v>
      </c>
      <c r="AD199" s="14">
        <f>Q199</f>
        <v>2.3701223122799999</v>
      </c>
    </row>
    <row r="200" spans="1:30" s="14" customFormat="1">
      <c r="A200" s="12">
        <v>2</v>
      </c>
      <c r="B200" s="12" t="s">
        <v>344</v>
      </c>
      <c r="C200" s="14" t="str">
        <f>VLOOKUP(B200,weights!A:B,2,FALSE)</f>
        <v>M</v>
      </c>
      <c r="D200" s="13">
        <v>198</v>
      </c>
      <c r="E200" s="14" t="s">
        <v>338</v>
      </c>
      <c r="H200" s="18"/>
      <c r="I200" s="18"/>
      <c r="J200" s="14">
        <v>199</v>
      </c>
      <c r="K200" s="14">
        <f>VLOOKUP(B200,weights!A:G,5,FALSE)</f>
        <v>1.5</v>
      </c>
      <c r="L200" s="14">
        <f>VLOOKUP(B200,weights!A:G,6,FALSE)</f>
        <v>7</v>
      </c>
      <c r="M200" s="14">
        <f>VLOOKUP(B200,weights!A:G,7,FALSE)</f>
        <v>10</v>
      </c>
      <c r="N200" t="s">
        <v>3381</v>
      </c>
      <c r="O200">
        <v>353</v>
      </c>
      <c r="P200">
        <v>48.880821261400001</v>
      </c>
      <c r="Q200">
        <v>2.3741471538400001</v>
      </c>
      <c r="R200" s="22"/>
      <c r="S200" s="22"/>
      <c r="T200" s="22"/>
      <c r="U200" s="24">
        <f>R200+S200/60+T200/3600</f>
        <v>0</v>
      </c>
      <c r="V200" s="28">
        <f>ABS(U200-P200)/P200</f>
        <v>1</v>
      </c>
      <c r="W200" s="22"/>
      <c r="X200" s="22"/>
      <c r="Y200" s="22"/>
      <c r="Z200" s="14">
        <f>W200+X200/60+Y200/3600</f>
        <v>0</v>
      </c>
      <c r="AA200" s="26">
        <f>ABS(Z200-Q200)/Q200</f>
        <v>1</v>
      </c>
      <c r="AB200" s="26"/>
      <c r="AC200" s="14">
        <f>P200</f>
        <v>48.880821261400001</v>
      </c>
      <c r="AD200" s="14">
        <f>Q200</f>
        <v>2.3741471538400001</v>
      </c>
    </row>
    <row r="201" spans="1:30" s="14" customFormat="1">
      <c r="A201" s="12">
        <v>3</v>
      </c>
      <c r="B201" s="12" t="s">
        <v>344</v>
      </c>
      <c r="C201" s="14" t="str">
        <f>VLOOKUP(B201,weights!A:B,2,FALSE)</f>
        <v>M</v>
      </c>
      <c r="D201" s="13">
        <v>199</v>
      </c>
      <c r="E201" s="14" t="s">
        <v>339</v>
      </c>
      <c r="H201" s="18"/>
      <c r="I201" s="18"/>
      <c r="J201" s="14">
        <v>200</v>
      </c>
      <c r="K201" s="14">
        <f>VLOOKUP(B201,weights!A:G,5,FALSE)</f>
        <v>1.5</v>
      </c>
      <c r="L201" s="14">
        <f>VLOOKUP(B201,weights!A:G,6,FALSE)</f>
        <v>7</v>
      </c>
      <c r="M201" s="14">
        <f>VLOOKUP(B201,weights!A:G,7,FALSE)</f>
        <v>10</v>
      </c>
      <c r="N201" t="s">
        <v>3492</v>
      </c>
      <c r="O201">
        <v>50</v>
      </c>
      <c r="P201">
        <v>48.878514113999998</v>
      </c>
      <c r="Q201">
        <v>2.3816145132900002</v>
      </c>
      <c r="R201" s="22"/>
      <c r="S201" s="22"/>
      <c r="T201" s="22"/>
      <c r="U201" s="24">
        <f>R201+S201/60+T201/3600</f>
        <v>0</v>
      </c>
      <c r="V201" s="28">
        <f>ABS(U201-P201)/P201</f>
        <v>1</v>
      </c>
      <c r="W201" s="22"/>
      <c r="X201" s="22"/>
      <c r="Y201" s="22"/>
      <c r="Z201" s="14">
        <f>W201+X201/60+Y201/3600</f>
        <v>0</v>
      </c>
      <c r="AA201" s="26">
        <f>ABS(Z201-Q201)/Q201</f>
        <v>1</v>
      </c>
      <c r="AB201" s="26"/>
      <c r="AC201" s="14">
        <f>P201</f>
        <v>48.878514113999998</v>
      </c>
      <c r="AD201" s="14">
        <f>Q201</f>
        <v>2.3816145132900002</v>
      </c>
    </row>
    <row r="202" spans="1:30" s="14" customFormat="1">
      <c r="A202" s="12">
        <v>4</v>
      </c>
      <c r="B202" s="12" t="s">
        <v>344</v>
      </c>
      <c r="C202" s="14" t="str">
        <f>VLOOKUP(B202,weights!A:B,2,FALSE)</f>
        <v>M</v>
      </c>
      <c r="D202" s="13">
        <v>200</v>
      </c>
      <c r="E202" s="14" t="s">
        <v>340</v>
      </c>
      <c r="H202" s="18"/>
      <c r="I202" s="18"/>
      <c r="J202" s="14">
        <v>201.202</v>
      </c>
      <c r="K202" s="14">
        <f>VLOOKUP(B202,weights!A:G,5,FALSE)</f>
        <v>1.5</v>
      </c>
      <c r="L202" s="14">
        <f>VLOOKUP(B202,weights!A:G,6,FALSE)</f>
        <v>7</v>
      </c>
      <c r="M202" s="14">
        <f>VLOOKUP(B202,weights!A:G,7,FALSE)</f>
        <v>10</v>
      </c>
      <c r="N202" t="s">
        <v>3402</v>
      </c>
      <c r="O202">
        <v>142</v>
      </c>
      <c r="P202">
        <v>48.879481771899997</v>
      </c>
      <c r="Q202">
        <v>2.3891158073800001</v>
      </c>
      <c r="R202" s="22"/>
      <c r="S202" s="22"/>
      <c r="T202" s="22"/>
      <c r="U202" s="24">
        <f>R202+S202/60+T202/3600</f>
        <v>0</v>
      </c>
      <c r="V202" s="28">
        <f>ABS(U202-P202)/P202</f>
        <v>1</v>
      </c>
      <c r="W202" s="22"/>
      <c r="X202" s="22"/>
      <c r="Y202" s="22"/>
      <c r="Z202" s="14">
        <f>W202+X202/60+Y202/3600</f>
        <v>0</v>
      </c>
      <c r="AA202" s="26">
        <f>ABS(Z202-Q202)/Q202</f>
        <v>1</v>
      </c>
      <c r="AB202" s="26"/>
      <c r="AC202" s="14">
        <f>P202</f>
        <v>48.879481771899997</v>
      </c>
      <c r="AD202" s="14">
        <f>Q202</f>
        <v>2.3891158073800001</v>
      </c>
    </row>
    <row r="203" spans="1:30" s="14" customFormat="1">
      <c r="A203" s="12">
        <v>5</v>
      </c>
      <c r="B203" s="12" t="s">
        <v>344</v>
      </c>
      <c r="C203" s="14" t="str">
        <f>VLOOKUP(B203,weights!A:B,2,FALSE)</f>
        <v>M</v>
      </c>
      <c r="D203" s="13">
        <v>201</v>
      </c>
      <c r="E203" s="14" t="s">
        <v>341</v>
      </c>
      <c r="H203" s="18"/>
      <c r="I203" s="18"/>
      <c r="J203" s="14">
        <v>203</v>
      </c>
      <c r="K203" s="14">
        <f>VLOOKUP(B203,weights!A:G,5,FALSE)</f>
        <v>1.5</v>
      </c>
      <c r="L203" s="14">
        <f>VLOOKUP(B203,weights!A:G,6,FALSE)</f>
        <v>7</v>
      </c>
      <c r="M203" s="14">
        <f>VLOOKUP(B203,weights!A:G,7,FALSE)</f>
        <v>10</v>
      </c>
      <c r="N203" t="s">
        <v>3833</v>
      </c>
      <c r="O203">
        <v>871</v>
      </c>
      <c r="P203">
        <v>48.881931999599999</v>
      </c>
      <c r="Q203">
        <v>2.39344545239</v>
      </c>
      <c r="R203" s="22"/>
      <c r="S203" s="22"/>
      <c r="T203" s="22"/>
      <c r="U203" s="24">
        <f>R203+S203/60+T203/3600</f>
        <v>0</v>
      </c>
      <c r="V203" s="28">
        <f>ABS(U203-P203)/P203</f>
        <v>1</v>
      </c>
      <c r="W203" s="22"/>
      <c r="X203" s="22"/>
      <c r="Y203" s="22"/>
      <c r="Z203" s="14">
        <f>W203+X203/60+Y203/3600</f>
        <v>0</v>
      </c>
      <c r="AA203" s="26">
        <f>ABS(Z203-Q203)/Q203</f>
        <v>1</v>
      </c>
      <c r="AB203" s="26"/>
      <c r="AC203" s="14">
        <f>P203</f>
        <v>48.881931999599999</v>
      </c>
      <c r="AD203" s="14">
        <f>Q203</f>
        <v>2.39344545239</v>
      </c>
    </row>
    <row r="204" spans="1:30" s="14" customFormat="1">
      <c r="A204" s="12">
        <v>6</v>
      </c>
      <c r="B204" s="12" t="s">
        <v>344</v>
      </c>
      <c r="C204" s="14" t="str">
        <f>VLOOKUP(B204,weights!A:B,2,FALSE)</f>
        <v>M</v>
      </c>
      <c r="D204" s="13">
        <v>202</v>
      </c>
      <c r="E204" s="14" t="s">
        <v>342</v>
      </c>
      <c r="G204" s="14" t="s">
        <v>76</v>
      </c>
      <c r="H204" s="18" t="s">
        <v>1692</v>
      </c>
      <c r="I204" s="18"/>
      <c r="J204" s="14">
        <v>203</v>
      </c>
      <c r="K204" s="14">
        <f>VLOOKUP(B204,weights!A:G,5,FALSE)</f>
        <v>1.5</v>
      </c>
      <c r="L204" s="14">
        <f>VLOOKUP(B204,weights!A:G,6,FALSE)</f>
        <v>7</v>
      </c>
      <c r="M204" s="14">
        <f>VLOOKUP(B204,weights!A:G,7,FALSE)</f>
        <v>10</v>
      </c>
      <c r="N204" t="s">
        <v>5199</v>
      </c>
      <c r="O204">
        <v>37</v>
      </c>
      <c r="P204">
        <v>48.876806389199999</v>
      </c>
      <c r="Q204">
        <v>2.3930560933199998</v>
      </c>
      <c r="R204" s="22"/>
      <c r="S204" s="22"/>
      <c r="T204" s="22"/>
      <c r="U204" s="24">
        <f>R204+S204/60+T204/3600</f>
        <v>0</v>
      </c>
      <c r="V204" s="28">
        <f>ABS(U204-P204)/P204</f>
        <v>1</v>
      </c>
      <c r="W204" s="22"/>
      <c r="X204" s="22"/>
      <c r="Y204" s="22"/>
      <c r="Z204" s="14">
        <f>W204+X204/60+Y204/3600</f>
        <v>0</v>
      </c>
      <c r="AA204" s="26">
        <f>ABS(Z204-Q204)/Q204</f>
        <v>1</v>
      </c>
      <c r="AB204" s="26"/>
      <c r="AC204" s="14">
        <f>P204</f>
        <v>48.876806389199999</v>
      </c>
      <c r="AD204" s="14">
        <f>Q204</f>
        <v>2.3930560933199998</v>
      </c>
    </row>
    <row r="205" spans="1:30" s="14" customFormat="1">
      <c r="A205" s="12">
        <v>7</v>
      </c>
      <c r="B205" s="12" t="s">
        <v>344</v>
      </c>
      <c r="C205" s="14" t="str">
        <f>VLOOKUP(B205,weights!A:B,2,FALSE)</f>
        <v>M</v>
      </c>
      <c r="D205" s="13">
        <v>203</v>
      </c>
      <c r="E205" s="14" t="s">
        <v>343</v>
      </c>
      <c r="G205" s="14" t="s">
        <v>1484</v>
      </c>
      <c r="H205" s="18"/>
      <c r="I205" s="18" t="s">
        <v>1693</v>
      </c>
      <c r="K205" s="14">
        <f>VLOOKUP(B205,weights!A:G,5,FALSE)</f>
        <v>1.5</v>
      </c>
      <c r="L205" s="14">
        <f>VLOOKUP(B205,weights!A:G,6,FALSE)</f>
        <v>7</v>
      </c>
      <c r="M205" s="14">
        <f>VLOOKUP(B205,weights!A:G,7,FALSE)</f>
        <v>10</v>
      </c>
      <c r="N205" t="s">
        <v>5381</v>
      </c>
      <c r="O205">
        <v>352</v>
      </c>
      <c r="P205">
        <v>48.879995794400003</v>
      </c>
      <c r="Q205">
        <v>2.3989466624600002</v>
      </c>
      <c r="R205" s="22"/>
      <c r="S205" s="22"/>
      <c r="T205" s="22"/>
      <c r="U205" s="24">
        <f>R205+S205/60+T205/3600</f>
        <v>0</v>
      </c>
      <c r="V205" s="28">
        <f>ABS(U205-P205)/P205</f>
        <v>1</v>
      </c>
      <c r="W205" s="22"/>
      <c r="X205" s="22"/>
      <c r="Y205" s="22"/>
      <c r="Z205" s="14">
        <f>W205+X205/60+Y205/3600</f>
        <v>0</v>
      </c>
      <c r="AA205" s="26">
        <f>ABS(Z205-Q205)/Q205</f>
        <v>1</v>
      </c>
      <c r="AB205" s="26"/>
      <c r="AC205" s="14">
        <f>P205</f>
        <v>48.879995794400003</v>
      </c>
      <c r="AD205" s="14">
        <f>Q205</f>
        <v>2.3989466624600002</v>
      </c>
    </row>
    <row r="206" spans="1:30" s="14" customFormat="1">
      <c r="A206" s="12">
        <v>0</v>
      </c>
      <c r="B206" s="12" t="s">
        <v>220</v>
      </c>
      <c r="C206" s="14" t="str">
        <f>VLOOKUP(B206,weights!A:B,2,FALSE)</f>
        <v>P</v>
      </c>
      <c r="D206" s="13">
        <v>204</v>
      </c>
      <c r="E206" s="14" t="s">
        <v>345</v>
      </c>
      <c r="G206" s="14" t="s">
        <v>1438</v>
      </c>
      <c r="H206" s="18"/>
      <c r="I206" s="18" t="s">
        <v>1695</v>
      </c>
      <c r="K206" s="14">
        <f>VLOOKUP(B206,weights!A:G,5,FALSE)</f>
        <v>1.37</v>
      </c>
      <c r="L206" s="14">
        <f>VLOOKUP(B206,weights!A:G,6,FALSE)</f>
        <v>7</v>
      </c>
      <c r="M206" s="14">
        <f>VLOOKUP(B206,weights!A:G,7,FALSE)</f>
        <v>10</v>
      </c>
      <c r="N206" t="s">
        <v>3269</v>
      </c>
      <c r="O206">
        <v>715</v>
      </c>
      <c r="P206">
        <v>48.8360967841</v>
      </c>
      <c r="Q206">
        <v>2.27823795192</v>
      </c>
      <c r="R206" s="22"/>
      <c r="S206" s="22"/>
      <c r="T206" s="22"/>
      <c r="U206" s="24">
        <f>R206+S206/60+T206/3600</f>
        <v>0</v>
      </c>
      <c r="V206" s="28">
        <f>ABS(U206-P206)/P206</f>
        <v>1</v>
      </c>
      <c r="W206" s="22"/>
      <c r="X206" s="22"/>
      <c r="Y206" s="22"/>
      <c r="Z206" s="14">
        <f>W206+X206/60+Y206/3600</f>
        <v>0</v>
      </c>
      <c r="AA206" s="26">
        <f>ABS(Z206-Q206)/Q206</f>
        <v>1</v>
      </c>
      <c r="AB206" s="26"/>
      <c r="AC206" s="14">
        <f>P206</f>
        <v>48.8360967841</v>
      </c>
      <c r="AD206" s="14">
        <f>Q206</f>
        <v>2.27823795192</v>
      </c>
    </row>
    <row r="207" spans="1:30" s="14" customFormat="1">
      <c r="A207" s="12">
        <v>1</v>
      </c>
      <c r="B207" s="12" t="s">
        <v>220</v>
      </c>
      <c r="C207" s="14" t="str">
        <f>VLOOKUP(B207,weights!A:B,2,FALSE)</f>
        <v>P</v>
      </c>
      <c r="D207" s="13">
        <v>205</v>
      </c>
      <c r="E207" s="14" t="s">
        <v>346</v>
      </c>
      <c r="H207" s="18"/>
      <c r="I207" s="18"/>
      <c r="K207" s="14">
        <f>VLOOKUP(B207,weights!A:G,5,FALSE)</f>
        <v>1.37</v>
      </c>
      <c r="L207" s="14">
        <f>VLOOKUP(B207,weights!A:G,6,FALSE)</f>
        <v>7</v>
      </c>
      <c r="M207" s="14">
        <f>VLOOKUP(B207,weights!A:G,7,FALSE)</f>
        <v>10</v>
      </c>
      <c r="N207" t="s">
        <v>4660</v>
      </c>
      <c r="O207">
        <v>375</v>
      </c>
      <c r="P207">
        <v>48.838960939400003</v>
      </c>
      <c r="Q207">
        <v>2.2827000272400002</v>
      </c>
      <c r="R207" s="22"/>
      <c r="S207" s="22"/>
      <c r="T207" s="22"/>
      <c r="U207" s="24">
        <f>R207+S207/60+T207/3600</f>
        <v>0</v>
      </c>
      <c r="V207" s="28">
        <f>ABS(U207-P207)/P207</f>
        <v>1</v>
      </c>
      <c r="W207" s="22"/>
      <c r="X207" s="22"/>
      <c r="Y207" s="22"/>
      <c r="Z207" s="14">
        <f>W207+X207/60+Y207/3600</f>
        <v>0</v>
      </c>
      <c r="AA207" s="26">
        <f>ABS(Z207-Q207)/Q207</f>
        <v>1</v>
      </c>
      <c r="AB207" s="26"/>
      <c r="AC207" s="14">
        <f>P207</f>
        <v>48.838960939400003</v>
      </c>
      <c r="AD207" s="14">
        <f>Q207</f>
        <v>2.2827000272400002</v>
      </c>
    </row>
    <row r="208" spans="1:30" s="14" customFormat="1">
      <c r="A208" s="12">
        <v>2</v>
      </c>
      <c r="B208" s="12" t="s">
        <v>220</v>
      </c>
      <c r="C208" s="14" t="str">
        <f>VLOOKUP(B208,weights!A:B,2,FALSE)</f>
        <v>P</v>
      </c>
      <c r="D208" s="13">
        <v>206</v>
      </c>
      <c r="E208" s="14" t="s">
        <v>347</v>
      </c>
      <c r="H208" s="18"/>
      <c r="I208" s="18"/>
      <c r="K208" s="14">
        <f>VLOOKUP(B208,weights!A:G,5,FALSE)</f>
        <v>1.37</v>
      </c>
      <c r="L208" s="14">
        <f>VLOOKUP(B208,weights!A:G,6,FALSE)</f>
        <v>7</v>
      </c>
      <c r="M208" s="14">
        <f>VLOOKUP(B208,weights!A:G,7,FALSE)</f>
        <v>10</v>
      </c>
      <c r="N208" t="s">
        <v>3405</v>
      </c>
      <c r="O208">
        <v>886</v>
      </c>
      <c r="P208">
        <v>48.841094056300001</v>
      </c>
      <c r="Q208">
        <v>2.2879457665</v>
      </c>
      <c r="R208" s="22"/>
      <c r="S208" s="22"/>
      <c r="T208" s="22"/>
      <c r="U208" s="24">
        <f>R208+S208/60+T208/3600</f>
        <v>0</v>
      </c>
      <c r="V208" s="28">
        <f>ABS(U208-P208)/P208</f>
        <v>1</v>
      </c>
      <c r="W208" s="22"/>
      <c r="X208" s="22"/>
      <c r="Y208" s="22"/>
      <c r="Z208" s="14">
        <f>W208+X208/60+Y208/3600</f>
        <v>0</v>
      </c>
      <c r="AA208" s="26">
        <f>ABS(Z208-Q208)/Q208</f>
        <v>1</v>
      </c>
      <c r="AB208" s="26"/>
      <c r="AC208" s="14">
        <f>P208</f>
        <v>48.841094056300001</v>
      </c>
      <c r="AD208" s="14">
        <f>Q208</f>
        <v>2.2879457665</v>
      </c>
    </row>
    <row r="209" spans="1:30" s="14" customFormat="1">
      <c r="A209" s="12">
        <v>3</v>
      </c>
      <c r="B209" s="12" t="s">
        <v>220</v>
      </c>
      <c r="C209" s="14" t="str">
        <f>VLOOKUP(B209,weights!A:B,2,FALSE)</f>
        <v>P</v>
      </c>
      <c r="D209" s="13">
        <v>207</v>
      </c>
      <c r="E209" s="14" t="s">
        <v>348</v>
      </c>
      <c r="H209" s="18"/>
      <c r="I209" s="18"/>
      <c r="K209" s="14">
        <f>VLOOKUP(B209,weights!A:G,5,FALSE)</f>
        <v>1.37</v>
      </c>
      <c r="L209" s="14">
        <f>VLOOKUP(B209,weights!A:G,6,FALSE)</f>
        <v>7</v>
      </c>
      <c r="M209" s="14">
        <f>VLOOKUP(B209,weights!A:G,7,FALSE)</f>
        <v>10</v>
      </c>
      <c r="N209" t="s">
        <v>4020</v>
      </c>
      <c r="O209">
        <v>376</v>
      </c>
      <c r="P209">
        <v>48.842746779800002</v>
      </c>
      <c r="Q209">
        <v>2.29191241332</v>
      </c>
      <c r="R209" s="22"/>
      <c r="S209" s="22"/>
      <c r="T209" s="22"/>
      <c r="U209" s="24">
        <f>R209+S209/60+T209/3600</f>
        <v>0</v>
      </c>
      <c r="V209" s="28">
        <f>ABS(U209-P209)/P209</f>
        <v>1</v>
      </c>
      <c r="W209" s="22"/>
      <c r="X209" s="22"/>
      <c r="Y209" s="22"/>
      <c r="Z209" s="14">
        <f>W209+X209/60+Y209/3600</f>
        <v>0</v>
      </c>
      <c r="AA209" s="26">
        <f>ABS(Z209-Q209)/Q209</f>
        <v>1</v>
      </c>
      <c r="AB209" s="26"/>
      <c r="AC209" s="14">
        <f>P209</f>
        <v>48.842746779800002</v>
      </c>
      <c r="AD209" s="14">
        <f>Q209</f>
        <v>2.29191241332</v>
      </c>
    </row>
    <row r="210" spans="1:30" s="14" customFormat="1">
      <c r="A210" s="12">
        <v>4</v>
      </c>
      <c r="B210" s="12" t="s">
        <v>220</v>
      </c>
      <c r="C210" s="14" t="str">
        <f>VLOOKUP(B210,weights!A:B,2,FALSE)</f>
        <v>P</v>
      </c>
      <c r="D210" s="13">
        <v>208</v>
      </c>
      <c r="E210" s="14" t="s">
        <v>349</v>
      </c>
      <c r="H210" s="18"/>
      <c r="I210" s="18"/>
      <c r="K210" s="14">
        <f>VLOOKUP(B210,weights!A:G,5,FALSE)</f>
        <v>1.37</v>
      </c>
      <c r="L210" s="14">
        <f>VLOOKUP(B210,weights!A:G,6,FALSE)</f>
        <v>7</v>
      </c>
      <c r="M210" s="14">
        <f>VLOOKUP(B210,weights!A:G,7,FALSE)</f>
        <v>10</v>
      </c>
      <c r="N210" t="s">
        <v>3733</v>
      </c>
      <c r="O210">
        <v>377</v>
      </c>
      <c r="P210">
        <v>48.844794764600003</v>
      </c>
      <c r="Q210">
        <v>2.2939519636400001</v>
      </c>
      <c r="R210" s="22"/>
      <c r="S210" s="22"/>
      <c r="T210" s="22"/>
      <c r="U210" s="24">
        <f>R210+S210/60+T210/3600</f>
        <v>0</v>
      </c>
      <c r="V210" s="28">
        <f>ABS(U210-P210)/P210</f>
        <v>1</v>
      </c>
      <c r="W210" s="22"/>
      <c r="X210" s="22"/>
      <c r="Y210" s="22"/>
      <c r="Z210" s="14">
        <f>W210+X210/60+Y210/3600</f>
        <v>0</v>
      </c>
      <c r="AA210" s="26">
        <f>ABS(Z210-Q210)/Q210</f>
        <v>1</v>
      </c>
      <c r="AB210" s="26"/>
      <c r="AC210" s="14">
        <f>P210</f>
        <v>48.844794764600003</v>
      </c>
      <c r="AD210" s="14">
        <f>Q210</f>
        <v>2.2939519636400001</v>
      </c>
    </row>
    <row r="211" spans="1:30" s="14" customFormat="1">
      <c r="A211" s="12">
        <v>5</v>
      </c>
      <c r="B211" s="12" t="s">
        <v>220</v>
      </c>
      <c r="C211" s="14" t="str">
        <f>VLOOKUP(B211,weights!A:B,2,FALSE)</f>
        <v>P</v>
      </c>
      <c r="D211" s="13">
        <v>209</v>
      </c>
      <c r="E211" s="14" t="s">
        <v>227</v>
      </c>
      <c r="G211" s="14" t="s">
        <v>373</v>
      </c>
      <c r="H211" s="18" t="s">
        <v>1696</v>
      </c>
      <c r="I211" s="18"/>
      <c r="K211" s="14">
        <f>VLOOKUP(B211,weights!A:G,5,FALSE)</f>
        <v>1.37</v>
      </c>
      <c r="L211" s="14">
        <f>VLOOKUP(B211,weights!A:G,6,FALSE)</f>
        <v>7</v>
      </c>
      <c r="M211" s="14">
        <f>VLOOKUP(B211,weights!A:G,7,FALSE)</f>
        <v>10</v>
      </c>
      <c r="N211" t="s">
        <v>4419</v>
      </c>
      <c r="O211">
        <v>879</v>
      </c>
      <c r="P211">
        <v>48.849064563500001</v>
      </c>
      <c r="Q211">
        <v>2.29791659184</v>
      </c>
      <c r="R211" s="22"/>
      <c r="S211" s="22"/>
      <c r="T211" s="22"/>
      <c r="U211" s="24">
        <f>R211+S211/60+T211/3600</f>
        <v>0</v>
      </c>
      <c r="V211" s="28">
        <f>ABS(U211-P211)/P211</f>
        <v>1</v>
      </c>
      <c r="W211" s="22"/>
      <c r="X211" s="22"/>
      <c r="Y211" s="22"/>
      <c r="Z211" s="14">
        <f>W211+X211/60+Y211/3600</f>
        <v>0</v>
      </c>
      <c r="AA211" s="26">
        <f>ABS(Z211-Q211)/Q211</f>
        <v>1</v>
      </c>
      <c r="AB211" s="26"/>
      <c r="AC211" s="14">
        <f>P211</f>
        <v>48.849064563500001</v>
      </c>
      <c r="AD211" s="14">
        <f>Q211</f>
        <v>2.29791659184</v>
      </c>
    </row>
    <row r="212" spans="1:30" s="14" customFormat="1">
      <c r="A212" s="12">
        <v>6</v>
      </c>
      <c r="B212" s="12" t="s">
        <v>220</v>
      </c>
      <c r="C212" s="14" t="str">
        <f>VLOOKUP(B212,weights!A:B,2,FALSE)</f>
        <v>P</v>
      </c>
      <c r="D212" s="13">
        <v>210</v>
      </c>
      <c r="E212" s="14" t="s">
        <v>350</v>
      </c>
      <c r="H212" s="18"/>
      <c r="I212" s="18"/>
      <c r="K212" s="14">
        <f>VLOOKUP(B212,weights!A:G,5,FALSE)</f>
        <v>1.37</v>
      </c>
      <c r="L212" s="14">
        <f>VLOOKUP(B212,weights!A:G,6,FALSE)</f>
        <v>7</v>
      </c>
      <c r="M212" s="14">
        <f>VLOOKUP(B212,weights!A:G,7,FALSE)</f>
        <v>10</v>
      </c>
      <c r="N212" t="s">
        <v>3902</v>
      </c>
      <c r="O212">
        <v>250</v>
      </c>
      <c r="P212">
        <v>48.854682156899997</v>
      </c>
      <c r="Q212">
        <v>2.3060974036999999</v>
      </c>
      <c r="R212" s="22"/>
      <c r="S212" s="22"/>
      <c r="T212" s="22"/>
      <c r="U212" s="24">
        <f>R212+S212/60+T212/3600</f>
        <v>0</v>
      </c>
      <c r="V212" s="28">
        <f>ABS(U212-P212)/P212</f>
        <v>1</v>
      </c>
      <c r="W212" s="22"/>
      <c r="X212" s="22"/>
      <c r="Y212" s="22"/>
      <c r="Z212" s="14">
        <f>W212+X212/60+Y212/3600</f>
        <v>0</v>
      </c>
      <c r="AA212" s="26">
        <f>ABS(Z212-Q212)/Q212</f>
        <v>1</v>
      </c>
      <c r="AB212" s="26"/>
      <c r="AC212" s="14">
        <f>P212</f>
        <v>48.854682156899997</v>
      </c>
      <c r="AD212" s="14">
        <f>Q212</f>
        <v>2.3060974036999999</v>
      </c>
    </row>
    <row r="213" spans="1:30" s="14" customFormat="1">
      <c r="A213" s="12">
        <v>7</v>
      </c>
      <c r="B213" s="12" t="s">
        <v>220</v>
      </c>
      <c r="C213" s="14" t="str">
        <f>VLOOKUP(B213,weights!A:B,2,FALSE)</f>
        <v>P</v>
      </c>
      <c r="D213" s="13">
        <v>211</v>
      </c>
      <c r="E213" s="14" t="s">
        <v>351</v>
      </c>
      <c r="H213" s="18"/>
      <c r="I213" s="18"/>
      <c r="K213" s="14">
        <f>VLOOKUP(B213,weights!A:G,5,FALSE)</f>
        <v>1.37</v>
      </c>
      <c r="L213" s="14">
        <f>VLOOKUP(B213,weights!A:G,6,FALSE)</f>
        <v>7</v>
      </c>
      <c r="M213" s="14">
        <f>VLOOKUP(B213,weights!A:G,7,FALSE)</f>
        <v>10</v>
      </c>
      <c r="N213" t="s">
        <v>4438</v>
      </c>
      <c r="O213">
        <v>251</v>
      </c>
      <c r="P213">
        <v>48.857725412900002</v>
      </c>
      <c r="Q213">
        <v>2.31056596095</v>
      </c>
      <c r="R213" s="22"/>
      <c r="S213" s="22"/>
      <c r="T213" s="22"/>
      <c r="U213" s="24">
        <f>R213+S213/60+T213/3600</f>
        <v>0</v>
      </c>
      <c r="V213" s="28">
        <f>ABS(U213-P213)/P213</f>
        <v>1</v>
      </c>
      <c r="W213" s="22"/>
      <c r="X213" s="22"/>
      <c r="Y213" s="22"/>
      <c r="Z213" s="14">
        <f>W213+X213/60+Y213/3600</f>
        <v>0</v>
      </c>
      <c r="AA213" s="26">
        <f>ABS(Z213-Q213)/Q213</f>
        <v>1</v>
      </c>
      <c r="AB213" s="26"/>
      <c r="AC213" s="14">
        <f>P213</f>
        <v>48.857725412900002</v>
      </c>
      <c r="AD213" s="14">
        <f>Q213</f>
        <v>2.31056596095</v>
      </c>
    </row>
    <row r="214" spans="1:30" s="14" customFormat="1">
      <c r="A214" s="12">
        <v>8</v>
      </c>
      <c r="B214" s="12" t="s">
        <v>220</v>
      </c>
      <c r="C214" s="14" t="str">
        <f>VLOOKUP(B214,weights!A:B,2,FALSE)</f>
        <v>P</v>
      </c>
      <c r="D214" s="13">
        <v>212</v>
      </c>
      <c r="E214" s="14" t="s">
        <v>352</v>
      </c>
      <c r="G214" s="14" t="s">
        <v>374</v>
      </c>
      <c r="H214" s="18" t="s">
        <v>1697</v>
      </c>
      <c r="I214" s="18" t="s">
        <v>1698</v>
      </c>
      <c r="K214" s="14">
        <f>VLOOKUP(B214,weights!A:G,5,FALSE)</f>
        <v>1.37</v>
      </c>
      <c r="L214" s="14">
        <f>VLOOKUP(B214,weights!A:G,6,FALSE)</f>
        <v>7</v>
      </c>
      <c r="M214" s="14">
        <f>VLOOKUP(B214,weights!A:G,7,FALSE)</f>
        <v>10</v>
      </c>
      <c r="N214" t="s">
        <v>4264</v>
      </c>
      <c r="O214">
        <v>479</v>
      </c>
      <c r="P214">
        <v>48.862901844200003</v>
      </c>
      <c r="Q214">
        <v>2.31390890638</v>
      </c>
      <c r="R214" s="22"/>
      <c r="S214" s="22"/>
      <c r="T214" s="22"/>
      <c r="U214" s="24">
        <f>R214+S214/60+T214/3600</f>
        <v>0</v>
      </c>
      <c r="V214" s="28">
        <f>ABS(U214-P214)/P214</f>
        <v>1</v>
      </c>
      <c r="W214" s="22"/>
      <c r="X214" s="22"/>
      <c r="Y214" s="22"/>
      <c r="Z214" s="14">
        <f>W214+X214/60+Y214/3600</f>
        <v>0</v>
      </c>
      <c r="AA214" s="26">
        <f>ABS(Z214-Q214)/Q214</f>
        <v>1</v>
      </c>
      <c r="AB214" s="26"/>
      <c r="AC214" s="14">
        <f>P214</f>
        <v>48.862901844200003</v>
      </c>
      <c r="AD214" s="14">
        <f>Q214</f>
        <v>2.31390890638</v>
      </c>
    </row>
    <row r="215" spans="1:30" s="14" customFormat="1">
      <c r="A215" s="12">
        <v>9</v>
      </c>
      <c r="B215" s="12" t="s">
        <v>220</v>
      </c>
      <c r="C215" s="14" t="str">
        <f>VLOOKUP(B215,weights!A:B,2,FALSE)</f>
        <v>P</v>
      </c>
      <c r="D215" s="13">
        <v>213</v>
      </c>
      <c r="E215" s="14" t="s">
        <v>38</v>
      </c>
      <c r="G215" s="14" t="s">
        <v>375</v>
      </c>
      <c r="H215" s="18" t="s">
        <v>1699</v>
      </c>
      <c r="I215" s="18"/>
      <c r="K215" s="14">
        <f>VLOOKUP(B215,weights!A:G,5,FALSE)</f>
        <v>1.37</v>
      </c>
      <c r="L215" s="14">
        <f>VLOOKUP(B215,weights!A:G,6,FALSE)</f>
        <v>7</v>
      </c>
      <c r="M215" s="14">
        <f>VLOOKUP(B215,weights!A:G,7,FALSE)</f>
        <v>10</v>
      </c>
      <c r="N215" t="s">
        <v>3740</v>
      </c>
      <c r="O215">
        <v>2</v>
      </c>
      <c r="P215">
        <v>48.866285804599997</v>
      </c>
      <c r="Q215">
        <v>2.3229434122399999</v>
      </c>
      <c r="R215" s="22"/>
      <c r="S215" s="22"/>
      <c r="T215" s="22"/>
      <c r="U215" s="24">
        <f>R215+S215/60+T215/3600</f>
        <v>0</v>
      </c>
      <c r="V215" s="28">
        <f>ABS(U215-P215)/P215</f>
        <v>1</v>
      </c>
      <c r="W215" s="22"/>
      <c r="X215" s="22"/>
      <c r="Y215" s="22"/>
      <c r="Z215" s="14">
        <f>W215+X215/60+Y215/3600</f>
        <v>0</v>
      </c>
      <c r="AA215" s="26">
        <f>ABS(Z215-Q215)/Q215</f>
        <v>1</v>
      </c>
      <c r="AB215" s="26"/>
      <c r="AC215" s="14">
        <f>P215</f>
        <v>48.866285804599997</v>
      </c>
      <c r="AD215" s="14">
        <f>Q215</f>
        <v>2.3229434122399999</v>
      </c>
    </row>
    <row r="216" spans="1:30" s="14" customFormat="1">
      <c r="A216" s="12">
        <v>10</v>
      </c>
      <c r="B216" s="12" t="s">
        <v>220</v>
      </c>
      <c r="C216" s="14" t="str">
        <f>VLOOKUP(B216,weights!A:B,2,FALSE)</f>
        <v>P</v>
      </c>
      <c r="D216" s="13">
        <v>214</v>
      </c>
      <c r="E216" s="14" t="s">
        <v>353</v>
      </c>
      <c r="G216" s="14" t="s">
        <v>376</v>
      </c>
      <c r="H216" s="18" t="s">
        <v>1700</v>
      </c>
      <c r="I216" s="18"/>
      <c r="K216" s="14">
        <f>VLOOKUP(B216,weights!A:G,5,FALSE)</f>
        <v>1.37</v>
      </c>
      <c r="L216" s="14">
        <f>VLOOKUP(B216,weights!A:G,6,FALSE)</f>
        <v>7</v>
      </c>
      <c r="M216" s="14">
        <f>VLOOKUP(B216,weights!A:G,7,FALSE)</f>
        <v>10</v>
      </c>
      <c r="N216" t="s">
        <v>4690</v>
      </c>
      <c r="O216">
        <v>66</v>
      </c>
      <c r="P216">
        <v>48.8700997328</v>
      </c>
      <c r="Q216">
        <v>2.3251641095400002</v>
      </c>
      <c r="R216" s="22"/>
      <c r="S216" s="22"/>
      <c r="T216" s="22"/>
      <c r="U216" s="24">
        <f>R216+S216/60+T216/3600</f>
        <v>0</v>
      </c>
      <c r="V216" s="28">
        <f>ABS(U216-P216)/P216</f>
        <v>1</v>
      </c>
      <c r="W216" s="22"/>
      <c r="X216" s="22"/>
      <c r="Y216" s="22"/>
      <c r="Z216" s="14">
        <f>W216+X216/60+Y216/3600</f>
        <v>0</v>
      </c>
      <c r="AA216" s="26">
        <f>ABS(Z216-Q216)/Q216</f>
        <v>1</v>
      </c>
      <c r="AB216" s="26"/>
      <c r="AC216" s="14">
        <f>P216</f>
        <v>48.8700997328</v>
      </c>
      <c r="AD216" s="14">
        <f>Q216</f>
        <v>2.3251641095400002</v>
      </c>
    </row>
    <row r="217" spans="1:30" s="14" customFormat="1">
      <c r="A217" s="12">
        <v>11</v>
      </c>
      <c r="B217" s="12" t="s">
        <v>220</v>
      </c>
      <c r="C217" s="14" t="str">
        <f>VLOOKUP(B217,weights!A:B,2,FALSE)</f>
        <v>P</v>
      </c>
      <c r="D217" s="13">
        <v>215</v>
      </c>
      <c r="E217" s="14" t="s">
        <v>125</v>
      </c>
      <c r="G217" s="14" t="s">
        <v>377</v>
      </c>
      <c r="H217" s="18" t="s">
        <v>1701</v>
      </c>
      <c r="I217" s="18" t="s">
        <v>1625</v>
      </c>
      <c r="K217" s="14">
        <f>VLOOKUP(B217,weights!A:G,5,FALSE)</f>
        <v>1.37</v>
      </c>
      <c r="L217" s="14">
        <f>VLOOKUP(B217,weights!A:G,6,FALSE)</f>
        <v>7</v>
      </c>
      <c r="M217" s="14">
        <f>VLOOKUP(B217,weights!A:G,7,FALSE)</f>
        <v>10</v>
      </c>
      <c r="N217" t="s">
        <v>5044</v>
      </c>
      <c r="O217">
        <v>67</v>
      </c>
      <c r="P217">
        <v>48.870677681799997</v>
      </c>
      <c r="Q217">
        <v>2.3323546392600001</v>
      </c>
      <c r="R217" s="22"/>
      <c r="S217" s="22"/>
      <c r="T217" s="22"/>
      <c r="U217" s="24">
        <f>R217+S217/60+T217/3600</f>
        <v>0</v>
      </c>
      <c r="V217" s="28">
        <f>ABS(U217-P217)/P217</f>
        <v>1</v>
      </c>
      <c r="W217" s="22"/>
      <c r="X217" s="22"/>
      <c r="Y217" s="22"/>
      <c r="Z217" s="14">
        <f>W217+X217/60+Y217/3600</f>
        <v>0</v>
      </c>
      <c r="AA217" s="26">
        <f>ABS(Z217-Q217)/Q217</f>
        <v>1</v>
      </c>
      <c r="AB217" s="26"/>
      <c r="AC217" s="14">
        <f>P217</f>
        <v>48.870677681799997</v>
      </c>
      <c r="AD217" s="14">
        <f>Q217</f>
        <v>2.3323546392600001</v>
      </c>
    </row>
    <row r="218" spans="1:30" s="14" customFormat="1">
      <c r="A218" s="12">
        <v>12</v>
      </c>
      <c r="B218" s="12" t="s">
        <v>220</v>
      </c>
      <c r="C218" s="14" t="str">
        <f>VLOOKUP(B218,weights!A:B,2,FALSE)</f>
        <v>P</v>
      </c>
      <c r="D218" s="13">
        <v>216</v>
      </c>
      <c r="E218" s="14" t="s">
        <v>354</v>
      </c>
      <c r="G218" s="14" t="s">
        <v>71</v>
      </c>
      <c r="H218" s="18" t="s">
        <v>1702</v>
      </c>
      <c r="I218" s="18"/>
      <c r="K218" s="14">
        <f>VLOOKUP(B218,weights!A:G,5,FALSE)</f>
        <v>1.37</v>
      </c>
      <c r="L218" s="14">
        <f>VLOOKUP(B218,weights!A:G,6,FALSE)</f>
        <v>7</v>
      </c>
      <c r="M218" s="14">
        <f>VLOOKUP(B218,weights!A:G,7,FALSE)</f>
        <v>10</v>
      </c>
      <c r="N218" t="s">
        <v>5444</v>
      </c>
      <c r="O218">
        <v>152</v>
      </c>
      <c r="P218">
        <v>48.872013463800002</v>
      </c>
      <c r="Q218">
        <v>2.3400517857400001</v>
      </c>
      <c r="R218" s="22"/>
      <c r="S218" s="22"/>
      <c r="T218" s="22"/>
      <c r="U218" s="24">
        <f>R218+S218/60+T218/3600</f>
        <v>0</v>
      </c>
      <c r="V218" s="28">
        <f>ABS(U218-P218)/P218</f>
        <v>1</v>
      </c>
      <c r="W218" s="22"/>
      <c r="X218" s="22"/>
      <c r="Y218" s="22"/>
      <c r="Z218" s="14">
        <f>W218+X218/60+Y218/3600</f>
        <v>0</v>
      </c>
      <c r="AA218" s="26">
        <f>ABS(Z218-Q218)/Q218</f>
        <v>1</v>
      </c>
      <c r="AB218" s="26"/>
      <c r="AC218" s="14">
        <f>P218</f>
        <v>48.872013463800002</v>
      </c>
      <c r="AD218" s="14">
        <f>Q218</f>
        <v>2.3400517857400001</v>
      </c>
    </row>
    <row r="219" spans="1:30" s="14" customFormat="1">
      <c r="A219" s="12">
        <v>13</v>
      </c>
      <c r="B219" s="12" t="s">
        <v>220</v>
      </c>
      <c r="C219" s="14" t="str">
        <f>VLOOKUP(B219,weights!A:B,2,FALSE)</f>
        <v>P</v>
      </c>
      <c r="D219" s="13">
        <v>217</v>
      </c>
      <c r="E219" s="14" t="s">
        <v>355</v>
      </c>
      <c r="H219" s="18"/>
      <c r="I219" s="18"/>
      <c r="K219" s="14">
        <f>VLOOKUP(B219,weights!A:G,5,FALSE)</f>
        <v>1.37</v>
      </c>
      <c r="L219" s="14">
        <f>VLOOKUP(B219,weights!A:G,6,FALSE)</f>
        <v>7</v>
      </c>
      <c r="M219" s="14">
        <f>VLOOKUP(B219,weights!A:G,7,FALSE)</f>
        <v>10</v>
      </c>
      <c r="N219" t="s">
        <v>4175</v>
      </c>
      <c r="O219">
        <v>252</v>
      </c>
      <c r="P219">
        <v>48.871497739399999</v>
      </c>
      <c r="Q219">
        <v>2.3431547730800002</v>
      </c>
      <c r="R219" s="22"/>
      <c r="S219" s="22"/>
      <c r="T219" s="22"/>
      <c r="U219" s="24">
        <f>R219+S219/60+T219/3600</f>
        <v>0</v>
      </c>
      <c r="V219" s="28">
        <f>ABS(U219-P219)/P219</f>
        <v>1</v>
      </c>
      <c r="W219" s="22"/>
      <c r="X219" s="22"/>
      <c r="Y219" s="22"/>
      <c r="Z219" s="14">
        <f>W219+X219/60+Y219/3600</f>
        <v>0</v>
      </c>
      <c r="AA219" s="26">
        <f>ABS(Z219-Q219)/Q219</f>
        <v>1</v>
      </c>
      <c r="AB219" s="26"/>
      <c r="AC219" s="14">
        <f>P219</f>
        <v>48.871497739399999</v>
      </c>
      <c r="AD219" s="14">
        <f>Q219</f>
        <v>2.3431547730800002</v>
      </c>
    </row>
    <row r="220" spans="1:30" s="14" customFormat="1">
      <c r="A220" s="12">
        <v>14</v>
      </c>
      <c r="B220" s="12" t="s">
        <v>220</v>
      </c>
      <c r="C220" s="14" t="str">
        <f>VLOOKUP(B220,weights!A:B,2,FALSE)</f>
        <v>P</v>
      </c>
      <c r="D220" s="13">
        <v>218</v>
      </c>
      <c r="E220" s="14" t="s">
        <v>356</v>
      </c>
      <c r="H220" s="18"/>
      <c r="I220" s="18"/>
      <c r="K220" s="14">
        <f>VLOOKUP(B220,weights!A:G,5,FALSE)</f>
        <v>1.37</v>
      </c>
      <c r="L220" s="14">
        <f>VLOOKUP(B220,weights!A:G,6,FALSE)</f>
        <v>7</v>
      </c>
      <c r="M220" s="14">
        <f>VLOOKUP(B220,weights!A:G,7,FALSE)</f>
        <v>10</v>
      </c>
      <c r="N220" t="s">
        <v>3389</v>
      </c>
      <c r="O220">
        <v>253</v>
      </c>
      <c r="P220">
        <v>48.8701642009</v>
      </c>
      <c r="Q220">
        <v>2.3504979718599999</v>
      </c>
      <c r="R220" s="22"/>
      <c r="S220" s="22"/>
      <c r="T220" s="22"/>
      <c r="U220" s="24">
        <f>R220+S220/60+T220/3600</f>
        <v>0</v>
      </c>
      <c r="V220" s="28">
        <f>ABS(U220-P220)/P220</f>
        <v>1</v>
      </c>
      <c r="W220" s="22"/>
      <c r="X220" s="22"/>
      <c r="Y220" s="22"/>
      <c r="Z220" s="14">
        <f>W220+X220/60+Y220/3600</f>
        <v>0</v>
      </c>
      <c r="AA220" s="26">
        <f>ABS(Z220-Q220)/Q220</f>
        <v>1</v>
      </c>
      <c r="AB220" s="26"/>
      <c r="AC220" s="14">
        <f>P220</f>
        <v>48.8701642009</v>
      </c>
      <c r="AD220" s="14">
        <f>Q220</f>
        <v>2.3504979718599999</v>
      </c>
    </row>
    <row r="221" spans="1:30" s="14" customFormat="1">
      <c r="A221" s="12">
        <v>15</v>
      </c>
      <c r="B221" s="12" t="s">
        <v>220</v>
      </c>
      <c r="C221" s="14" t="str">
        <f>VLOOKUP(B221,weights!A:B,2,FALSE)</f>
        <v>P</v>
      </c>
      <c r="D221" s="13">
        <v>219</v>
      </c>
      <c r="E221" s="14" t="s">
        <v>160</v>
      </c>
      <c r="G221" s="14" t="s">
        <v>378</v>
      </c>
      <c r="H221" s="18" t="s">
        <v>1703</v>
      </c>
      <c r="I221" s="18"/>
      <c r="K221" s="14">
        <f>VLOOKUP(B221,weights!A:G,5,FALSE)</f>
        <v>1.37</v>
      </c>
      <c r="L221" s="14">
        <f>VLOOKUP(B221,weights!A:G,6,FALSE)</f>
        <v>7</v>
      </c>
      <c r="M221" s="14">
        <f>VLOOKUP(B221,weights!A:G,7,FALSE)</f>
        <v>10</v>
      </c>
      <c r="N221" t="s">
        <v>5741</v>
      </c>
      <c r="O221">
        <v>338</v>
      </c>
      <c r="P221">
        <v>48.869294007699999</v>
      </c>
      <c r="Q221">
        <v>2.3542808790800001</v>
      </c>
      <c r="R221" s="22"/>
      <c r="S221" s="22"/>
      <c r="T221" s="22"/>
      <c r="U221" s="24">
        <f>R221+S221/60+T221/3600</f>
        <v>0</v>
      </c>
      <c r="V221" s="28">
        <f>ABS(U221-P221)/P221</f>
        <v>1</v>
      </c>
      <c r="W221" s="22"/>
      <c r="X221" s="22"/>
      <c r="Y221" s="22"/>
      <c r="Z221" s="14">
        <f>W221+X221/60+Y221/3600</f>
        <v>0</v>
      </c>
      <c r="AA221" s="26">
        <f>ABS(Z221-Q221)/Q221</f>
        <v>1</v>
      </c>
      <c r="AB221" s="26"/>
      <c r="AC221" s="14">
        <f>P221</f>
        <v>48.869294007699999</v>
      </c>
      <c r="AD221" s="14">
        <f>Q221</f>
        <v>2.3542808790800001</v>
      </c>
    </row>
    <row r="222" spans="1:30" s="14" customFormat="1">
      <c r="A222" s="12">
        <v>16</v>
      </c>
      <c r="B222" s="12" t="s">
        <v>220</v>
      </c>
      <c r="C222" s="14" t="str">
        <f>VLOOKUP(B222,weights!A:B,2,FALSE)</f>
        <v>P</v>
      </c>
      <c r="D222" s="13">
        <v>220</v>
      </c>
      <c r="E222" s="14" t="s">
        <v>132</v>
      </c>
      <c r="G222" s="14" t="s">
        <v>379</v>
      </c>
      <c r="H222" s="18" t="s">
        <v>1704</v>
      </c>
      <c r="I222" s="18"/>
      <c r="K222" s="14">
        <f>VLOOKUP(B222,weights!A:G,5,FALSE)</f>
        <v>1.37</v>
      </c>
      <c r="L222" s="14">
        <f>VLOOKUP(B222,weights!A:G,6,FALSE)</f>
        <v>7</v>
      </c>
      <c r="M222" s="14">
        <f>VLOOKUP(B222,weights!A:G,7,FALSE)</f>
        <v>10</v>
      </c>
      <c r="N222" t="s">
        <v>5433</v>
      </c>
      <c r="O222">
        <v>123</v>
      </c>
      <c r="P222">
        <v>48.867503423800002</v>
      </c>
      <c r="Q222">
        <v>2.3638261439799999</v>
      </c>
      <c r="R222" s="22"/>
      <c r="S222" s="22"/>
      <c r="T222" s="22"/>
      <c r="U222" s="24">
        <f>R222+S222/60+T222/3600</f>
        <v>0</v>
      </c>
      <c r="V222" s="28">
        <f>ABS(U222-P222)/P222</f>
        <v>1</v>
      </c>
      <c r="W222" s="22"/>
      <c r="X222" s="22"/>
      <c r="Y222" s="22"/>
      <c r="Z222" s="14">
        <f>W222+X222/60+Y222/3600</f>
        <v>0</v>
      </c>
      <c r="AA222" s="26">
        <f>ABS(Z222-Q222)/Q222</f>
        <v>1</v>
      </c>
      <c r="AB222" s="26"/>
      <c r="AC222" s="14">
        <f>P222</f>
        <v>48.867503423800002</v>
      </c>
      <c r="AD222" s="14">
        <f>Q222</f>
        <v>2.3638261439799999</v>
      </c>
    </row>
    <row r="223" spans="1:30" s="14" customFormat="1">
      <c r="A223" s="12">
        <v>17</v>
      </c>
      <c r="B223" s="12" t="s">
        <v>220</v>
      </c>
      <c r="C223" s="14" t="str">
        <f>VLOOKUP(B223,weights!A:B,2,FALSE)</f>
        <v>P</v>
      </c>
      <c r="D223" s="13">
        <v>221</v>
      </c>
      <c r="E223" s="14" t="s">
        <v>357</v>
      </c>
      <c r="H223" s="18"/>
      <c r="I223" s="18"/>
      <c r="K223" s="14">
        <f>VLOOKUP(B223,weights!A:G,5,FALSE)</f>
        <v>1.37</v>
      </c>
      <c r="L223" s="14">
        <f>VLOOKUP(B223,weights!A:G,6,FALSE)</f>
        <v>7</v>
      </c>
      <c r="M223" s="14">
        <f>VLOOKUP(B223,weights!A:G,7,FALSE)</f>
        <v>10</v>
      </c>
      <c r="N223" t="s">
        <v>4029</v>
      </c>
      <c r="O223">
        <v>153</v>
      </c>
      <c r="P223">
        <v>48.863257945000001</v>
      </c>
      <c r="Q223">
        <v>2.36666109472</v>
      </c>
      <c r="R223" s="22"/>
      <c r="S223" s="22"/>
      <c r="T223" s="22"/>
      <c r="U223" s="24">
        <f>R223+S223/60+T223/3600</f>
        <v>0</v>
      </c>
      <c r="V223" s="28">
        <f>ABS(U223-P223)/P223</f>
        <v>1</v>
      </c>
      <c r="W223" s="22"/>
      <c r="X223" s="22"/>
      <c r="Y223" s="22"/>
      <c r="Z223" s="14">
        <f>W223+X223/60+Y223/3600</f>
        <v>0</v>
      </c>
      <c r="AA223" s="26">
        <f>ABS(Z223-Q223)/Q223</f>
        <v>1</v>
      </c>
      <c r="AB223" s="26"/>
      <c r="AC223" s="14">
        <f>P223</f>
        <v>48.863257945000001</v>
      </c>
      <c r="AD223" s="14">
        <f>Q223</f>
        <v>2.36666109472</v>
      </c>
    </row>
    <row r="224" spans="1:30" s="14" customFormat="1">
      <c r="A224" s="12">
        <v>18</v>
      </c>
      <c r="B224" s="12" t="s">
        <v>220</v>
      </c>
      <c r="C224" s="14" t="str">
        <f>VLOOKUP(B224,weights!A:B,2,FALSE)</f>
        <v>P</v>
      </c>
      <c r="D224" s="13">
        <v>222</v>
      </c>
      <c r="E224" s="14" t="s">
        <v>358</v>
      </c>
      <c r="H224" s="18"/>
      <c r="I224" s="18"/>
      <c r="K224" s="14">
        <f>VLOOKUP(B224,weights!A:G,5,FALSE)</f>
        <v>1.37</v>
      </c>
      <c r="L224" s="14">
        <f>VLOOKUP(B224,weights!A:G,6,FALSE)</f>
        <v>7</v>
      </c>
      <c r="M224" s="14">
        <f>VLOOKUP(B224,weights!A:G,7,FALSE)</f>
        <v>10</v>
      </c>
      <c r="N224" t="s">
        <v>5640</v>
      </c>
      <c r="O224">
        <v>154</v>
      </c>
      <c r="P224">
        <v>48.861168865499998</v>
      </c>
      <c r="Q224">
        <v>2.3672108664099998</v>
      </c>
      <c r="R224" s="22"/>
      <c r="S224" s="22"/>
      <c r="T224" s="22"/>
      <c r="U224" s="24">
        <f>R224+S224/60+T224/3600</f>
        <v>0</v>
      </c>
      <c r="V224" s="28">
        <f>ABS(U224-P224)/P224</f>
        <v>1</v>
      </c>
      <c r="W224" s="22"/>
      <c r="X224" s="22"/>
      <c r="Y224" s="22"/>
      <c r="Z224" s="14">
        <f>W224+X224/60+Y224/3600</f>
        <v>0</v>
      </c>
      <c r="AA224" s="26">
        <f>ABS(Z224-Q224)/Q224</f>
        <v>1</v>
      </c>
      <c r="AB224" s="26"/>
      <c r="AC224" s="14">
        <f>P224</f>
        <v>48.861168865499998</v>
      </c>
      <c r="AD224" s="14">
        <f>Q224</f>
        <v>2.3672108664099998</v>
      </c>
    </row>
    <row r="225" spans="1:30" s="14" customFormat="1">
      <c r="A225" s="12">
        <v>19</v>
      </c>
      <c r="B225" s="12" t="s">
        <v>220</v>
      </c>
      <c r="C225" s="14" t="str">
        <f>VLOOKUP(B225,weights!A:B,2,FALSE)</f>
        <v>P</v>
      </c>
      <c r="D225" s="13">
        <v>223</v>
      </c>
      <c r="E225" s="14" t="s">
        <v>359</v>
      </c>
      <c r="H225" s="18"/>
      <c r="I225" s="18"/>
      <c r="K225" s="14">
        <f>VLOOKUP(B225,weights!A:G,5,FALSE)</f>
        <v>1.37</v>
      </c>
      <c r="L225" s="14">
        <f>VLOOKUP(B225,weights!A:G,6,FALSE)</f>
        <v>7</v>
      </c>
      <c r="M225" s="14">
        <f>VLOOKUP(B225,weights!A:G,7,FALSE)</f>
        <v>10</v>
      </c>
      <c r="N225" t="s">
        <v>3675</v>
      </c>
      <c r="O225">
        <v>378</v>
      </c>
      <c r="P225">
        <v>48.857420037499999</v>
      </c>
      <c r="Q225">
        <v>2.3681082907</v>
      </c>
      <c r="R225" s="22"/>
      <c r="S225" s="22"/>
      <c r="T225" s="22"/>
      <c r="U225" s="24">
        <f>R225+S225/60+T225/3600</f>
        <v>0</v>
      </c>
      <c r="V225" s="28">
        <f>ABS(U225-P225)/P225</f>
        <v>1</v>
      </c>
      <c r="W225" s="22"/>
      <c r="X225" s="22"/>
      <c r="Y225" s="22"/>
      <c r="Z225" s="14">
        <f>W225+X225/60+Y225/3600</f>
        <v>0</v>
      </c>
      <c r="AA225" s="26">
        <f>ABS(Z225-Q225)/Q225</f>
        <v>1</v>
      </c>
      <c r="AB225" s="26"/>
      <c r="AC225" s="14">
        <f>P225</f>
        <v>48.857420037499999</v>
      </c>
      <c r="AD225" s="14">
        <f>Q225</f>
        <v>2.3681082907</v>
      </c>
    </row>
    <row r="226" spans="1:30" s="14" customFormat="1">
      <c r="A226" s="12">
        <v>20</v>
      </c>
      <c r="B226" s="12" t="s">
        <v>220</v>
      </c>
      <c r="C226" s="14" t="str">
        <f>VLOOKUP(B226,weights!A:B,2,FALSE)</f>
        <v>P</v>
      </c>
      <c r="D226" s="13">
        <v>224</v>
      </c>
      <c r="E226" s="14" t="s">
        <v>51</v>
      </c>
      <c r="G226" s="14" t="s">
        <v>380</v>
      </c>
      <c r="H226" s="18" t="s">
        <v>1705</v>
      </c>
      <c r="I226" s="18"/>
      <c r="K226" s="14">
        <f>VLOOKUP(B226,weights!A:G,5,FALSE)</f>
        <v>1.37</v>
      </c>
      <c r="L226" s="14">
        <f>VLOOKUP(B226,weights!A:G,6,FALSE)</f>
        <v>7</v>
      </c>
      <c r="M226" s="14">
        <f>VLOOKUP(B226,weights!A:G,7,FALSE)</f>
        <v>10</v>
      </c>
      <c r="N226" t="s">
        <v>3287</v>
      </c>
      <c r="O226">
        <v>324</v>
      </c>
      <c r="P226">
        <v>48.853436962300002</v>
      </c>
      <c r="Q226">
        <v>2.36873657263</v>
      </c>
      <c r="R226" s="22"/>
      <c r="S226" s="22"/>
      <c r="T226" s="22"/>
      <c r="U226" s="24">
        <f>R226+S226/60+T226/3600</f>
        <v>0</v>
      </c>
      <c r="V226" s="28">
        <f>ABS(U226-P226)/P226</f>
        <v>1</v>
      </c>
      <c r="W226" s="22"/>
      <c r="X226" s="22"/>
      <c r="Y226" s="22"/>
      <c r="Z226" s="14">
        <f>W226+X226/60+Y226/3600</f>
        <v>0</v>
      </c>
      <c r="AA226" s="26">
        <f>ABS(Z226-Q226)/Q226</f>
        <v>1</v>
      </c>
      <c r="AB226" s="26"/>
      <c r="AC226" s="14">
        <f>P226</f>
        <v>48.853436962300002</v>
      </c>
      <c r="AD226" s="14">
        <f>Q226</f>
        <v>2.36873657263</v>
      </c>
    </row>
    <row r="227" spans="1:30" s="14" customFormat="1">
      <c r="A227" s="12">
        <v>21</v>
      </c>
      <c r="B227" s="12" t="s">
        <v>220</v>
      </c>
      <c r="C227" s="14" t="str">
        <f>VLOOKUP(B227,weights!A:B,2,FALSE)</f>
        <v>P</v>
      </c>
      <c r="D227" s="13">
        <v>225</v>
      </c>
      <c r="E227" s="14" t="s">
        <v>360</v>
      </c>
      <c r="H227" s="18"/>
      <c r="I227" s="18"/>
      <c r="K227" s="14">
        <f>VLOOKUP(B227,weights!A:G,5,FALSE)</f>
        <v>1.37</v>
      </c>
      <c r="L227" s="14">
        <f>VLOOKUP(B227,weights!A:G,6,FALSE)</f>
        <v>7</v>
      </c>
      <c r="M227" s="14">
        <f>VLOOKUP(B227,weights!A:G,7,FALSE)</f>
        <v>10</v>
      </c>
      <c r="N227" t="s">
        <v>4539</v>
      </c>
      <c r="O227">
        <v>379</v>
      </c>
      <c r="P227">
        <v>48.8512711264</v>
      </c>
      <c r="Q227">
        <v>2.3761187747000001</v>
      </c>
      <c r="R227" s="22"/>
      <c r="S227" s="22"/>
      <c r="T227" s="22"/>
      <c r="U227" s="24">
        <f>R227+S227/60+T227/3600</f>
        <v>0</v>
      </c>
      <c r="V227" s="28">
        <f>ABS(U227-P227)/P227</f>
        <v>1</v>
      </c>
      <c r="W227" s="22"/>
      <c r="X227" s="22"/>
      <c r="Y227" s="22"/>
      <c r="Z227" s="14">
        <f>W227+X227/60+Y227/3600</f>
        <v>0</v>
      </c>
      <c r="AA227" s="26">
        <f>ABS(Z227-Q227)/Q227</f>
        <v>1</v>
      </c>
      <c r="AB227" s="26"/>
      <c r="AC227" s="14">
        <f>P227</f>
        <v>48.8512711264</v>
      </c>
      <c r="AD227" s="14">
        <f>Q227</f>
        <v>2.3761187747000001</v>
      </c>
    </row>
    <row r="228" spans="1:30" s="14" customFormat="1">
      <c r="A228" s="12">
        <v>22</v>
      </c>
      <c r="B228" s="12" t="s">
        <v>220</v>
      </c>
      <c r="C228" s="14" t="str">
        <f>VLOOKUP(B228,weights!A:B,2,FALSE)</f>
        <v>P</v>
      </c>
      <c r="D228" s="13">
        <v>226</v>
      </c>
      <c r="E228" s="14" t="s">
        <v>361</v>
      </c>
      <c r="H228" s="18"/>
      <c r="I228" s="18"/>
      <c r="K228" s="14">
        <f>VLOOKUP(B228,weights!A:G,5,FALSE)</f>
        <v>1.37</v>
      </c>
      <c r="L228" s="14">
        <f>VLOOKUP(B228,weights!A:G,6,FALSE)</f>
        <v>7</v>
      </c>
      <c r="M228" s="14">
        <f>VLOOKUP(B228,weights!A:G,7,FALSE)</f>
        <v>10</v>
      </c>
      <c r="N228" t="s">
        <v>4008</v>
      </c>
      <c r="O228">
        <v>155</v>
      </c>
      <c r="P228">
        <v>48.850177861900001</v>
      </c>
      <c r="Q228">
        <v>2.3840922100699999</v>
      </c>
      <c r="R228" s="22"/>
      <c r="S228" s="22"/>
      <c r="T228" s="22"/>
      <c r="U228" s="24">
        <f>R228+S228/60+T228/3600</f>
        <v>0</v>
      </c>
      <c r="V228" s="28">
        <f>ABS(U228-P228)/P228</f>
        <v>1</v>
      </c>
      <c r="W228" s="22"/>
      <c r="X228" s="22"/>
      <c r="Y228" s="22"/>
      <c r="Z228" s="14">
        <f>W228+X228/60+Y228/3600</f>
        <v>0</v>
      </c>
      <c r="AA228" s="26">
        <f>ABS(Z228-Q228)/Q228</f>
        <v>1</v>
      </c>
      <c r="AB228" s="26"/>
      <c r="AC228" s="14">
        <f>P228</f>
        <v>48.850177861900001</v>
      </c>
      <c r="AD228" s="14">
        <f>Q228</f>
        <v>2.3840922100699999</v>
      </c>
    </row>
    <row r="229" spans="1:30" s="14" customFormat="1">
      <c r="A229" s="12">
        <v>23</v>
      </c>
      <c r="B229" s="12" t="s">
        <v>220</v>
      </c>
      <c r="C229" s="14" t="str">
        <f>VLOOKUP(B229,weights!A:B,2,FALSE)</f>
        <v>P</v>
      </c>
      <c r="D229" s="13">
        <v>227</v>
      </c>
      <c r="E229" s="14" t="s">
        <v>55</v>
      </c>
      <c r="G229" s="14" t="s">
        <v>115</v>
      </c>
      <c r="H229" s="18" t="s">
        <v>1706</v>
      </c>
      <c r="I229" s="18"/>
      <c r="K229" s="14">
        <f>VLOOKUP(B229,weights!A:G,5,FALSE)</f>
        <v>1.37</v>
      </c>
      <c r="L229" s="14">
        <f>VLOOKUP(B229,weights!A:G,6,FALSE)</f>
        <v>7</v>
      </c>
      <c r="M229" s="14">
        <f>VLOOKUP(B229,weights!A:G,7,FALSE)</f>
        <v>10</v>
      </c>
      <c r="N229" t="s">
        <v>5437</v>
      </c>
      <c r="O229">
        <v>202</v>
      </c>
      <c r="P229">
        <v>48.847354516899998</v>
      </c>
      <c r="Q229">
        <v>2.3868084457799998</v>
      </c>
      <c r="R229" s="22"/>
      <c r="S229" s="22"/>
      <c r="T229" s="22"/>
      <c r="U229" s="24">
        <f>R229+S229/60+T229/3600</f>
        <v>0</v>
      </c>
      <c r="V229" s="28">
        <f>ABS(U229-P229)/P229</f>
        <v>1</v>
      </c>
      <c r="W229" s="22"/>
      <c r="X229" s="22"/>
      <c r="Y229" s="22"/>
      <c r="Z229" s="14">
        <f>W229+X229/60+Y229/3600</f>
        <v>0</v>
      </c>
      <c r="AA229" s="26">
        <f>ABS(Z229-Q229)/Q229</f>
        <v>1</v>
      </c>
      <c r="AB229" s="26"/>
      <c r="AC229" s="14">
        <f>P229</f>
        <v>48.847354516899998</v>
      </c>
      <c r="AD229" s="14">
        <f>Q229</f>
        <v>2.3868084457799998</v>
      </c>
    </row>
    <row r="230" spans="1:30" s="14" customFormat="1">
      <c r="A230" s="12">
        <v>24</v>
      </c>
      <c r="B230" s="12" t="s">
        <v>220</v>
      </c>
      <c r="C230" s="14" t="str">
        <f>VLOOKUP(B230,weights!A:B,2,FALSE)</f>
        <v>P</v>
      </c>
      <c r="D230" s="13">
        <v>228</v>
      </c>
      <c r="E230" s="14" t="s">
        <v>362</v>
      </c>
      <c r="H230" s="18"/>
      <c r="I230" s="18"/>
      <c r="K230" s="14">
        <f>VLOOKUP(B230,weights!A:G,5,FALSE)</f>
        <v>1.37</v>
      </c>
      <c r="L230" s="14">
        <f>VLOOKUP(B230,weights!A:G,6,FALSE)</f>
        <v>7</v>
      </c>
      <c r="M230" s="14">
        <f>VLOOKUP(B230,weights!A:G,7,FALSE)</f>
        <v>10</v>
      </c>
      <c r="N230" t="s">
        <v>4904</v>
      </c>
      <c r="O230">
        <v>68</v>
      </c>
      <c r="P230">
        <v>48.844408672100002</v>
      </c>
      <c r="Q230">
        <v>2.39007511282</v>
      </c>
      <c r="R230" s="22"/>
      <c r="S230" s="22"/>
      <c r="T230" s="22"/>
      <c r="U230" s="24">
        <f>R230+S230/60+T230/3600</f>
        <v>0</v>
      </c>
      <c r="V230" s="28">
        <f>ABS(U230-P230)/P230</f>
        <v>1</v>
      </c>
      <c r="W230" s="22"/>
      <c r="X230" s="22"/>
      <c r="Y230" s="22"/>
      <c r="Z230" s="14">
        <f>W230+X230/60+Y230/3600</f>
        <v>0</v>
      </c>
      <c r="AA230" s="26">
        <f>ABS(Z230-Q230)/Q230</f>
        <v>1</v>
      </c>
      <c r="AB230" s="26"/>
      <c r="AC230" s="14">
        <f>P230</f>
        <v>48.844408672100002</v>
      </c>
      <c r="AD230" s="14">
        <f>Q230</f>
        <v>2.39007511282</v>
      </c>
    </row>
    <row r="231" spans="1:30" s="14" customFormat="1">
      <c r="A231" s="12">
        <v>25</v>
      </c>
      <c r="B231" s="12" t="s">
        <v>220</v>
      </c>
      <c r="C231" s="14" t="str">
        <f>VLOOKUP(B231,weights!A:B,2,FALSE)</f>
        <v>P</v>
      </c>
      <c r="D231" s="13">
        <v>229</v>
      </c>
      <c r="E231" s="14" t="s">
        <v>240</v>
      </c>
      <c r="G231" s="14" t="s">
        <v>196</v>
      </c>
      <c r="H231" s="18" t="s">
        <v>1707</v>
      </c>
      <c r="I231" s="18"/>
      <c r="K231" s="14">
        <f>VLOOKUP(B231,weights!A:G,5,FALSE)</f>
        <v>1.37</v>
      </c>
      <c r="L231" s="14">
        <f>VLOOKUP(B231,weights!A:G,6,FALSE)</f>
        <v>7</v>
      </c>
      <c r="M231" s="14">
        <f>VLOOKUP(B231,weights!A:G,7,FALSE)</f>
        <v>10</v>
      </c>
      <c r="N231" t="s">
        <v>3836</v>
      </c>
      <c r="O231">
        <v>363</v>
      </c>
      <c r="P231">
        <v>48.839567198300003</v>
      </c>
      <c r="Q231">
        <v>2.3959529265900001</v>
      </c>
      <c r="R231" s="22"/>
      <c r="S231" s="22"/>
      <c r="T231" s="22"/>
      <c r="U231" s="24">
        <f>R231+S231/60+T231/3600</f>
        <v>0</v>
      </c>
      <c r="V231" s="28">
        <f>ABS(U231-P231)/P231</f>
        <v>1</v>
      </c>
      <c r="W231" s="22"/>
      <c r="X231" s="22"/>
      <c r="Y231" s="22"/>
      <c r="Z231" s="14">
        <f>W231+X231/60+Y231/3600</f>
        <v>0</v>
      </c>
      <c r="AA231" s="26">
        <f>ABS(Z231-Q231)/Q231</f>
        <v>1</v>
      </c>
      <c r="AB231" s="26"/>
      <c r="AC231" s="14">
        <f>P231</f>
        <v>48.839567198300003</v>
      </c>
      <c r="AD231" s="14">
        <f>Q231</f>
        <v>2.3959529265900001</v>
      </c>
    </row>
    <row r="232" spans="1:30" s="14" customFormat="1">
      <c r="A232" s="12">
        <v>26</v>
      </c>
      <c r="B232" s="12" t="s">
        <v>220</v>
      </c>
      <c r="C232" s="14" t="str">
        <f>VLOOKUP(B232,weights!A:B,2,FALSE)</f>
        <v>P</v>
      </c>
      <c r="D232" s="13">
        <v>230</v>
      </c>
      <c r="E232" s="14" t="s">
        <v>363</v>
      </c>
      <c r="H232" s="18"/>
      <c r="I232" s="18"/>
      <c r="K232" s="14">
        <f>VLOOKUP(B232,weights!A:G,5,FALSE)</f>
        <v>1.37</v>
      </c>
      <c r="L232" s="14">
        <f>VLOOKUP(B232,weights!A:G,6,FALSE)</f>
        <v>7</v>
      </c>
      <c r="M232" s="14">
        <f>VLOOKUP(B232,weights!A:G,7,FALSE)</f>
        <v>10</v>
      </c>
      <c r="N232" t="s">
        <v>4865</v>
      </c>
      <c r="O232">
        <v>69</v>
      </c>
      <c r="P232">
        <v>48.837117007000003</v>
      </c>
      <c r="Q232">
        <v>2.40233316592</v>
      </c>
      <c r="R232" s="22"/>
      <c r="S232" s="22"/>
      <c r="T232" s="22"/>
      <c r="U232" s="24">
        <f>R232+S232/60+T232/3600</f>
        <v>0</v>
      </c>
      <c r="V232" s="28">
        <f>ABS(U232-P232)/P232</f>
        <v>1</v>
      </c>
      <c r="W232" s="22"/>
      <c r="X232" s="22"/>
      <c r="Y232" s="22"/>
      <c r="Z232" s="14">
        <f>W232+X232/60+Y232/3600</f>
        <v>0</v>
      </c>
      <c r="AA232" s="26">
        <f>ABS(Z232-Q232)/Q232</f>
        <v>1</v>
      </c>
      <c r="AB232" s="26"/>
      <c r="AC232" s="14">
        <f>P232</f>
        <v>48.837117007000003</v>
      </c>
      <c r="AD232" s="14">
        <f>Q232</f>
        <v>2.40233316592</v>
      </c>
    </row>
    <row r="233" spans="1:30" s="14" customFormat="1">
      <c r="A233" s="12">
        <v>27</v>
      </c>
      <c r="B233" s="12" t="s">
        <v>220</v>
      </c>
      <c r="C233" s="14" t="str">
        <f>VLOOKUP(B233,weights!A:B,2,FALSE)</f>
        <v>P</v>
      </c>
      <c r="D233" s="13">
        <v>231</v>
      </c>
      <c r="E233" s="14" t="s">
        <v>364</v>
      </c>
      <c r="G233" s="14" t="s">
        <v>198</v>
      </c>
      <c r="H233" s="18"/>
      <c r="I233" s="18" t="s">
        <v>1708</v>
      </c>
      <c r="K233" s="14">
        <f>VLOOKUP(B233,weights!A:G,5,FALSE)</f>
        <v>1.37</v>
      </c>
      <c r="L233" s="14">
        <f>VLOOKUP(B233,weights!A:G,6,FALSE)</f>
        <v>7</v>
      </c>
      <c r="M233" s="14">
        <f>VLOOKUP(B233,weights!A:G,7,FALSE)</f>
        <v>10</v>
      </c>
      <c r="N233" t="s">
        <v>5371</v>
      </c>
      <c r="O233">
        <v>639</v>
      </c>
      <c r="P233">
        <v>48.834764459900001</v>
      </c>
      <c r="Q233">
        <v>2.4053493429500001</v>
      </c>
      <c r="R233" s="22"/>
      <c r="S233" s="22"/>
      <c r="T233" s="22"/>
      <c r="U233" s="24">
        <f>R233+S233/60+T233/3600</f>
        <v>0</v>
      </c>
      <c r="V233" s="28">
        <f>ABS(U233-P233)/P233</f>
        <v>1</v>
      </c>
      <c r="W233" s="22"/>
      <c r="X233" s="22"/>
      <c r="Y233" s="22"/>
      <c r="Z233" s="14">
        <f>W233+X233/60+Y233/3600</f>
        <v>0</v>
      </c>
      <c r="AA233" s="26">
        <f>ABS(Z233-Q233)/Q233</f>
        <v>1</v>
      </c>
      <c r="AB233" s="26"/>
      <c r="AC233" s="14">
        <f>P233</f>
        <v>48.834764459900001</v>
      </c>
      <c r="AD233" s="14">
        <f>Q233</f>
        <v>2.4053493429500001</v>
      </c>
    </row>
    <row r="234" spans="1:30" s="14" customFormat="1">
      <c r="A234" s="12">
        <v>28</v>
      </c>
      <c r="B234" s="12" t="s">
        <v>220</v>
      </c>
      <c r="C234" s="14" t="str">
        <f>VLOOKUP(B234,weights!A:B,2,FALSE)</f>
        <v>P</v>
      </c>
      <c r="D234" s="13">
        <v>232</v>
      </c>
      <c r="E234" s="14" t="s">
        <v>365</v>
      </c>
      <c r="G234" s="14" t="s">
        <v>198</v>
      </c>
      <c r="H234" s="18"/>
      <c r="I234" s="18" t="s">
        <v>1709</v>
      </c>
      <c r="K234" s="14">
        <f>VLOOKUP(B234,weights!A:G,5,FALSE)</f>
        <v>1.37</v>
      </c>
      <c r="L234" s="14">
        <f>VLOOKUP(B234,weights!A:G,6,FALSE)</f>
        <v>7</v>
      </c>
      <c r="M234" s="14">
        <f>VLOOKUP(B234,weights!A:G,7,FALSE)</f>
        <v>10</v>
      </c>
      <c r="N234" t="s">
        <v>5310</v>
      </c>
      <c r="O234">
        <v>641</v>
      </c>
      <c r="P234">
        <v>48.832304960499997</v>
      </c>
      <c r="Q234">
        <v>2.39918151028</v>
      </c>
      <c r="R234" s="22"/>
      <c r="S234" s="22"/>
      <c r="T234" s="22"/>
      <c r="U234" s="24">
        <f>R234+S234/60+T234/3600</f>
        <v>0</v>
      </c>
      <c r="V234" s="28">
        <f>ABS(U234-P234)/P234</f>
        <v>1</v>
      </c>
      <c r="W234" s="22"/>
      <c r="X234" s="22"/>
      <c r="Y234" s="22"/>
      <c r="Z234" s="14">
        <f>W234+X234/60+Y234/3600</f>
        <v>0</v>
      </c>
      <c r="AA234" s="26">
        <f>ABS(Z234-Q234)/Q234</f>
        <v>1</v>
      </c>
      <c r="AB234" s="26"/>
      <c r="AC234" s="14">
        <f>P234</f>
        <v>48.832304960499997</v>
      </c>
      <c r="AD234" s="14">
        <f>Q234</f>
        <v>2.39918151028</v>
      </c>
    </row>
    <row r="235" spans="1:30" s="14" customFormat="1">
      <c r="A235" s="12">
        <v>29</v>
      </c>
      <c r="B235" s="12" t="s">
        <v>220</v>
      </c>
      <c r="C235" s="14" t="str">
        <f>VLOOKUP(B235,weights!A:B,2,FALSE)</f>
        <v>P</v>
      </c>
      <c r="D235" s="13">
        <v>233</v>
      </c>
      <c r="E235" s="14" t="s">
        <v>366</v>
      </c>
      <c r="G235" s="15"/>
      <c r="H235" s="18"/>
      <c r="I235" s="18"/>
      <c r="K235" s="14">
        <f>VLOOKUP(B235,weights!A:G,5,FALSE)</f>
        <v>1.37</v>
      </c>
      <c r="L235" s="14">
        <f>VLOOKUP(B235,weights!A:G,6,FALSE)</f>
        <v>7</v>
      </c>
      <c r="M235" s="14">
        <f>VLOOKUP(B235,weights!A:G,7,FALSE)</f>
        <v>10</v>
      </c>
      <c r="N235" t="s">
        <v>4626</v>
      </c>
      <c r="O235">
        <v>887</v>
      </c>
      <c r="P235">
        <v>48.826054999199997</v>
      </c>
      <c r="Q235">
        <v>2.4067422231700002</v>
      </c>
      <c r="R235" s="22"/>
      <c r="S235" s="22"/>
      <c r="T235" s="22"/>
      <c r="U235" s="24">
        <f>R235+S235/60+T235/3600</f>
        <v>0</v>
      </c>
      <c r="V235" s="28">
        <f>ABS(U235-P235)/P235</f>
        <v>1</v>
      </c>
      <c r="W235" s="22"/>
      <c r="X235" s="22"/>
      <c r="Y235" s="22"/>
      <c r="Z235" s="14">
        <f>W235+X235/60+Y235/3600</f>
        <v>0</v>
      </c>
      <c r="AA235" s="26">
        <f>ABS(Z235-Q235)/Q235</f>
        <v>1</v>
      </c>
      <c r="AB235" s="26"/>
      <c r="AC235" s="14">
        <f>P235</f>
        <v>48.826054999199997</v>
      </c>
      <c r="AD235" s="14">
        <f>Q235</f>
        <v>2.4067422231700002</v>
      </c>
    </row>
    <row r="236" spans="1:30" s="14" customFormat="1">
      <c r="A236" s="12">
        <v>30</v>
      </c>
      <c r="B236" s="12" t="s">
        <v>220</v>
      </c>
      <c r="C236" s="14" t="str">
        <f>VLOOKUP(B236,weights!A:B,2,FALSE)</f>
        <v>P</v>
      </c>
      <c r="D236" s="13">
        <v>234</v>
      </c>
      <c r="E236" s="14" t="s">
        <v>367</v>
      </c>
      <c r="G236" s="15"/>
      <c r="H236" s="18"/>
      <c r="I236" s="18"/>
      <c r="K236" s="14">
        <f>VLOOKUP(B236,weights!A:G,5,FALSE)</f>
        <v>1.37</v>
      </c>
      <c r="L236" s="14">
        <f>VLOOKUP(B236,weights!A:G,6,FALSE)</f>
        <v>7</v>
      </c>
      <c r="M236" s="14">
        <f>VLOOKUP(B236,weights!A:G,7,FALSE)</f>
        <v>10</v>
      </c>
      <c r="N236" t="s">
        <v>3591</v>
      </c>
      <c r="O236">
        <v>380</v>
      </c>
      <c r="P236">
        <v>48.821595767300003</v>
      </c>
      <c r="Q236">
        <v>2.4137375161499999</v>
      </c>
      <c r="R236" s="22"/>
      <c r="S236" s="22"/>
      <c r="T236" s="22"/>
      <c r="U236" s="24">
        <f>R236+S236/60+T236/3600</f>
        <v>0</v>
      </c>
      <c r="V236" s="28">
        <f>ABS(U236-P236)/P236</f>
        <v>1</v>
      </c>
      <c r="W236" s="22"/>
      <c r="X236" s="22"/>
      <c r="Y236" s="22"/>
      <c r="Z236" s="14">
        <f>W236+X236/60+Y236/3600</f>
        <v>0</v>
      </c>
      <c r="AA236" s="26">
        <f>ABS(Z236-Q236)/Q236</f>
        <v>1</v>
      </c>
      <c r="AB236" s="26"/>
      <c r="AC236" s="14">
        <f>P236</f>
        <v>48.821595767300003</v>
      </c>
      <c r="AD236" s="14">
        <f>Q236</f>
        <v>2.4137375161499999</v>
      </c>
    </row>
    <row r="237" spans="1:30" s="14" customFormat="1">
      <c r="A237" s="12">
        <v>31</v>
      </c>
      <c r="B237" s="12" t="s">
        <v>220</v>
      </c>
      <c r="C237" s="14" t="str">
        <f>VLOOKUP(B237,weights!A:B,2,FALSE)</f>
        <v>P</v>
      </c>
      <c r="D237" s="13">
        <v>235</v>
      </c>
      <c r="E237" s="14" t="s">
        <v>368</v>
      </c>
      <c r="G237" s="15"/>
      <c r="H237" s="18"/>
      <c r="I237" s="18"/>
      <c r="K237" s="14">
        <f>VLOOKUP(B237,weights!A:G,5,FALSE)</f>
        <v>1.37</v>
      </c>
      <c r="L237" s="14">
        <f>VLOOKUP(B237,weights!A:G,6,FALSE)</f>
        <v>7</v>
      </c>
      <c r="M237" s="14">
        <f>VLOOKUP(B237,weights!A:G,7,FALSE)</f>
        <v>10</v>
      </c>
      <c r="N237" t="s">
        <v>3905</v>
      </c>
      <c r="O237">
        <v>888</v>
      </c>
      <c r="P237">
        <v>48.814803007000002</v>
      </c>
      <c r="Q237">
        <v>2.4223761428500001</v>
      </c>
      <c r="R237" s="22"/>
      <c r="S237" s="22"/>
      <c r="T237" s="22"/>
      <c r="U237" s="24">
        <f>R237+S237/60+T237/3600</f>
        <v>0</v>
      </c>
      <c r="V237" s="28">
        <f>ABS(U237-P237)/P237</f>
        <v>1</v>
      </c>
      <c r="W237" s="22"/>
      <c r="X237" s="22"/>
      <c r="Y237" s="22"/>
      <c r="Z237" s="14">
        <f>W237+X237/60+Y237/3600</f>
        <v>0</v>
      </c>
      <c r="AA237" s="26">
        <f>ABS(Z237-Q237)/Q237</f>
        <v>1</v>
      </c>
      <c r="AB237" s="26"/>
      <c r="AC237" s="14">
        <f>P237</f>
        <v>48.814803007000002</v>
      </c>
      <c r="AD237" s="14">
        <f>Q237</f>
        <v>2.4223761428500001</v>
      </c>
    </row>
    <row r="238" spans="1:30" s="14" customFormat="1">
      <c r="A238" s="12">
        <v>32</v>
      </c>
      <c r="B238" s="12" t="s">
        <v>220</v>
      </c>
      <c r="C238" s="14" t="str">
        <f>VLOOKUP(B238,weights!A:B,2,FALSE)</f>
        <v>P</v>
      </c>
      <c r="D238" s="13">
        <v>236</v>
      </c>
      <c r="E238" s="14" t="s">
        <v>369</v>
      </c>
      <c r="G238" s="15"/>
      <c r="H238" s="18"/>
      <c r="I238" s="18"/>
      <c r="K238" s="14">
        <f>VLOOKUP(B238,weights!A:G,5,FALSE)</f>
        <v>1.37</v>
      </c>
      <c r="L238" s="14">
        <f>VLOOKUP(B238,weights!A:G,6,FALSE)</f>
        <v>7</v>
      </c>
      <c r="M238" s="14">
        <f>VLOOKUP(B238,weights!A:G,7,FALSE)</f>
        <v>10</v>
      </c>
      <c r="N238" t="s">
        <v>4742</v>
      </c>
      <c r="O238">
        <v>889</v>
      </c>
      <c r="P238">
        <v>48.8091443609</v>
      </c>
      <c r="Q238">
        <v>2.4345098959299998</v>
      </c>
      <c r="R238" s="22"/>
      <c r="S238" s="22"/>
      <c r="T238" s="22"/>
      <c r="U238" s="24">
        <f>R238+S238/60+T238/3600</f>
        <v>0</v>
      </c>
      <c r="V238" s="28">
        <f>ABS(U238-P238)/P238</f>
        <v>1</v>
      </c>
      <c r="W238" s="22"/>
      <c r="X238" s="22"/>
      <c r="Y238" s="22"/>
      <c r="Z238" s="14">
        <f>W238+X238/60+Y238/3600</f>
        <v>0</v>
      </c>
      <c r="AA238" s="26">
        <f>ABS(Z238-Q238)/Q238</f>
        <v>1</v>
      </c>
      <c r="AB238" s="26"/>
      <c r="AC238" s="14">
        <f>P238</f>
        <v>48.8091443609</v>
      </c>
      <c r="AD238" s="14">
        <f>Q238</f>
        <v>2.4345098959299998</v>
      </c>
    </row>
    <row r="239" spans="1:30" s="14" customFormat="1">
      <c r="A239" s="12">
        <v>33</v>
      </c>
      <c r="B239" s="12" t="s">
        <v>220</v>
      </c>
      <c r="C239" s="14" t="str">
        <f>VLOOKUP(B239,weights!A:B,2,FALSE)</f>
        <v>P</v>
      </c>
      <c r="D239" s="13">
        <v>237</v>
      </c>
      <c r="E239" s="14" t="s">
        <v>370</v>
      </c>
      <c r="G239" s="15"/>
      <c r="H239" s="18"/>
      <c r="I239" s="18"/>
      <c r="K239" s="14">
        <f>VLOOKUP(B239,weights!A:G,5,FALSE)</f>
        <v>1.37</v>
      </c>
      <c r="L239" s="14">
        <f>VLOOKUP(B239,weights!A:G,6,FALSE)</f>
        <v>7</v>
      </c>
      <c r="M239" s="14">
        <f>VLOOKUP(B239,weights!A:G,7,FALSE)</f>
        <v>10</v>
      </c>
      <c r="N239" t="s">
        <v>4739</v>
      </c>
      <c r="O239">
        <v>156</v>
      </c>
      <c r="P239">
        <v>48.802637690700003</v>
      </c>
      <c r="Q239">
        <v>2.4469274842400002</v>
      </c>
      <c r="R239" s="22"/>
      <c r="S239" s="22"/>
      <c r="T239" s="22"/>
      <c r="U239" s="24">
        <f>R239+S239/60+T239/3600</f>
        <v>0</v>
      </c>
      <c r="V239" s="28">
        <f>ABS(U239-P239)/P239</f>
        <v>1</v>
      </c>
      <c r="W239" s="22"/>
      <c r="X239" s="22"/>
      <c r="Y239" s="22"/>
      <c r="Z239" s="14">
        <f>W239+X239/60+Y239/3600</f>
        <v>0</v>
      </c>
      <c r="AA239" s="26">
        <f>ABS(Z239-Q239)/Q239</f>
        <v>1</v>
      </c>
      <c r="AB239" s="26"/>
      <c r="AC239" s="14">
        <f>P239</f>
        <v>48.802637690700003</v>
      </c>
      <c r="AD239" s="14">
        <f>Q239</f>
        <v>2.4469274842400002</v>
      </c>
    </row>
    <row r="240" spans="1:30" s="14" customFormat="1">
      <c r="A240" s="12">
        <v>34</v>
      </c>
      <c r="B240" s="12" t="s">
        <v>220</v>
      </c>
      <c r="C240" s="14" t="str">
        <f>VLOOKUP(B240,weights!A:B,2,FALSE)</f>
        <v>P</v>
      </c>
      <c r="D240" s="13">
        <v>238</v>
      </c>
      <c r="E240" s="14" t="s">
        <v>382</v>
      </c>
      <c r="G240" s="15"/>
      <c r="H240" s="18"/>
      <c r="I240" s="18"/>
      <c r="K240" s="14">
        <f>VLOOKUP(B240,weights!A:G,5,FALSE)</f>
        <v>1.37</v>
      </c>
      <c r="L240" s="14">
        <f>VLOOKUP(B240,weights!A:G,6,FALSE)</f>
        <v>7</v>
      </c>
      <c r="M240" s="14">
        <f>VLOOKUP(B240,weights!A:G,7,FALSE)</f>
        <v>10</v>
      </c>
      <c r="N240" t="s">
        <v>3806</v>
      </c>
      <c r="O240">
        <v>157</v>
      </c>
      <c r="P240">
        <v>48.796740766600003</v>
      </c>
      <c r="Q240">
        <v>2.4494331756899999</v>
      </c>
      <c r="R240" s="22"/>
      <c r="S240" s="22"/>
      <c r="T240" s="22"/>
      <c r="U240" s="24">
        <f>R240+S240/60+T240/3600</f>
        <v>0</v>
      </c>
      <c r="V240" s="28">
        <f>ABS(U240-P240)/P240</f>
        <v>1</v>
      </c>
      <c r="W240" s="22"/>
      <c r="X240" s="22"/>
      <c r="Y240" s="22"/>
      <c r="Z240" s="14">
        <f>W240+X240/60+Y240/3600</f>
        <v>0</v>
      </c>
      <c r="AA240" s="26">
        <f>ABS(Z240-Q240)/Q240</f>
        <v>1</v>
      </c>
      <c r="AB240" s="26"/>
      <c r="AC240" s="14">
        <f>P240</f>
        <v>48.796740766600003</v>
      </c>
      <c r="AD240" s="14">
        <f>Q240</f>
        <v>2.4494331756899999</v>
      </c>
    </row>
    <row r="241" spans="1:30" s="14" customFormat="1">
      <c r="A241" s="12">
        <v>35</v>
      </c>
      <c r="B241" s="12" t="s">
        <v>220</v>
      </c>
      <c r="C241" s="14" t="str">
        <f>VLOOKUP(B241,weights!A:B,2,FALSE)</f>
        <v>P</v>
      </c>
      <c r="D241" s="13">
        <v>239</v>
      </c>
      <c r="E241" s="14" t="s">
        <v>371</v>
      </c>
      <c r="G241" s="15"/>
      <c r="H241" s="18"/>
      <c r="I241" s="18"/>
      <c r="K241" s="14">
        <f>VLOOKUP(B241,weights!A:G,5,FALSE)</f>
        <v>1.37</v>
      </c>
      <c r="L241" s="14">
        <f>VLOOKUP(B241,weights!A:G,6,FALSE)</f>
        <v>7</v>
      </c>
      <c r="M241" s="14">
        <f>VLOOKUP(B241,weights!A:G,7,FALSE)</f>
        <v>10</v>
      </c>
      <c r="N241" t="s">
        <v>3815</v>
      </c>
      <c r="O241">
        <v>381</v>
      </c>
      <c r="P241">
        <v>48.7899783103</v>
      </c>
      <c r="Q241">
        <v>2.4504531779200001</v>
      </c>
      <c r="R241" s="22"/>
      <c r="S241" s="22"/>
      <c r="T241" s="22"/>
      <c r="U241" s="24">
        <f>R241+S241/60+T241/3600</f>
        <v>0</v>
      </c>
      <c r="V241" s="28">
        <f>ABS(U241-P241)/P241</f>
        <v>1</v>
      </c>
      <c r="W241" s="22"/>
      <c r="X241" s="22"/>
      <c r="Y241" s="22"/>
      <c r="Z241" s="14">
        <f>W241+X241/60+Y241/3600</f>
        <v>0</v>
      </c>
      <c r="AA241" s="26">
        <f>ABS(Z241-Q241)/Q241</f>
        <v>1</v>
      </c>
      <c r="AB241" s="26"/>
      <c r="AC241" s="14">
        <f>P241</f>
        <v>48.7899783103</v>
      </c>
      <c r="AD241" s="14">
        <f>Q241</f>
        <v>2.4504531779200001</v>
      </c>
    </row>
    <row r="242" spans="1:30" s="14" customFormat="1">
      <c r="A242" s="12">
        <v>36</v>
      </c>
      <c r="B242" s="12" t="s">
        <v>220</v>
      </c>
      <c r="C242" s="14" t="str">
        <f>VLOOKUP(B242,weights!A:B,2,FALSE)</f>
        <v>P</v>
      </c>
      <c r="D242" s="13">
        <v>240</v>
      </c>
      <c r="E242" s="14" t="s">
        <v>381</v>
      </c>
      <c r="G242" s="15"/>
      <c r="H242" s="18"/>
      <c r="I242" s="18"/>
      <c r="K242" s="14">
        <f>VLOOKUP(B242,weights!A:G,5,FALSE)</f>
        <v>1.37</v>
      </c>
      <c r="L242" s="14">
        <f>VLOOKUP(B242,weights!A:G,6,FALSE)</f>
        <v>7</v>
      </c>
      <c r="M242" s="14">
        <f>VLOOKUP(B242,weights!A:G,7,FALSE)</f>
        <v>10</v>
      </c>
      <c r="N242" t="s">
        <v>3812</v>
      </c>
      <c r="O242">
        <v>382</v>
      </c>
      <c r="P242">
        <v>48.779905317000001</v>
      </c>
      <c r="Q242">
        <v>2.4593683962599999</v>
      </c>
      <c r="R242" s="22"/>
      <c r="S242" s="22"/>
      <c r="T242" s="22"/>
      <c r="U242" s="24">
        <f>R242+S242/60+T242/3600</f>
        <v>0</v>
      </c>
      <c r="V242" s="28">
        <f>ABS(U242-P242)/P242</f>
        <v>1</v>
      </c>
      <c r="W242" s="22"/>
      <c r="X242" s="22"/>
      <c r="Y242" s="22"/>
      <c r="Z242" s="14">
        <f>W242+X242/60+Y242/3600</f>
        <v>0</v>
      </c>
      <c r="AA242" s="26">
        <f>ABS(Z242-Q242)/Q242</f>
        <v>1</v>
      </c>
      <c r="AB242" s="26"/>
      <c r="AC242" s="14">
        <f>P242</f>
        <v>48.779905317000001</v>
      </c>
      <c r="AD242" s="14">
        <f>Q242</f>
        <v>2.4593683962599999</v>
      </c>
    </row>
    <row r="243" spans="1:30" s="14" customFormat="1">
      <c r="A243" s="12">
        <v>37</v>
      </c>
      <c r="B243" s="12" t="s">
        <v>220</v>
      </c>
      <c r="C243" s="14" t="str">
        <f>VLOOKUP(B243,weights!A:B,2,FALSE)</f>
        <v>P</v>
      </c>
      <c r="D243" s="13">
        <v>241</v>
      </c>
      <c r="E243" s="14" t="s">
        <v>372</v>
      </c>
      <c r="G243" s="15"/>
      <c r="H243" s="18"/>
      <c r="I243" s="18"/>
      <c r="K243" s="14">
        <f>VLOOKUP(B243,weights!A:G,5,FALSE)</f>
        <v>1.37</v>
      </c>
      <c r="L243" s="14">
        <f>VLOOKUP(B243,weights!A:G,6,FALSE)</f>
        <v>7</v>
      </c>
      <c r="M243" s="14">
        <f>VLOOKUP(B243,weights!A:G,7,FALSE)</f>
        <v>10</v>
      </c>
      <c r="N243" t="s">
        <v>3809</v>
      </c>
      <c r="O243">
        <v>450</v>
      </c>
      <c r="P243">
        <v>48.768715125299998</v>
      </c>
      <c r="Q243">
        <v>2.4645649932100002</v>
      </c>
      <c r="R243" s="22"/>
      <c r="S243" s="22"/>
      <c r="T243" s="22"/>
      <c r="U243" s="24">
        <f>R243+S243/60+T243/3600</f>
        <v>0</v>
      </c>
      <c r="V243" s="28">
        <f>ABS(U243-P243)/P243</f>
        <v>1</v>
      </c>
      <c r="W243" s="22"/>
      <c r="X243" s="22"/>
      <c r="Y243" s="22"/>
      <c r="Z243" s="14">
        <f>W243+X243/60+Y243/3600</f>
        <v>0</v>
      </c>
      <c r="AA243" s="26">
        <f>ABS(Z243-Q243)/Q243</f>
        <v>1</v>
      </c>
      <c r="AB243" s="26"/>
      <c r="AC243" s="14">
        <f>P243</f>
        <v>48.768715125299998</v>
      </c>
      <c r="AD243" s="14">
        <f>Q243</f>
        <v>2.4645649932100002</v>
      </c>
    </row>
    <row r="244" spans="1:30" s="14" customFormat="1">
      <c r="A244" s="12">
        <v>0</v>
      </c>
      <c r="B244" s="12" t="s">
        <v>71</v>
      </c>
      <c r="C244" s="14" t="str">
        <f>VLOOKUP(B244,weights!A:B,2,FALSE)</f>
        <v>P</v>
      </c>
      <c r="D244" s="13">
        <v>242</v>
      </c>
      <c r="E244" s="14" t="s">
        <v>383</v>
      </c>
      <c r="G244" s="14" t="s">
        <v>759</v>
      </c>
      <c r="H244" s="18"/>
      <c r="I244" s="18" t="s">
        <v>1710</v>
      </c>
      <c r="K244" s="14">
        <f>VLOOKUP(B244,weights!A:G,5,FALSE)</f>
        <v>1.41</v>
      </c>
      <c r="L244" s="14">
        <f>VLOOKUP(B244,weights!A:G,6,FALSE)</f>
        <v>7</v>
      </c>
      <c r="M244" s="14">
        <f>VLOOKUP(B244,weights!A:G,7,FALSE)</f>
        <v>10</v>
      </c>
      <c r="N244" t="s">
        <v>5240</v>
      </c>
      <c r="O244">
        <v>254</v>
      </c>
      <c r="P244">
        <v>48.829674843799999</v>
      </c>
      <c r="Q244">
        <v>2.2307995913199998</v>
      </c>
      <c r="R244" s="22"/>
      <c r="S244" s="22"/>
      <c r="T244" s="22"/>
      <c r="U244" s="24">
        <f>R244+S244/60+T244/3600</f>
        <v>0</v>
      </c>
      <c r="V244" s="28">
        <f>ABS(U244-P244)/P244</f>
        <v>1</v>
      </c>
      <c r="W244" s="22"/>
      <c r="X244" s="22"/>
      <c r="Y244" s="22"/>
      <c r="Z244" s="14">
        <f>W244+X244/60+Y244/3600</f>
        <v>0</v>
      </c>
      <c r="AA244" s="26">
        <f>ABS(Z244-Q244)/Q244</f>
        <v>1</v>
      </c>
      <c r="AB244" s="26"/>
      <c r="AC244" s="14">
        <f>P244</f>
        <v>48.829674843799999</v>
      </c>
      <c r="AD244" s="14">
        <f>Q244</f>
        <v>2.2307995913199998</v>
      </c>
    </row>
    <row r="245" spans="1:30" s="14" customFormat="1">
      <c r="A245" s="12">
        <v>1</v>
      </c>
      <c r="B245" s="12" t="s">
        <v>71</v>
      </c>
      <c r="C245" s="14" t="str">
        <f>VLOOKUP(B245,weights!A:B,2,FALSE)</f>
        <v>P</v>
      </c>
      <c r="D245" s="13">
        <v>243</v>
      </c>
      <c r="E245" s="14" t="s">
        <v>384</v>
      </c>
      <c r="H245" s="18"/>
      <c r="I245" s="18"/>
      <c r="K245" s="14">
        <f>VLOOKUP(B245,weights!A:G,5,FALSE)</f>
        <v>1.41</v>
      </c>
      <c r="L245" s="14">
        <f>VLOOKUP(B245,weights!A:G,6,FALSE)</f>
        <v>7</v>
      </c>
      <c r="M245" s="14">
        <f>VLOOKUP(B245,weights!A:G,7,FALSE)</f>
        <v>10</v>
      </c>
      <c r="N245" t="s">
        <v>3338</v>
      </c>
      <c r="O245">
        <v>70</v>
      </c>
      <c r="P245">
        <v>48.832110560099999</v>
      </c>
      <c r="Q245">
        <v>2.23863934858</v>
      </c>
      <c r="R245" s="22"/>
      <c r="S245" s="22"/>
      <c r="T245" s="22"/>
      <c r="U245" s="24">
        <f>R245+S245/60+T245/3600</f>
        <v>0</v>
      </c>
      <c r="V245" s="28">
        <f>ABS(U245-P245)/P245</f>
        <v>1</v>
      </c>
      <c r="W245" s="22"/>
      <c r="X245" s="22"/>
      <c r="Y245" s="22"/>
      <c r="Z245" s="14">
        <f>W245+X245/60+Y245/3600</f>
        <v>0</v>
      </c>
      <c r="AA245" s="26">
        <f>ABS(Z245-Q245)/Q245</f>
        <v>1</v>
      </c>
      <c r="AB245" s="26"/>
      <c r="AC245" s="14">
        <f>P245</f>
        <v>48.832110560099999</v>
      </c>
      <c r="AD245" s="14">
        <f>Q245</f>
        <v>2.23863934858</v>
      </c>
    </row>
    <row r="246" spans="1:30" s="14" customFormat="1">
      <c r="A246" s="12">
        <v>2</v>
      </c>
      <c r="B246" s="12" t="s">
        <v>71</v>
      </c>
      <c r="C246" s="14" t="str">
        <f>VLOOKUP(B246,weights!A:B,2,FALSE)</f>
        <v>P</v>
      </c>
      <c r="D246" s="13">
        <v>244</v>
      </c>
      <c r="E246" s="14" t="s">
        <v>385</v>
      </c>
      <c r="H246" s="18"/>
      <c r="I246" s="18"/>
      <c r="K246" s="14">
        <f>VLOOKUP(B246,weights!A:G,5,FALSE)</f>
        <v>1.41</v>
      </c>
      <c r="L246" s="14">
        <f>VLOOKUP(B246,weights!A:G,6,FALSE)</f>
        <v>7</v>
      </c>
      <c r="M246" s="14">
        <f>VLOOKUP(B246,weights!A:G,7,FALSE)</f>
        <v>10</v>
      </c>
      <c r="N246" t="s">
        <v>4775</v>
      </c>
      <c r="O246">
        <v>383</v>
      </c>
      <c r="P246">
        <v>48.833708850000001</v>
      </c>
      <c r="Q246">
        <v>2.24384059509</v>
      </c>
      <c r="R246" s="22"/>
      <c r="S246" s="22"/>
      <c r="T246" s="22"/>
      <c r="U246" s="24">
        <f>R246+S246/60+T246/3600</f>
        <v>0</v>
      </c>
      <c r="V246" s="28">
        <f>ABS(U246-P246)/P246</f>
        <v>1</v>
      </c>
      <c r="W246" s="22"/>
      <c r="X246" s="22"/>
      <c r="Y246" s="22"/>
      <c r="Z246" s="14">
        <f>W246+X246/60+Y246/3600</f>
        <v>0</v>
      </c>
      <c r="AA246" s="26">
        <f>ABS(Z246-Q246)/Q246</f>
        <v>1</v>
      </c>
      <c r="AB246" s="26"/>
      <c r="AC246" s="14">
        <f>P246</f>
        <v>48.833708850000001</v>
      </c>
      <c r="AD246" s="14">
        <f>Q246</f>
        <v>2.24384059509</v>
      </c>
    </row>
    <row r="247" spans="1:30" s="14" customFormat="1">
      <c r="A247" s="12">
        <v>3</v>
      </c>
      <c r="B247" s="12" t="s">
        <v>71</v>
      </c>
      <c r="C247" s="14" t="str">
        <f>VLOOKUP(B247,weights!A:B,2,FALSE)</f>
        <v>P</v>
      </c>
      <c r="D247" s="13">
        <v>245</v>
      </c>
      <c r="E247" s="14" t="s">
        <v>412</v>
      </c>
      <c r="H247" s="18"/>
      <c r="I247" s="18"/>
      <c r="K247" s="14">
        <f>VLOOKUP(B247,weights!A:G,5,FALSE)</f>
        <v>1.41</v>
      </c>
      <c r="L247" s="14">
        <f>VLOOKUP(B247,weights!A:G,6,FALSE)</f>
        <v>7</v>
      </c>
      <c r="M247" s="14">
        <f>VLOOKUP(B247,weights!A:G,7,FALSE)</f>
        <v>10</v>
      </c>
      <c r="N247" t="s">
        <v>5346</v>
      </c>
      <c r="O247">
        <v>890</v>
      </c>
      <c r="P247">
        <v>48.837961213500002</v>
      </c>
      <c r="Q247">
        <v>2.2571222298500002</v>
      </c>
      <c r="R247" s="22"/>
      <c r="S247" s="22"/>
      <c r="T247" s="22"/>
      <c r="U247" s="24">
        <f>R247+S247/60+T247/3600</f>
        <v>0</v>
      </c>
      <c r="V247" s="28">
        <f>ABS(U247-P247)/P247</f>
        <v>1</v>
      </c>
      <c r="W247" s="22"/>
      <c r="X247" s="22"/>
      <c r="Y247" s="22"/>
      <c r="Z247" s="14">
        <f>W247+X247/60+Y247/3600</f>
        <v>0</v>
      </c>
      <c r="AA247" s="26">
        <f>ABS(Z247-Q247)/Q247</f>
        <v>1</v>
      </c>
      <c r="AB247" s="26"/>
      <c r="AC247" s="14">
        <f>P247</f>
        <v>48.837961213500002</v>
      </c>
      <c r="AD247" s="14">
        <f>Q247</f>
        <v>2.2571222298500002</v>
      </c>
    </row>
    <row r="248" spans="1:30" s="14" customFormat="1">
      <c r="A248" s="12">
        <v>4</v>
      </c>
      <c r="B248" s="12" t="s">
        <v>71</v>
      </c>
      <c r="C248" s="14" t="str">
        <f>VLOOKUP(B248,weights!A:B,2,FALSE)</f>
        <v>P</v>
      </c>
      <c r="D248" s="13">
        <v>246</v>
      </c>
      <c r="E248" s="14" t="s">
        <v>386</v>
      </c>
      <c r="H248" s="18"/>
      <c r="I248" s="18"/>
      <c r="K248" s="14">
        <f>VLOOKUP(B248,weights!A:G,5,FALSE)</f>
        <v>1.41</v>
      </c>
      <c r="L248" s="14">
        <f>VLOOKUP(B248,weights!A:G,6,FALSE)</f>
        <v>7</v>
      </c>
      <c r="M248" s="14">
        <f>VLOOKUP(B248,weights!A:G,7,FALSE)</f>
        <v>10</v>
      </c>
      <c r="N248" t="s">
        <v>4005</v>
      </c>
      <c r="O248">
        <v>891</v>
      </c>
      <c r="P248">
        <v>48.842938695900003</v>
      </c>
      <c r="Q248">
        <v>2.2600329022099999</v>
      </c>
      <c r="R248" s="22"/>
      <c r="S248" s="22"/>
      <c r="T248" s="22"/>
      <c r="U248" s="24">
        <f>R248+S248/60+T248/3600</f>
        <v>0</v>
      </c>
      <c r="V248" s="28">
        <f>ABS(U248-P248)/P248</f>
        <v>1</v>
      </c>
      <c r="W248" s="22"/>
      <c r="X248" s="22"/>
      <c r="Y248" s="22"/>
      <c r="Z248" s="14">
        <f>W248+X248/60+Y248/3600</f>
        <v>0</v>
      </c>
      <c r="AA248" s="26">
        <f>ABS(Z248-Q248)/Q248</f>
        <v>1</v>
      </c>
      <c r="AB248" s="26"/>
      <c r="AC248" s="14">
        <f>P248</f>
        <v>48.842938695900003</v>
      </c>
      <c r="AD248" s="14">
        <f>Q248</f>
        <v>2.2600329022099999</v>
      </c>
    </row>
    <row r="249" spans="1:30" s="14" customFormat="1">
      <c r="A249" s="12">
        <v>5</v>
      </c>
      <c r="B249" s="12" t="s">
        <v>71</v>
      </c>
      <c r="C249" s="14" t="str">
        <f>VLOOKUP(B249,weights!A:B,2,FALSE)</f>
        <v>P</v>
      </c>
      <c r="D249" s="13">
        <v>247</v>
      </c>
      <c r="E249" s="14" t="s">
        <v>387</v>
      </c>
      <c r="G249" s="14" t="s">
        <v>195</v>
      </c>
      <c r="H249" s="18" t="s">
        <v>1711</v>
      </c>
      <c r="I249" s="18"/>
      <c r="K249" s="14">
        <f>VLOOKUP(B249,weights!A:G,5,FALSE)</f>
        <v>1.41</v>
      </c>
      <c r="L249" s="14">
        <f>VLOOKUP(B249,weights!A:G,6,FALSE)</f>
        <v>7</v>
      </c>
      <c r="M249" s="14">
        <f>VLOOKUP(B249,weights!A:G,7,FALSE)</f>
        <v>10</v>
      </c>
      <c r="N249" t="s">
        <v>4872</v>
      </c>
      <c r="O249">
        <v>859</v>
      </c>
      <c r="P249">
        <v>48.845241194800003</v>
      </c>
      <c r="Q249">
        <v>2.26189364176</v>
      </c>
      <c r="R249" s="22"/>
      <c r="S249" s="22"/>
      <c r="T249" s="22"/>
      <c r="U249" s="24">
        <f>R249+S249/60+T249/3600</f>
        <v>0</v>
      </c>
      <c r="V249" s="28">
        <f>ABS(U249-P249)/P249</f>
        <v>1</v>
      </c>
      <c r="W249" s="22"/>
      <c r="X249" s="22"/>
      <c r="Y249" s="22"/>
      <c r="Z249" s="14">
        <f>W249+X249/60+Y249/3600</f>
        <v>0</v>
      </c>
      <c r="AA249" s="26">
        <f>ABS(Z249-Q249)/Q249</f>
        <v>1</v>
      </c>
      <c r="AB249" s="26"/>
      <c r="AC249" s="14">
        <f>P249</f>
        <v>48.845241194800003</v>
      </c>
      <c r="AD249" s="14">
        <f>Q249</f>
        <v>2.26189364176</v>
      </c>
    </row>
    <row r="250" spans="1:30" s="14" customFormat="1">
      <c r="A250" s="12">
        <v>6</v>
      </c>
      <c r="B250" s="12" t="s">
        <v>71</v>
      </c>
      <c r="C250" s="14" t="str">
        <f>VLOOKUP(B250,weights!A:B,2,FALSE)</f>
        <v>P</v>
      </c>
      <c r="D250" s="13">
        <v>248</v>
      </c>
      <c r="E250" s="14" t="s">
        <v>388</v>
      </c>
      <c r="G250" s="14" t="s">
        <v>195</v>
      </c>
      <c r="H250" s="18" t="s">
        <v>1712</v>
      </c>
      <c r="I250" s="18"/>
      <c r="K250" s="14">
        <f>VLOOKUP(B250,weights!A:G,5,FALSE)</f>
        <v>1.41</v>
      </c>
      <c r="L250" s="14">
        <f>VLOOKUP(B250,weights!A:G,6,FALSE)</f>
        <v>7</v>
      </c>
      <c r="M250" s="14">
        <f>VLOOKUP(B250,weights!A:G,7,FALSE)</f>
        <v>10</v>
      </c>
      <c r="N250" t="s">
        <v>4868</v>
      </c>
      <c r="O250">
        <v>341</v>
      </c>
      <c r="P250">
        <v>48.847943097200002</v>
      </c>
      <c r="Q250">
        <v>2.26413042674</v>
      </c>
      <c r="R250" s="22"/>
      <c r="S250" s="22"/>
      <c r="T250" s="22"/>
      <c r="U250" s="24">
        <f>R250+S250/60+T250/3600</f>
        <v>0</v>
      </c>
      <c r="V250" s="28">
        <f>ABS(U250-P250)/P250</f>
        <v>1</v>
      </c>
      <c r="W250" s="22"/>
      <c r="X250" s="22"/>
      <c r="Y250" s="22"/>
      <c r="Z250" s="14">
        <f>W250+X250/60+Y250/3600</f>
        <v>0</v>
      </c>
      <c r="AA250" s="26">
        <f>ABS(Z250-Q250)/Q250</f>
        <v>1</v>
      </c>
      <c r="AB250" s="26"/>
      <c r="AC250" s="14">
        <f>P250</f>
        <v>48.847943097200002</v>
      </c>
      <c r="AD250" s="14">
        <f>Q250</f>
        <v>2.26413042674</v>
      </c>
    </row>
    <row r="251" spans="1:30" s="14" customFormat="1">
      <c r="A251" s="12">
        <v>7</v>
      </c>
      <c r="B251" s="12" t="s">
        <v>71</v>
      </c>
      <c r="C251" s="14" t="str">
        <f>VLOOKUP(B251,weights!A:B,2,FALSE)</f>
        <v>P</v>
      </c>
      <c r="D251" s="13">
        <v>249</v>
      </c>
      <c r="E251" s="14" t="s">
        <v>389</v>
      </c>
      <c r="H251" s="18"/>
      <c r="I251" s="18"/>
      <c r="K251" s="14">
        <f>VLOOKUP(B251,weights!A:G,5,FALSE)</f>
        <v>1.41</v>
      </c>
      <c r="L251" s="14">
        <f>VLOOKUP(B251,weights!A:G,6,FALSE)</f>
        <v>7</v>
      </c>
      <c r="M251" s="14">
        <f>VLOOKUP(B251,weights!A:G,7,FALSE)</f>
        <v>10</v>
      </c>
      <c r="N251" t="s">
        <v>4296</v>
      </c>
      <c r="O251">
        <v>892</v>
      </c>
      <c r="P251">
        <v>48.8525040906</v>
      </c>
      <c r="Q251">
        <v>2.2681767494399998</v>
      </c>
      <c r="R251" s="22"/>
      <c r="S251" s="22"/>
      <c r="T251" s="22"/>
      <c r="U251" s="24">
        <f>R251+S251/60+T251/3600</f>
        <v>0</v>
      </c>
      <c r="V251" s="28">
        <f>ABS(U251-P251)/P251</f>
        <v>1</v>
      </c>
      <c r="W251" s="22"/>
      <c r="X251" s="22"/>
      <c r="Y251" s="22"/>
      <c r="Z251" s="14">
        <f>W251+X251/60+Y251/3600</f>
        <v>0</v>
      </c>
      <c r="AA251" s="26">
        <f>ABS(Z251-Q251)/Q251</f>
        <v>1</v>
      </c>
      <c r="AB251" s="26"/>
      <c r="AC251" s="14">
        <f>P251</f>
        <v>48.8525040906</v>
      </c>
      <c r="AD251" s="14">
        <f>Q251</f>
        <v>2.2681767494399998</v>
      </c>
    </row>
    <row r="252" spans="1:30" s="14" customFormat="1">
      <c r="A252" s="12">
        <v>8</v>
      </c>
      <c r="B252" s="12" t="s">
        <v>71</v>
      </c>
      <c r="C252" s="14" t="str">
        <f>VLOOKUP(B252,weights!A:B,2,FALSE)</f>
        <v>P</v>
      </c>
      <c r="D252" s="13">
        <v>250</v>
      </c>
      <c r="E252" s="14" t="s">
        <v>390</v>
      </c>
      <c r="H252" s="18"/>
      <c r="I252" s="18"/>
      <c r="K252" s="14">
        <f>VLOOKUP(B252,weights!A:G,5,FALSE)</f>
        <v>1.41</v>
      </c>
      <c r="L252" s="14">
        <f>VLOOKUP(B252,weights!A:G,6,FALSE)</f>
        <v>7</v>
      </c>
      <c r="M252" s="14">
        <f>VLOOKUP(B252,weights!A:G,7,FALSE)</f>
        <v>10</v>
      </c>
      <c r="N252" t="s">
        <v>5419</v>
      </c>
      <c r="O252">
        <v>30</v>
      </c>
      <c r="P252">
        <v>48.855485049499997</v>
      </c>
      <c r="Q252">
        <v>2.2701091389500001</v>
      </c>
      <c r="R252" s="22"/>
      <c r="S252" s="22"/>
      <c r="T252" s="22"/>
      <c r="U252" s="24">
        <f>R252+S252/60+T252/3600</f>
        <v>0</v>
      </c>
      <c r="V252" s="28">
        <f>ABS(U252-P252)/P252</f>
        <v>1</v>
      </c>
      <c r="W252" s="22"/>
      <c r="X252" s="22"/>
      <c r="Y252" s="22"/>
      <c r="Z252" s="14">
        <f>W252+X252/60+Y252/3600</f>
        <v>0</v>
      </c>
      <c r="AA252" s="26">
        <f>ABS(Z252-Q252)/Q252</f>
        <v>1</v>
      </c>
      <c r="AB252" s="26"/>
      <c r="AC252" s="14">
        <f>P252</f>
        <v>48.855485049499997</v>
      </c>
      <c r="AD252" s="14">
        <f>Q252</f>
        <v>2.2701091389500001</v>
      </c>
    </row>
    <row r="253" spans="1:30" s="14" customFormat="1">
      <c r="A253" s="12">
        <v>9</v>
      </c>
      <c r="B253" s="12" t="s">
        <v>71</v>
      </c>
      <c r="C253" s="14" t="str">
        <f>VLOOKUP(B253,weights!A:B,2,FALSE)</f>
        <v>P</v>
      </c>
      <c r="D253" s="13">
        <v>251</v>
      </c>
      <c r="E253" s="14" t="s">
        <v>391</v>
      </c>
      <c r="G253" s="14" t="s">
        <v>407</v>
      </c>
      <c r="H253" s="18"/>
      <c r="I253" s="18" t="s">
        <v>1713</v>
      </c>
      <c r="K253" s="14">
        <f>VLOOKUP(B253,weights!A:G,5,FALSE)</f>
        <v>1.41</v>
      </c>
      <c r="L253" s="14">
        <f>VLOOKUP(B253,weights!A:G,6,FALSE)</f>
        <v>7</v>
      </c>
      <c r="M253" s="14">
        <f>VLOOKUP(B253,weights!A:G,7,FALSE)</f>
        <v>10</v>
      </c>
      <c r="N253" t="s">
        <v>4423</v>
      </c>
      <c r="O253">
        <v>334</v>
      </c>
      <c r="P253">
        <v>48.858046055400003</v>
      </c>
      <c r="Q253">
        <v>2.2741546283699998</v>
      </c>
      <c r="R253" s="22"/>
      <c r="S253" s="22"/>
      <c r="T253" s="22"/>
      <c r="U253" s="24">
        <f>R253+S253/60+T253/3600</f>
        <v>0</v>
      </c>
      <c r="V253" s="28">
        <f>ABS(U253-P253)/P253</f>
        <v>1</v>
      </c>
      <c r="W253" s="22"/>
      <c r="X253" s="22"/>
      <c r="Y253" s="22"/>
      <c r="Z253" s="14">
        <f>W253+X253/60+Y253/3600</f>
        <v>0</v>
      </c>
      <c r="AA253" s="26">
        <f>ABS(Z253-Q253)/Q253</f>
        <v>1</v>
      </c>
      <c r="AB253" s="26"/>
      <c r="AC253" s="14">
        <f>P253</f>
        <v>48.858046055400003</v>
      </c>
      <c r="AD253" s="14">
        <f>Q253</f>
        <v>2.2741546283699998</v>
      </c>
    </row>
    <row r="254" spans="1:30" s="14" customFormat="1">
      <c r="A254" s="12">
        <v>10</v>
      </c>
      <c r="B254" s="12" t="s">
        <v>71</v>
      </c>
      <c r="C254" s="14" t="str">
        <f>VLOOKUP(B254,weights!A:B,2,FALSE)</f>
        <v>P</v>
      </c>
      <c r="D254" s="13">
        <v>252</v>
      </c>
      <c r="E254" s="14" t="s">
        <v>392</v>
      </c>
      <c r="H254" s="18"/>
      <c r="I254" s="18"/>
      <c r="K254" s="14">
        <f>VLOOKUP(B254,weights!A:G,5,FALSE)</f>
        <v>1.41</v>
      </c>
      <c r="L254" s="14">
        <f>VLOOKUP(B254,weights!A:G,6,FALSE)</f>
        <v>7</v>
      </c>
      <c r="M254" s="14">
        <f>VLOOKUP(B254,weights!A:G,7,FALSE)</f>
        <v>10</v>
      </c>
      <c r="N254" t="s">
        <v>5493</v>
      </c>
      <c r="O254">
        <v>851</v>
      </c>
      <c r="P254">
        <v>48.863974445799997</v>
      </c>
      <c r="Q254">
        <v>2.2781125625400001</v>
      </c>
      <c r="R254" s="22"/>
      <c r="S254" s="22"/>
      <c r="T254" s="22"/>
      <c r="U254" s="24">
        <f>R254+S254/60+T254/3600</f>
        <v>0</v>
      </c>
      <c r="V254" s="28">
        <f>ABS(U254-P254)/P254</f>
        <v>1</v>
      </c>
      <c r="W254" s="22"/>
      <c r="X254" s="22"/>
      <c r="Y254" s="22"/>
      <c r="Z254" s="14">
        <f>W254+X254/60+Y254/3600</f>
        <v>0</v>
      </c>
      <c r="AA254" s="26">
        <f>ABS(Z254-Q254)/Q254</f>
        <v>1</v>
      </c>
      <c r="AB254" s="26"/>
      <c r="AC254" s="14">
        <f>P254</f>
        <v>48.863974445799997</v>
      </c>
      <c r="AD254" s="14">
        <f>Q254</f>
        <v>2.2781125625400001</v>
      </c>
    </row>
    <row r="255" spans="1:30" s="14" customFormat="1">
      <c r="A255" s="12">
        <v>11</v>
      </c>
      <c r="B255" s="12" t="s">
        <v>71</v>
      </c>
      <c r="C255" s="14" t="str">
        <f>VLOOKUP(B255,weights!A:B,2,FALSE)</f>
        <v>P</v>
      </c>
      <c r="D255" s="13">
        <v>253</v>
      </c>
      <c r="E255" s="14" t="s">
        <v>224</v>
      </c>
      <c r="G255" s="14" t="s">
        <v>196</v>
      </c>
      <c r="H255" s="18" t="s">
        <v>1714</v>
      </c>
      <c r="I255" s="18"/>
      <c r="K255" s="14">
        <f>VLOOKUP(B255,weights!A:G,5,FALSE)</f>
        <v>1.41</v>
      </c>
      <c r="L255" s="14">
        <f>VLOOKUP(B255,weights!A:G,6,FALSE)</f>
        <v>7</v>
      </c>
      <c r="M255" s="14">
        <f>VLOOKUP(B255,weights!A:G,7,FALSE)</f>
        <v>10</v>
      </c>
      <c r="N255" t="s">
        <v>5823</v>
      </c>
      <c r="O255">
        <v>335</v>
      </c>
      <c r="P255">
        <v>48.863073782199997</v>
      </c>
      <c r="Q255">
        <v>2.2871668755000001</v>
      </c>
      <c r="R255" s="22"/>
      <c r="S255" s="22"/>
      <c r="T255" s="22"/>
      <c r="U255" s="24">
        <f>R255+S255/60+T255/3600</f>
        <v>0</v>
      </c>
      <c r="V255" s="28">
        <f>ABS(U255-P255)/P255</f>
        <v>1</v>
      </c>
      <c r="W255" s="22"/>
      <c r="X255" s="22"/>
      <c r="Y255" s="22"/>
      <c r="Z255" s="14">
        <f>W255+X255/60+Y255/3600</f>
        <v>0</v>
      </c>
      <c r="AA255" s="26">
        <f>ABS(Z255-Q255)/Q255</f>
        <v>1</v>
      </c>
      <c r="AB255" s="26"/>
      <c r="AC255" s="14">
        <f>P255</f>
        <v>48.863073782199997</v>
      </c>
      <c r="AD255" s="14">
        <f>Q255</f>
        <v>2.2871668755000001</v>
      </c>
    </row>
    <row r="256" spans="1:30" s="14" customFormat="1">
      <c r="A256" s="12">
        <v>12</v>
      </c>
      <c r="B256" s="12" t="s">
        <v>71</v>
      </c>
      <c r="C256" s="14" t="str">
        <f>VLOOKUP(B256,weights!A:B,2,FALSE)</f>
        <v>P</v>
      </c>
      <c r="D256" s="13">
        <v>254</v>
      </c>
      <c r="E256" s="14" t="s">
        <v>393</v>
      </c>
      <c r="H256" s="18"/>
      <c r="I256" s="18"/>
      <c r="K256" s="14">
        <f>VLOOKUP(B256,weights!A:G,5,FALSE)</f>
        <v>1.41</v>
      </c>
      <c r="L256" s="14">
        <f>VLOOKUP(B256,weights!A:G,6,FALSE)</f>
        <v>7</v>
      </c>
      <c r="M256" s="14">
        <f>VLOOKUP(B256,weights!A:G,7,FALSE)</f>
        <v>10</v>
      </c>
      <c r="N256" t="s">
        <v>4255</v>
      </c>
      <c r="O256">
        <v>852</v>
      </c>
      <c r="P256">
        <v>48.864794064900003</v>
      </c>
      <c r="Q256">
        <v>2.2941620140299999</v>
      </c>
      <c r="R256" s="22"/>
      <c r="S256" s="22"/>
      <c r="T256" s="22"/>
      <c r="U256" s="24">
        <f>R256+S256/60+T256/3600</f>
        <v>0</v>
      </c>
      <c r="V256" s="28">
        <f>ABS(U256-P256)/P256</f>
        <v>1</v>
      </c>
      <c r="W256" s="22"/>
      <c r="X256" s="22"/>
      <c r="Y256" s="22"/>
      <c r="Z256" s="14">
        <f>W256+X256/60+Y256/3600</f>
        <v>0</v>
      </c>
      <c r="AA256" s="26">
        <f>ABS(Z256-Q256)/Q256</f>
        <v>1</v>
      </c>
      <c r="AB256" s="26"/>
      <c r="AC256" s="14">
        <f>P256</f>
        <v>48.864794064900003</v>
      </c>
      <c r="AD256" s="14">
        <f>Q256</f>
        <v>2.2941620140299999</v>
      </c>
    </row>
    <row r="257" spans="1:30" s="14" customFormat="1">
      <c r="A257" s="12">
        <v>13</v>
      </c>
      <c r="B257" s="12" t="s">
        <v>71</v>
      </c>
      <c r="C257" s="14" t="str">
        <f>VLOOKUP(B257,weights!A:B,2,FALSE)</f>
        <v>P</v>
      </c>
      <c r="D257" s="13">
        <v>255</v>
      </c>
      <c r="E257" s="14" t="s">
        <v>394</v>
      </c>
      <c r="G257" s="14" t="s">
        <v>408</v>
      </c>
      <c r="H257" s="18"/>
      <c r="I257" s="18" t="s">
        <v>1715</v>
      </c>
      <c r="K257" s="14">
        <f>VLOOKUP(B257,weights!A:G,5,FALSE)</f>
        <v>1.41</v>
      </c>
      <c r="L257" s="14">
        <f>VLOOKUP(B257,weights!A:G,6,FALSE)</f>
        <v>7</v>
      </c>
      <c r="M257" s="14">
        <f>VLOOKUP(B257,weights!A:G,7,FALSE)</f>
        <v>10</v>
      </c>
      <c r="N257" t="s">
        <v>3165</v>
      </c>
      <c r="O257">
        <v>336</v>
      </c>
      <c r="P257">
        <v>48.864766844999998</v>
      </c>
      <c r="Q257">
        <v>2.3009910035000001</v>
      </c>
      <c r="R257" s="22"/>
      <c r="S257" s="22"/>
      <c r="T257" s="22"/>
      <c r="U257" s="24">
        <f>R257+S257/60+T257/3600</f>
        <v>0</v>
      </c>
      <c r="V257" s="28">
        <f>ABS(U257-P257)/P257</f>
        <v>1</v>
      </c>
      <c r="W257" s="22"/>
      <c r="X257" s="22"/>
      <c r="Y257" s="22"/>
      <c r="Z257" s="14">
        <f>W257+X257/60+Y257/3600</f>
        <v>0</v>
      </c>
      <c r="AA257" s="26">
        <f>ABS(Z257-Q257)/Q257</f>
        <v>1</v>
      </c>
      <c r="AB257" s="26"/>
      <c r="AC257" s="14">
        <f>P257</f>
        <v>48.864766844999998</v>
      </c>
      <c r="AD257" s="14">
        <f>Q257</f>
        <v>2.3009910035000001</v>
      </c>
    </row>
    <row r="258" spans="1:30" s="14" customFormat="1">
      <c r="A258" s="12">
        <v>14</v>
      </c>
      <c r="B258" s="12" t="s">
        <v>71</v>
      </c>
      <c r="C258" s="14" t="str">
        <f>VLOOKUP(B258,weights!A:B,2,FALSE)</f>
        <v>P</v>
      </c>
      <c r="D258" s="13">
        <v>256</v>
      </c>
      <c r="E258" s="14" t="s">
        <v>35</v>
      </c>
      <c r="G258" s="14" t="s">
        <v>115</v>
      </c>
      <c r="H258" s="18" t="s">
        <v>1716</v>
      </c>
      <c r="I258" s="18"/>
      <c r="K258" s="14">
        <f>VLOOKUP(B258,weights!A:G,5,FALSE)</f>
        <v>1.41</v>
      </c>
      <c r="L258" s="14">
        <f>VLOOKUP(B258,weights!A:G,6,FALSE)</f>
        <v>7</v>
      </c>
      <c r="M258" s="14">
        <f>VLOOKUP(B258,weights!A:G,7,FALSE)</f>
        <v>10</v>
      </c>
      <c r="N258" t="s">
        <v>4056</v>
      </c>
      <c r="O258">
        <v>853</v>
      </c>
      <c r="P258">
        <v>48.869026527300001</v>
      </c>
      <c r="Q258">
        <v>2.30993538871</v>
      </c>
      <c r="R258" s="22"/>
      <c r="S258" s="22"/>
      <c r="T258" s="22"/>
      <c r="U258" s="24">
        <f>R258+S258/60+T258/3600</f>
        <v>0</v>
      </c>
      <c r="V258" s="28">
        <f>ABS(U258-P258)/P258</f>
        <v>1</v>
      </c>
      <c r="W258" s="22"/>
      <c r="X258" s="22"/>
      <c r="Y258" s="22"/>
      <c r="Z258" s="14">
        <f>W258+X258/60+Y258/3600</f>
        <v>0</v>
      </c>
      <c r="AA258" s="26">
        <f>ABS(Z258-Q258)/Q258</f>
        <v>1</v>
      </c>
      <c r="AB258" s="26"/>
      <c r="AC258" s="14">
        <f>P258</f>
        <v>48.869026527300001</v>
      </c>
      <c r="AD258" s="14">
        <f>Q258</f>
        <v>2.30993538871</v>
      </c>
    </row>
    <row r="259" spans="1:30" s="14" customFormat="1">
      <c r="A259" s="12">
        <v>15</v>
      </c>
      <c r="B259" s="12" t="s">
        <v>71</v>
      </c>
      <c r="C259" s="14" t="str">
        <f>VLOOKUP(B259,weights!A:B,2,FALSE)</f>
        <v>P</v>
      </c>
      <c r="D259" s="13">
        <v>257</v>
      </c>
      <c r="E259" s="14" t="s">
        <v>395</v>
      </c>
      <c r="H259" s="18"/>
      <c r="I259" s="18"/>
      <c r="K259" s="14">
        <f>VLOOKUP(B259,weights!A:G,5,FALSE)</f>
        <v>1.41</v>
      </c>
      <c r="L259" s="14">
        <f>VLOOKUP(B259,weights!A:G,6,FALSE)</f>
        <v>7</v>
      </c>
      <c r="M259" s="14">
        <f>VLOOKUP(B259,weights!A:G,7,FALSE)</f>
        <v>10</v>
      </c>
      <c r="N259" t="s">
        <v>5625</v>
      </c>
      <c r="O259">
        <v>337</v>
      </c>
      <c r="P259">
        <v>48.872422383699998</v>
      </c>
      <c r="Q259">
        <v>2.3100383446200001</v>
      </c>
      <c r="R259" s="22"/>
      <c r="S259" s="22"/>
      <c r="T259" s="22"/>
      <c r="U259" s="24">
        <f>R259+S259/60+T259/3600</f>
        <v>0</v>
      </c>
      <c r="V259" s="28">
        <f>ABS(U259-P259)/P259</f>
        <v>1</v>
      </c>
      <c r="W259" s="22"/>
      <c r="X259" s="22"/>
      <c r="Y259" s="22"/>
      <c r="Z259" s="14">
        <f>W259+X259/60+Y259/3600</f>
        <v>0</v>
      </c>
      <c r="AA259" s="26">
        <f>ABS(Z259-Q259)/Q259</f>
        <v>1</v>
      </c>
      <c r="AB259" s="26"/>
      <c r="AC259" s="14">
        <f>P259</f>
        <v>48.872422383699998</v>
      </c>
      <c r="AD259" s="14">
        <f>Q259</f>
        <v>2.3100383446200001</v>
      </c>
    </row>
    <row r="260" spans="1:30" s="14" customFormat="1">
      <c r="A260" s="12">
        <v>16</v>
      </c>
      <c r="B260" s="12" t="s">
        <v>71</v>
      </c>
      <c r="C260" s="14" t="str">
        <f>VLOOKUP(B260,weights!A:B,2,FALSE)</f>
        <v>P</v>
      </c>
      <c r="D260" s="13">
        <v>258</v>
      </c>
      <c r="E260" s="14" t="s">
        <v>396</v>
      </c>
      <c r="G260" s="14" t="s">
        <v>72</v>
      </c>
      <c r="H260" s="18" t="s">
        <v>1717</v>
      </c>
      <c r="I260" s="18"/>
      <c r="K260" s="14">
        <f>VLOOKUP(B260,weights!A:G,5,FALSE)</f>
        <v>1.41</v>
      </c>
      <c r="L260" s="14">
        <f>VLOOKUP(B260,weights!A:G,6,FALSE)</f>
        <v>7</v>
      </c>
      <c r="M260" s="14">
        <f>VLOOKUP(B260,weights!A:G,7,FALSE)</f>
        <v>10</v>
      </c>
      <c r="N260" t="s">
        <v>4878</v>
      </c>
      <c r="O260">
        <v>139</v>
      </c>
      <c r="P260">
        <v>48.873685210600001</v>
      </c>
      <c r="Q260">
        <v>2.3144679895700002</v>
      </c>
      <c r="R260" s="22"/>
      <c r="S260" s="22"/>
      <c r="T260" s="22"/>
      <c r="U260" s="24">
        <f>R260+S260/60+T260/3600</f>
        <v>0</v>
      </c>
      <c r="V260" s="28">
        <f>ABS(U260-P260)/P260</f>
        <v>1</v>
      </c>
      <c r="W260" s="22"/>
      <c r="X260" s="22"/>
      <c r="Y260" s="22"/>
      <c r="Z260" s="14">
        <f>W260+X260/60+Y260/3600</f>
        <v>0</v>
      </c>
      <c r="AA260" s="26">
        <f>ABS(Z260-Q260)/Q260</f>
        <v>1</v>
      </c>
      <c r="AB260" s="26"/>
      <c r="AC260" s="14">
        <f>P260</f>
        <v>48.873685210600001</v>
      </c>
      <c r="AD260" s="14">
        <f>Q260</f>
        <v>2.3144679895700002</v>
      </c>
    </row>
    <row r="261" spans="1:30" s="14" customFormat="1">
      <c r="A261" s="12">
        <v>17</v>
      </c>
      <c r="B261" s="12" t="s">
        <v>71</v>
      </c>
      <c r="C261" s="14" t="str">
        <f>VLOOKUP(B261,weights!A:B,2,FALSE)</f>
        <v>P</v>
      </c>
      <c r="D261" s="13">
        <v>259</v>
      </c>
      <c r="E261" s="14" t="s">
        <v>397</v>
      </c>
      <c r="G261" s="14" t="s">
        <v>409</v>
      </c>
      <c r="H261" s="18" t="s">
        <v>1718</v>
      </c>
      <c r="I261" s="18"/>
      <c r="K261" s="14">
        <f>VLOOKUP(B261,weights!A:G,5,FALSE)</f>
        <v>1.41</v>
      </c>
      <c r="L261" s="14">
        <f>VLOOKUP(B261,weights!A:G,6,FALSE)</f>
        <v>7</v>
      </c>
      <c r="M261" s="14">
        <f>VLOOKUP(B261,weights!A:G,7,FALSE)</f>
        <v>10</v>
      </c>
      <c r="N261" t="s">
        <v>5515</v>
      </c>
      <c r="O261">
        <v>122</v>
      </c>
      <c r="P261">
        <v>48.874558384700002</v>
      </c>
      <c r="Q261">
        <v>2.3213619281</v>
      </c>
      <c r="R261" s="22"/>
      <c r="S261" s="22"/>
      <c r="T261" s="22"/>
      <c r="U261" s="24">
        <f>R261+S261/60+T261/3600</f>
        <v>0</v>
      </c>
      <c r="V261" s="28">
        <f>ABS(U261-P261)/P261</f>
        <v>1</v>
      </c>
      <c r="W261" s="22"/>
      <c r="X261" s="22"/>
      <c r="Y261" s="22"/>
      <c r="Z261" s="14">
        <f>W261+X261/60+Y261/3600</f>
        <v>0</v>
      </c>
      <c r="AA261" s="26">
        <f>ABS(Z261-Q261)/Q261</f>
        <v>1</v>
      </c>
      <c r="AB261" s="26"/>
      <c r="AC261" s="14">
        <f>P261</f>
        <v>48.874558384700002</v>
      </c>
      <c r="AD261" s="14">
        <f>Q261</f>
        <v>2.3213619281</v>
      </c>
    </row>
    <row r="262" spans="1:30" s="14" customFormat="1">
      <c r="A262" s="12">
        <v>18</v>
      </c>
      <c r="B262" s="12" t="s">
        <v>71</v>
      </c>
      <c r="C262" s="14" t="str">
        <f>VLOOKUP(B262,weights!A:B,2,FALSE)</f>
        <v>P</v>
      </c>
      <c r="D262" s="13">
        <v>260</v>
      </c>
      <c r="E262" s="14" t="s">
        <v>124</v>
      </c>
      <c r="G262" s="14" t="s">
        <v>1445</v>
      </c>
      <c r="H262" s="18" t="s">
        <v>1719</v>
      </c>
      <c r="I262" s="18" t="s">
        <v>1720</v>
      </c>
      <c r="K262" s="14">
        <f>VLOOKUP(B262,weights!A:G,5,FALSE)</f>
        <v>1.41</v>
      </c>
      <c r="L262" s="14">
        <f>VLOOKUP(B262,weights!A:G,6,FALSE)</f>
        <v>7</v>
      </c>
      <c r="M262" s="14">
        <f>VLOOKUP(B262,weights!A:G,7,FALSE)</f>
        <v>10</v>
      </c>
      <c r="N262" t="s">
        <v>4205</v>
      </c>
      <c r="O262">
        <v>15</v>
      </c>
      <c r="P262">
        <v>48.873806733899997</v>
      </c>
      <c r="Q262">
        <v>2.3269998588799998</v>
      </c>
      <c r="R262" s="22"/>
      <c r="S262" s="22"/>
      <c r="T262" s="22"/>
      <c r="U262" s="24">
        <f>R262+S262/60+T262/3600</f>
        <v>0</v>
      </c>
      <c r="V262" s="28">
        <f>ABS(U262-P262)/P262</f>
        <v>1</v>
      </c>
      <c r="W262" s="22"/>
      <c r="X262" s="22"/>
      <c r="Y262" s="22"/>
      <c r="Z262" s="14">
        <f>W262+X262/60+Y262/3600</f>
        <v>0</v>
      </c>
      <c r="AA262" s="26">
        <f>ABS(Z262-Q262)/Q262</f>
        <v>1</v>
      </c>
      <c r="AB262" s="26"/>
      <c r="AC262" s="14">
        <f>P262</f>
        <v>48.873806733899997</v>
      </c>
      <c r="AD262" s="14">
        <f>Q262</f>
        <v>2.3269998588799998</v>
      </c>
    </row>
    <row r="263" spans="1:30" s="14" customFormat="1">
      <c r="A263" s="12">
        <v>19</v>
      </c>
      <c r="B263" s="12" t="s">
        <v>71</v>
      </c>
      <c r="C263" s="14" t="str">
        <f>VLOOKUP(B263,weights!A:B,2,FALSE)</f>
        <v>P</v>
      </c>
      <c r="D263" s="13">
        <v>261</v>
      </c>
      <c r="E263" s="14" t="s">
        <v>274</v>
      </c>
      <c r="G263" s="14" t="s">
        <v>74</v>
      </c>
      <c r="H263" s="18" t="s">
        <v>1721</v>
      </c>
      <c r="I263" s="18"/>
      <c r="K263" s="14">
        <f>VLOOKUP(B263,weights!A:G,5,FALSE)</f>
        <v>1.41</v>
      </c>
      <c r="L263" s="14">
        <f>VLOOKUP(B263,weights!A:G,6,FALSE)</f>
        <v>7</v>
      </c>
      <c r="M263" s="14">
        <f>VLOOKUP(B263,weights!A:G,7,FALSE)</f>
        <v>10</v>
      </c>
      <c r="N263" t="s">
        <v>3652</v>
      </c>
      <c r="O263">
        <v>31</v>
      </c>
      <c r="P263">
        <v>48.872968140799998</v>
      </c>
      <c r="Q263">
        <v>2.3332570917900002</v>
      </c>
      <c r="R263" s="22"/>
      <c r="S263" s="22"/>
      <c r="T263" s="22"/>
      <c r="U263" s="24">
        <f>R263+S263/60+T263/3600</f>
        <v>0</v>
      </c>
      <c r="V263" s="28">
        <f>ABS(U263-P263)/P263</f>
        <v>1</v>
      </c>
      <c r="W263" s="22"/>
      <c r="X263" s="22"/>
      <c r="Y263" s="22"/>
      <c r="Z263" s="14">
        <f>W263+X263/60+Y263/3600</f>
        <v>0</v>
      </c>
      <c r="AA263" s="26">
        <f>ABS(Z263-Q263)/Q263</f>
        <v>1</v>
      </c>
      <c r="AB263" s="26"/>
      <c r="AC263" s="14">
        <f>P263</f>
        <v>48.872968140799998</v>
      </c>
      <c r="AD263" s="14">
        <f>Q263</f>
        <v>2.3332570917900002</v>
      </c>
    </row>
    <row r="264" spans="1:30" s="14" customFormat="1">
      <c r="A264" s="12">
        <v>20</v>
      </c>
      <c r="B264" s="12" t="s">
        <v>71</v>
      </c>
      <c r="C264" s="14" t="str">
        <f>VLOOKUP(B264,weights!A:B,2,FALSE)</f>
        <v>P</v>
      </c>
      <c r="D264" s="13">
        <v>262</v>
      </c>
      <c r="E264" s="14" t="s">
        <v>354</v>
      </c>
      <c r="G264" s="14" t="s">
        <v>220</v>
      </c>
      <c r="H264" s="18" t="s">
        <v>1722</v>
      </c>
      <c r="I264" s="18"/>
      <c r="K264" s="14">
        <f>VLOOKUP(B264,weights!A:G,5,FALSE)</f>
        <v>1.41</v>
      </c>
      <c r="L264" s="14">
        <f>VLOOKUP(B264,weights!A:G,6,FALSE)</f>
        <v>7</v>
      </c>
      <c r="M264" s="14">
        <f>VLOOKUP(B264,weights!A:G,7,FALSE)</f>
        <v>10</v>
      </c>
      <c r="N264" t="s">
        <v>5444</v>
      </c>
      <c r="O264">
        <v>152</v>
      </c>
      <c r="P264">
        <v>48.872013463800002</v>
      </c>
      <c r="Q264">
        <v>2.3400517857400001</v>
      </c>
      <c r="R264" s="22"/>
      <c r="S264" s="22"/>
      <c r="T264" s="22"/>
      <c r="U264" s="24">
        <f>R264+S264/60+T264/3600</f>
        <v>0</v>
      </c>
      <c r="V264" s="28">
        <f>ABS(U264-P264)/P264</f>
        <v>1</v>
      </c>
      <c r="W264" s="22"/>
      <c r="X264" s="22"/>
      <c r="Y264" s="22"/>
      <c r="Z264" s="14">
        <f>W264+X264/60+Y264/3600</f>
        <v>0</v>
      </c>
      <c r="AA264" s="26">
        <f>ABS(Z264-Q264)/Q264</f>
        <v>1</v>
      </c>
      <c r="AB264" s="26"/>
      <c r="AC264" s="14">
        <f>P264</f>
        <v>48.872013463800002</v>
      </c>
      <c r="AD264" s="14">
        <f>Q264</f>
        <v>2.3400517857400001</v>
      </c>
    </row>
    <row r="265" spans="1:30" s="14" customFormat="1">
      <c r="A265" s="12">
        <v>21</v>
      </c>
      <c r="B265" s="12" t="s">
        <v>71</v>
      </c>
      <c r="C265" s="14" t="str">
        <f>VLOOKUP(B265,weights!A:B,2,FALSE)</f>
        <v>P</v>
      </c>
      <c r="D265" s="13">
        <v>263</v>
      </c>
      <c r="E265" s="14" t="s">
        <v>355</v>
      </c>
      <c r="H265" s="18"/>
      <c r="I265" s="18"/>
      <c r="K265" s="14">
        <f>VLOOKUP(B265,weights!A:G,5,FALSE)</f>
        <v>1.41</v>
      </c>
      <c r="L265" s="14">
        <f>VLOOKUP(B265,weights!A:G,6,FALSE)</f>
        <v>7</v>
      </c>
      <c r="M265" s="14">
        <f>VLOOKUP(B265,weights!A:G,7,FALSE)</f>
        <v>10</v>
      </c>
      <c r="N265" t="s">
        <v>4175</v>
      </c>
      <c r="O265">
        <v>252</v>
      </c>
      <c r="P265">
        <v>48.871497739399999</v>
      </c>
      <c r="Q265">
        <v>2.3431547730800002</v>
      </c>
      <c r="R265" s="22"/>
      <c r="S265" s="22"/>
      <c r="T265" s="22"/>
      <c r="U265" s="24">
        <f>R265+S265/60+T265/3600</f>
        <v>0</v>
      </c>
      <c r="V265" s="28">
        <f>ABS(U265-P265)/P265</f>
        <v>1</v>
      </c>
      <c r="W265" s="22"/>
      <c r="X265" s="22"/>
      <c r="Y265" s="22"/>
      <c r="Z265" s="14">
        <f>W265+X265/60+Y265/3600</f>
        <v>0</v>
      </c>
      <c r="AA265" s="26">
        <f>ABS(Z265-Q265)/Q265</f>
        <v>1</v>
      </c>
      <c r="AB265" s="26"/>
      <c r="AC265" s="14">
        <f>P265</f>
        <v>48.871497739399999</v>
      </c>
      <c r="AD265" s="14">
        <f>Q265</f>
        <v>2.3431547730800002</v>
      </c>
    </row>
    <row r="266" spans="1:30" s="14" customFormat="1">
      <c r="A266" s="12">
        <v>22</v>
      </c>
      <c r="B266" s="12" t="s">
        <v>71</v>
      </c>
      <c r="C266" s="14" t="str">
        <f>VLOOKUP(B266,weights!A:B,2,FALSE)</f>
        <v>P</v>
      </c>
      <c r="D266" s="13">
        <v>264</v>
      </c>
      <c r="E266" s="14" t="s">
        <v>356</v>
      </c>
      <c r="H266" s="18"/>
      <c r="I266" s="18"/>
      <c r="K266" s="14">
        <f>VLOOKUP(B266,weights!A:G,5,FALSE)</f>
        <v>1.41</v>
      </c>
      <c r="L266" s="14">
        <f>VLOOKUP(B266,weights!A:G,6,FALSE)</f>
        <v>7</v>
      </c>
      <c r="M266" s="14">
        <f>VLOOKUP(B266,weights!A:G,7,FALSE)</f>
        <v>10</v>
      </c>
      <c r="N266" t="s">
        <v>3389</v>
      </c>
      <c r="O266">
        <v>253</v>
      </c>
      <c r="P266">
        <v>48.8701642009</v>
      </c>
      <c r="Q266">
        <v>2.3504979718599999</v>
      </c>
      <c r="R266" s="22"/>
      <c r="S266" s="22"/>
      <c r="T266" s="22"/>
      <c r="U266" s="24">
        <f>R266+S266/60+T266/3600</f>
        <v>0</v>
      </c>
      <c r="V266" s="28">
        <f>ABS(U266-P266)/P266</f>
        <v>1</v>
      </c>
      <c r="W266" s="22"/>
      <c r="X266" s="22"/>
      <c r="Y266" s="22"/>
      <c r="Z266" s="14">
        <f>W266+X266/60+Y266/3600</f>
        <v>0</v>
      </c>
      <c r="AA266" s="26">
        <f>ABS(Z266-Q266)/Q266</f>
        <v>1</v>
      </c>
      <c r="AB266" s="26"/>
      <c r="AC266" s="14">
        <f>P266</f>
        <v>48.8701642009</v>
      </c>
      <c r="AD266" s="14">
        <f>Q266</f>
        <v>2.3504979718599999</v>
      </c>
    </row>
    <row r="267" spans="1:30" s="14" customFormat="1">
      <c r="A267" s="12">
        <v>23</v>
      </c>
      <c r="B267" s="12" t="s">
        <v>71</v>
      </c>
      <c r="C267" s="14" t="str">
        <f>VLOOKUP(B267,weights!A:B,2,FALSE)</f>
        <v>P</v>
      </c>
      <c r="D267" s="13">
        <v>265</v>
      </c>
      <c r="E267" s="14" t="s">
        <v>160</v>
      </c>
      <c r="G267" s="14" t="s">
        <v>221</v>
      </c>
      <c r="H267" s="18" t="s">
        <v>1723</v>
      </c>
      <c r="I267" s="18"/>
      <c r="K267" s="14">
        <f>VLOOKUP(B267,weights!A:G,5,FALSE)</f>
        <v>1.41</v>
      </c>
      <c r="L267" s="14">
        <f>VLOOKUP(B267,weights!A:G,6,FALSE)</f>
        <v>7</v>
      </c>
      <c r="M267" s="14">
        <f>VLOOKUP(B267,weights!A:G,7,FALSE)</f>
        <v>10</v>
      </c>
      <c r="N267" t="s">
        <v>5741</v>
      </c>
      <c r="O267">
        <v>338</v>
      </c>
      <c r="P267">
        <v>48.869294007699999</v>
      </c>
      <c r="Q267">
        <v>2.3542808790800001</v>
      </c>
      <c r="R267" s="22"/>
      <c r="S267" s="22"/>
      <c r="T267" s="22"/>
      <c r="U267" s="24">
        <f>R267+S267/60+T267/3600</f>
        <v>0</v>
      </c>
      <c r="V267" s="28">
        <f>ABS(U267-P267)/P267</f>
        <v>1</v>
      </c>
      <c r="W267" s="22"/>
      <c r="X267" s="22"/>
      <c r="Y267" s="22"/>
      <c r="Z267" s="14">
        <f>W267+X267/60+Y267/3600</f>
        <v>0</v>
      </c>
      <c r="AA267" s="26">
        <f>ABS(Z267-Q267)/Q267</f>
        <v>1</v>
      </c>
      <c r="AB267" s="26"/>
      <c r="AC267" s="14">
        <f>P267</f>
        <v>48.869294007699999</v>
      </c>
      <c r="AD267" s="14">
        <f>Q267</f>
        <v>2.3542808790800001</v>
      </c>
    </row>
    <row r="268" spans="1:30" s="14" customFormat="1">
      <c r="A268" s="12">
        <v>24</v>
      </c>
      <c r="B268" s="12" t="s">
        <v>71</v>
      </c>
      <c r="C268" s="14" t="str">
        <f>VLOOKUP(B268,weights!A:B,2,FALSE)</f>
        <v>P</v>
      </c>
      <c r="D268" s="13">
        <v>266</v>
      </c>
      <c r="E268" s="14" t="s">
        <v>132</v>
      </c>
      <c r="G268" s="14" t="s">
        <v>410</v>
      </c>
      <c r="H268" s="18" t="s">
        <v>1724</v>
      </c>
      <c r="I268" s="18"/>
      <c r="K268" s="14">
        <f>VLOOKUP(B268,weights!A:G,5,FALSE)</f>
        <v>1.41</v>
      </c>
      <c r="L268" s="14">
        <f>VLOOKUP(B268,weights!A:G,6,FALSE)</f>
        <v>7</v>
      </c>
      <c r="M268" s="14">
        <f>VLOOKUP(B268,weights!A:G,7,FALSE)</f>
        <v>10</v>
      </c>
      <c r="N268" t="s">
        <v>5433</v>
      </c>
      <c r="O268">
        <v>123</v>
      </c>
      <c r="P268">
        <v>48.867503423800002</v>
      </c>
      <c r="Q268">
        <v>2.3638261439799999</v>
      </c>
      <c r="R268" s="22"/>
      <c r="S268" s="22"/>
      <c r="T268" s="22"/>
      <c r="U268" s="24">
        <f>R268+S268/60+T268/3600</f>
        <v>0</v>
      </c>
      <c r="V268" s="28">
        <f>ABS(U268-P268)/P268</f>
        <v>1</v>
      </c>
      <c r="W268" s="22"/>
      <c r="X268" s="22"/>
      <c r="Y268" s="22"/>
      <c r="Z268" s="14">
        <f>W268+X268/60+Y268/3600</f>
        <v>0</v>
      </c>
      <c r="AA268" s="26">
        <f>ABS(Z268-Q268)/Q268</f>
        <v>1</v>
      </c>
      <c r="AB268" s="26"/>
      <c r="AC268" s="14">
        <f>P268</f>
        <v>48.867503423800002</v>
      </c>
      <c r="AD268" s="14">
        <f>Q268</f>
        <v>2.3638261439799999</v>
      </c>
    </row>
    <row r="269" spans="1:30" s="14" customFormat="1">
      <c r="A269" s="12">
        <v>25</v>
      </c>
      <c r="B269" s="12" t="s">
        <v>71</v>
      </c>
      <c r="C269" s="14" t="str">
        <f>VLOOKUP(B269,weights!A:B,2,FALSE)</f>
        <v>P</v>
      </c>
      <c r="D269" s="13">
        <v>267</v>
      </c>
      <c r="E269" s="14" t="s">
        <v>205</v>
      </c>
      <c r="G269" s="14" t="s">
        <v>219</v>
      </c>
      <c r="H269" s="18" t="s">
        <v>1725</v>
      </c>
      <c r="I269" s="18"/>
      <c r="K269" s="14">
        <f>VLOOKUP(B269,weights!A:G,5,FALSE)</f>
        <v>1.41</v>
      </c>
      <c r="L269" s="14">
        <f>VLOOKUP(B269,weights!A:G,6,FALSE)</f>
        <v>7</v>
      </c>
      <c r="M269" s="14">
        <f>VLOOKUP(B269,weights!A:G,7,FALSE)</f>
        <v>10</v>
      </c>
      <c r="N269" t="s">
        <v>5033</v>
      </c>
      <c r="O269">
        <v>124</v>
      </c>
      <c r="P269">
        <v>48.864727620700002</v>
      </c>
      <c r="Q269">
        <v>2.36849638711</v>
      </c>
      <c r="R269" s="22"/>
      <c r="S269" s="22"/>
      <c r="T269" s="22"/>
      <c r="U269" s="24">
        <f>R269+S269/60+T269/3600</f>
        <v>0</v>
      </c>
      <c r="V269" s="28">
        <f>ABS(U269-P269)/P269</f>
        <v>1</v>
      </c>
      <c r="W269" s="22"/>
      <c r="X269" s="22"/>
      <c r="Y269" s="22"/>
      <c r="Z269" s="14">
        <f>W269+X269/60+Y269/3600</f>
        <v>0</v>
      </c>
      <c r="AA269" s="26">
        <f>ABS(Z269-Q269)/Q269</f>
        <v>1</v>
      </c>
      <c r="AB269" s="26"/>
      <c r="AC269" s="14">
        <f>P269</f>
        <v>48.864727620700002</v>
      </c>
      <c r="AD269" s="14">
        <f>Q269</f>
        <v>2.36849638711</v>
      </c>
    </row>
    <row r="270" spans="1:30" s="14" customFormat="1">
      <c r="A270" s="12">
        <v>26</v>
      </c>
      <c r="B270" s="12" t="s">
        <v>71</v>
      </c>
      <c r="C270" s="14" t="str">
        <f>VLOOKUP(B270,weights!A:B,2,FALSE)</f>
        <v>P</v>
      </c>
      <c r="D270" s="13">
        <v>268</v>
      </c>
      <c r="E270" s="14" t="s">
        <v>398</v>
      </c>
      <c r="H270" s="18"/>
      <c r="I270" s="18"/>
      <c r="K270" s="14">
        <f>VLOOKUP(B270,weights!A:G,5,FALSE)</f>
        <v>1.41</v>
      </c>
      <c r="L270" s="14">
        <f>VLOOKUP(B270,weights!A:G,6,FALSE)</f>
        <v>7</v>
      </c>
      <c r="M270" s="14">
        <f>VLOOKUP(B270,weights!A:G,7,FALSE)</f>
        <v>10</v>
      </c>
      <c r="N270" t="s">
        <v>5512</v>
      </c>
      <c r="O270">
        <v>32</v>
      </c>
      <c r="P270">
        <v>48.861019259899997</v>
      </c>
      <c r="Q270">
        <v>2.3747334312800001</v>
      </c>
      <c r="R270" s="22"/>
      <c r="S270" s="22"/>
      <c r="T270" s="22"/>
      <c r="U270" s="24">
        <f>R270+S270/60+T270/3600</f>
        <v>0</v>
      </c>
      <c r="V270" s="28">
        <f>ABS(U270-P270)/P270</f>
        <v>1</v>
      </c>
      <c r="W270" s="22"/>
      <c r="X270" s="22"/>
      <c r="Y270" s="22"/>
      <c r="Z270" s="14">
        <f>W270+X270/60+Y270/3600</f>
        <v>0</v>
      </c>
      <c r="AA270" s="26">
        <f>ABS(Z270-Q270)/Q270</f>
        <v>1</v>
      </c>
      <c r="AB270" s="26"/>
      <c r="AC270" s="14">
        <f>P270</f>
        <v>48.861019259899997</v>
      </c>
      <c r="AD270" s="14">
        <f>Q270</f>
        <v>2.3747334312800001</v>
      </c>
    </row>
    <row r="271" spans="1:30" s="14" customFormat="1">
      <c r="A271" s="12">
        <v>27</v>
      </c>
      <c r="B271" s="12" t="s">
        <v>71</v>
      </c>
      <c r="C271" s="14" t="str">
        <f>VLOOKUP(B271,weights!A:B,2,FALSE)</f>
        <v>P</v>
      </c>
      <c r="D271" s="13">
        <v>269</v>
      </c>
      <c r="E271" s="14" t="s">
        <v>399</v>
      </c>
      <c r="H271" s="18"/>
      <c r="I271" s="18"/>
      <c r="K271" s="14">
        <f>VLOOKUP(B271,weights!A:G,5,FALSE)</f>
        <v>1.41</v>
      </c>
      <c r="L271" s="14">
        <f>VLOOKUP(B271,weights!A:G,6,FALSE)</f>
        <v>7</v>
      </c>
      <c r="M271" s="14">
        <f>VLOOKUP(B271,weights!A:G,7,FALSE)</f>
        <v>10</v>
      </c>
      <c r="N271" t="s">
        <v>6000</v>
      </c>
      <c r="O271">
        <v>339</v>
      </c>
      <c r="P271">
        <v>48.857453722700001</v>
      </c>
      <c r="Q271">
        <v>2.3807187858600001</v>
      </c>
      <c r="R271" s="22"/>
      <c r="S271" s="22"/>
      <c r="T271" s="22"/>
      <c r="U271" s="24">
        <f>R271+S271/60+T271/3600</f>
        <v>0</v>
      </c>
      <c r="V271" s="28">
        <f>ABS(U271-P271)/P271</f>
        <v>1</v>
      </c>
      <c r="W271" s="22"/>
      <c r="X271" s="22"/>
      <c r="Y271" s="22"/>
      <c r="Z271" s="14">
        <f>W271+X271/60+Y271/3600</f>
        <v>0</v>
      </c>
      <c r="AA271" s="26">
        <f>ABS(Z271-Q271)/Q271</f>
        <v>1</v>
      </c>
      <c r="AB271" s="26"/>
      <c r="AC271" s="14">
        <f>P271</f>
        <v>48.857453722700001</v>
      </c>
      <c r="AD271" s="14">
        <f>Q271</f>
        <v>2.3807187858600001</v>
      </c>
    </row>
    <row r="272" spans="1:30" s="14" customFormat="1">
      <c r="A272" s="12">
        <v>28</v>
      </c>
      <c r="B272" s="12" t="s">
        <v>71</v>
      </c>
      <c r="C272" s="14" t="str">
        <f>VLOOKUP(B272,weights!A:B,2,FALSE)</f>
        <v>P</v>
      </c>
      <c r="D272" s="13">
        <v>270</v>
      </c>
      <c r="E272" s="14" t="s">
        <v>400</v>
      </c>
      <c r="H272" s="18"/>
      <c r="I272" s="18"/>
      <c r="K272" s="14">
        <f>VLOOKUP(B272,weights!A:G,5,FALSE)</f>
        <v>1.41</v>
      </c>
      <c r="L272" s="14">
        <f>VLOOKUP(B272,weights!A:G,6,FALSE)</f>
        <v>7</v>
      </c>
      <c r="M272" s="14">
        <f>VLOOKUP(B272,weights!A:G,7,FALSE)</f>
        <v>10</v>
      </c>
      <c r="N272" t="s">
        <v>3604</v>
      </c>
      <c r="O272">
        <v>125</v>
      </c>
      <c r="P272">
        <v>48.854580499100003</v>
      </c>
      <c r="Q272">
        <v>2.3855634808200001</v>
      </c>
      <c r="R272" s="22"/>
      <c r="S272" s="22"/>
      <c r="T272" s="22"/>
      <c r="U272" s="24">
        <f>R272+S272/60+T272/3600</f>
        <v>0</v>
      </c>
      <c r="V272" s="28">
        <f>ABS(U272-P272)/P272</f>
        <v>1</v>
      </c>
      <c r="W272" s="22"/>
      <c r="X272" s="22"/>
      <c r="Y272" s="22"/>
      <c r="Z272" s="14">
        <f>W272+X272/60+Y272/3600</f>
        <v>0</v>
      </c>
      <c r="AA272" s="26">
        <f>ABS(Z272-Q272)/Q272</f>
        <v>1</v>
      </c>
      <c r="AB272" s="26"/>
      <c r="AC272" s="14">
        <f>P272</f>
        <v>48.854580499100003</v>
      </c>
      <c r="AD272" s="14">
        <f>Q272</f>
        <v>2.3855634808200001</v>
      </c>
    </row>
    <row r="273" spans="1:30" s="14" customFormat="1">
      <c r="A273" s="12">
        <v>29</v>
      </c>
      <c r="B273" s="12" t="s">
        <v>71</v>
      </c>
      <c r="C273" s="14" t="str">
        <f>VLOOKUP(B273,weights!A:B,2,FALSE)</f>
        <v>P</v>
      </c>
      <c r="D273" s="13">
        <v>271</v>
      </c>
      <c r="E273" s="14" t="s">
        <v>401</v>
      </c>
      <c r="H273" s="18"/>
      <c r="I273" s="18"/>
      <c r="K273" s="14">
        <f>VLOOKUP(B273,weights!A:G,5,FALSE)</f>
        <v>1.41</v>
      </c>
      <c r="L273" s="14">
        <f>VLOOKUP(B273,weights!A:G,6,FALSE)</f>
        <v>7</v>
      </c>
      <c r="M273" s="14">
        <f>VLOOKUP(B273,weights!A:G,7,FALSE)</f>
        <v>10</v>
      </c>
      <c r="N273" t="s">
        <v>5496</v>
      </c>
      <c r="O273">
        <v>854</v>
      </c>
      <c r="P273">
        <v>48.852315427400001</v>
      </c>
      <c r="Q273">
        <v>2.3893781279200001</v>
      </c>
      <c r="R273" s="22"/>
      <c r="S273" s="22"/>
      <c r="T273" s="22"/>
      <c r="U273" s="24">
        <f>R273+S273/60+T273/3600</f>
        <v>0</v>
      </c>
      <c r="V273" s="28">
        <f>ABS(U273-P273)/P273</f>
        <v>1</v>
      </c>
      <c r="W273" s="22"/>
      <c r="X273" s="22"/>
      <c r="Y273" s="22"/>
      <c r="Z273" s="14">
        <f>W273+X273/60+Y273/3600</f>
        <v>0</v>
      </c>
      <c r="AA273" s="26">
        <f>ABS(Z273-Q273)/Q273</f>
        <v>1</v>
      </c>
      <c r="AB273" s="26"/>
      <c r="AC273" s="14">
        <f>P273</f>
        <v>48.852315427400001</v>
      </c>
      <c r="AD273" s="14">
        <f>Q273</f>
        <v>2.3893781279200001</v>
      </c>
    </row>
    <row r="274" spans="1:30" s="14" customFormat="1">
      <c r="A274" s="12">
        <v>30</v>
      </c>
      <c r="B274" s="12" t="s">
        <v>71</v>
      </c>
      <c r="C274" s="14" t="str">
        <f>VLOOKUP(B274,weights!A:B,2,FALSE)</f>
        <v>P</v>
      </c>
      <c r="D274" s="13">
        <v>272</v>
      </c>
      <c r="E274" s="14" t="s">
        <v>57</v>
      </c>
      <c r="G274" s="14" t="s">
        <v>411</v>
      </c>
      <c r="H274" s="18" t="s">
        <v>1572</v>
      </c>
      <c r="I274" s="18" t="s">
        <v>1600</v>
      </c>
      <c r="K274" s="14">
        <f>VLOOKUP(B274,weights!A:G,5,FALSE)</f>
        <v>1.41</v>
      </c>
      <c r="L274" s="14">
        <f>VLOOKUP(B274,weights!A:G,6,FALSE)</f>
        <v>7</v>
      </c>
      <c r="M274" s="14">
        <f>VLOOKUP(B274,weights!A:G,7,FALSE)</f>
        <v>10</v>
      </c>
      <c r="N274" t="s">
        <v>4980</v>
      </c>
      <c r="O274">
        <v>475</v>
      </c>
      <c r="P274">
        <v>48.848237110399999</v>
      </c>
      <c r="Q274">
        <v>2.3958235888299999</v>
      </c>
      <c r="R274" s="22"/>
      <c r="S274" s="22"/>
      <c r="T274" s="22"/>
      <c r="U274" s="24">
        <f>R274+S274/60+T274/3600</f>
        <v>0</v>
      </c>
      <c r="V274" s="28">
        <f>ABS(U274-P274)/P274</f>
        <v>1</v>
      </c>
      <c r="W274" s="22"/>
      <c r="X274" s="22"/>
      <c r="Y274" s="22"/>
      <c r="Z274" s="14">
        <f>W274+X274/60+Y274/3600</f>
        <v>0</v>
      </c>
      <c r="AA274" s="26">
        <f>ABS(Z274-Q274)/Q274</f>
        <v>1</v>
      </c>
      <c r="AB274" s="26"/>
      <c r="AC274" s="14">
        <f>P274</f>
        <v>48.848237110399999</v>
      </c>
      <c r="AD274" s="14">
        <f>Q274</f>
        <v>2.3958235888299999</v>
      </c>
    </row>
    <row r="275" spans="1:30" s="14" customFormat="1">
      <c r="A275" s="12">
        <v>31</v>
      </c>
      <c r="B275" s="12" t="s">
        <v>71</v>
      </c>
      <c r="C275" s="14" t="str">
        <f>VLOOKUP(B275,weights!A:B,2,FALSE)</f>
        <v>P</v>
      </c>
      <c r="D275" s="13">
        <v>273</v>
      </c>
      <c r="E275" s="14" t="s">
        <v>402</v>
      </c>
      <c r="H275" s="18"/>
      <c r="I275" s="18"/>
      <c r="K275" s="14">
        <f>VLOOKUP(B275,weights!A:G,5,FALSE)</f>
        <v>1.41</v>
      </c>
      <c r="L275" s="14">
        <f>VLOOKUP(B275,weights!A:G,6,FALSE)</f>
        <v>7</v>
      </c>
      <c r="M275" s="14">
        <f>VLOOKUP(B275,weights!A:G,7,FALSE)</f>
        <v>10</v>
      </c>
      <c r="N275" t="s">
        <v>3495</v>
      </c>
      <c r="O275">
        <v>215</v>
      </c>
      <c r="P275">
        <v>48.851812133000003</v>
      </c>
      <c r="Q275">
        <v>2.4010222705199999</v>
      </c>
      <c r="R275" s="22"/>
      <c r="S275" s="22"/>
      <c r="T275" s="22"/>
      <c r="U275" s="24">
        <f>R275+S275/60+T275/3600</f>
        <v>0</v>
      </c>
      <c r="V275" s="28">
        <f>ABS(U275-P275)/P275</f>
        <v>1</v>
      </c>
      <c r="W275" s="22"/>
      <c r="X275" s="22"/>
      <c r="Y275" s="22"/>
      <c r="Z275" s="14">
        <f>W275+X275/60+Y275/3600</f>
        <v>0</v>
      </c>
      <c r="AA275" s="26">
        <f>ABS(Z275-Q275)/Q275</f>
        <v>1</v>
      </c>
      <c r="AB275" s="26"/>
      <c r="AC275" s="14">
        <f>P275</f>
        <v>48.851812133000003</v>
      </c>
      <c r="AD275" s="14">
        <f>Q275</f>
        <v>2.4010222705199999</v>
      </c>
    </row>
    <row r="276" spans="1:30" s="14" customFormat="1">
      <c r="A276" s="12">
        <v>32</v>
      </c>
      <c r="B276" s="12" t="s">
        <v>71</v>
      </c>
      <c r="C276" s="14" t="str">
        <f>VLOOKUP(B276,weights!A:B,2,FALSE)</f>
        <v>P</v>
      </c>
      <c r="D276" s="13">
        <v>274</v>
      </c>
      <c r="E276" s="14" t="s">
        <v>403</v>
      </c>
      <c r="H276" s="18"/>
      <c r="I276" s="18"/>
      <c r="K276" s="14">
        <f>VLOOKUP(B276,weights!A:G,5,FALSE)</f>
        <v>1.41</v>
      </c>
      <c r="L276" s="14">
        <f>VLOOKUP(B276,weights!A:G,6,FALSE)</f>
        <v>7</v>
      </c>
      <c r="M276" s="14">
        <f>VLOOKUP(B276,weights!A:G,7,FALSE)</f>
        <v>10</v>
      </c>
      <c r="N276" t="s">
        <v>4768</v>
      </c>
      <c r="O276">
        <v>33</v>
      </c>
      <c r="P276">
        <v>48.852725119299997</v>
      </c>
      <c r="Q276">
        <v>2.4060891632399999</v>
      </c>
      <c r="R276" s="22"/>
      <c r="S276" s="22"/>
      <c r="T276" s="22"/>
      <c r="U276" s="24">
        <f>R276+S276/60+T276/3600</f>
        <v>0</v>
      </c>
      <c r="V276" s="28">
        <f>ABS(U276-P276)/P276</f>
        <v>1</v>
      </c>
      <c r="W276" s="22"/>
      <c r="X276" s="22"/>
      <c r="Y276" s="22"/>
      <c r="Z276" s="14">
        <f>W276+X276/60+Y276/3600</f>
        <v>0</v>
      </c>
      <c r="AA276" s="26">
        <f>ABS(Z276-Q276)/Q276</f>
        <v>1</v>
      </c>
      <c r="AB276" s="26"/>
      <c r="AC276" s="14">
        <f>P276</f>
        <v>48.852725119299997</v>
      </c>
      <c r="AD276" s="14">
        <f>Q276</f>
        <v>2.4060891632399999</v>
      </c>
    </row>
    <row r="277" spans="1:30" s="14" customFormat="1">
      <c r="A277" s="12">
        <v>33</v>
      </c>
      <c r="B277" s="12" t="s">
        <v>71</v>
      </c>
      <c r="C277" s="14" t="str">
        <f>VLOOKUP(B277,weights!A:B,2,FALSE)</f>
        <v>P</v>
      </c>
      <c r="D277" s="13">
        <v>275</v>
      </c>
      <c r="E277" s="14" t="s">
        <v>404</v>
      </c>
      <c r="G277" s="14" t="s">
        <v>143</v>
      </c>
      <c r="H277" s="18"/>
      <c r="I277" s="18" t="s">
        <v>1726</v>
      </c>
      <c r="K277" s="14">
        <f>VLOOKUP(B277,weights!A:G,5,FALSE)</f>
        <v>1.41</v>
      </c>
      <c r="L277" s="14">
        <f>VLOOKUP(B277,weights!A:G,6,FALSE)</f>
        <v>7</v>
      </c>
      <c r="M277" s="14">
        <f>VLOOKUP(B277,weights!A:G,7,FALSE)</f>
        <v>10</v>
      </c>
      <c r="N277" t="s">
        <v>5335</v>
      </c>
      <c r="O277">
        <v>568</v>
      </c>
      <c r="P277">
        <v>48.853543916100001</v>
      </c>
      <c r="Q277">
        <v>2.4106264257399999</v>
      </c>
      <c r="R277" s="22"/>
      <c r="S277" s="22"/>
      <c r="T277" s="22"/>
      <c r="U277" s="24">
        <f>R277+S277/60+T277/3600</f>
        <v>0</v>
      </c>
      <c r="V277" s="28">
        <f>ABS(U277-P277)/P277</f>
        <v>1</v>
      </c>
      <c r="W277" s="22"/>
      <c r="X277" s="22"/>
      <c r="Y277" s="22"/>
      <c r="Z277" s="14">
        <f>W277+X277/60+Y277/3600</f>
        <v>0</v>
      </c>
      <c r="AA277" s="26">
        <f>ABS(Z277-Q277)/Q277</f>
        <v>1</v>
      </c>
      <c r="AB277" s="26"/>
      <c r="AC277" s="14">
        <f>P277</f>
        <v>48.853543916100001</v>
      </c>
      <c r="AD277" s="14">
        <f>Q277</f>
        <v>2.4106264257399999</v>
      </c>
    </row>
    <row r="278" spans="1:30" s="14" customFormat="1">
      <c r="A278" s="12">
        <v>34</v>
      </c>
      <c r="B278" s="12" t="s">
        <v>71</v>
      </c>
      <c r="C278" s="14" t="str">
        <f>VLOOKUP(B278,weights!A:B,2,FALSE)</f>
        <v>P</v>
      </c>
      <c r="D278" s="13">
        <v>276</v>
      </c>
      <c r="E278" s="14" t="s">
        <v>405</v>
      </c>
      <c r="G278" s="15"/>
      <c r="H278" s="18"/>
      <c r="I278" s="18"/>
      <c r="K278" s="14">
        <f>VLOOKUP(B278,weights!A:G,5,FALSE)</f>
        <v>1.41</v>
      </c>
      <c r="L278" s="14">
        <f>VLOOKUP(B278,weights!A:G,6,FALSE)</f>
        <v>7</v>
      </c>
      <c r="M278" s="14">
        <f>VLOOKUP(B278,weights!A:G,7,FALSE)</f>
        <v>10</v>
      </c>
      <c r="N278" t="s">
        <v>5459</v>
      </c>
      <c r="O278">
        <v>855</v>
      </c>
      <c r="P278">
        <v>48.855726428600001</v>
      </c>
      <c r="Q278">
        <v>2.42298321615</v>
      </c>
      <c r="R278" s="22"/>
      <c r="S278" s="22"/>
      <c r="T278" s="22"/>
      <c r="U278" s="24">
        <f>R278+S278/60+T278/3600</f>
        <v>0</v>
      </c>
      <c r="V278" s="28">
        <f>ABS(U278-P278)/P278</f>
        <v>1</v>
      </c>
      <c r="W278" s="22"/>
      <c r="X278" s="22"/>
      <c r="Y278" s="22"/>
      <c r="Z278" s="14">
        <f>W278+X278/60+Y278/3600</f>
        <v>0</v>
      </c>
      <c r="AA278" s="26">
        <f>ABS(Z278-Q278)/Q278</f>
        <v>1</v>
      </c>
      <c r="AB278" s="26"/>
      <c r="AC278" s="14">
        <f>P278</f>
        <v>48.855726428600001</v>
      </c>
      <c r="AD278" s="14">
        <f>Q278</f>
        <v>2.42298321615</v>
      </c>
    </row>
    <row r="279" spans="1:30" s="14" customFormat="1">
      <c r="A279" s="12">
        <v>35</v>
      </c>
      <c r="B279" s="12" t="s">
        <v>71</v>
      </c>
      <c r="C279" s="14" t="str">
        <f>VLOOKUP(B279,weights!A:B,2,FALSE)</f>
        <v>P</v>
      </c>
      <c r="D279" s="13">
        <v>277</v>
      </c>
      <c r="E279" s="14" t="s">
        <v>406</v>
      </c>
      <c r="G279" s="15"/>
      <c r="H279" s="18"/>
      <c r="I279" s="18"/>
      <c r="K279" s="14">
        <f>VLOOKUP(B279,weights!A:G,5,FALSE)</f>
        <v>1.41</v>
      </c>
      <c r="L279" s="14">
        <f>VLOOKUP(B279,weights!A:G,6,FALSE)</f>
        <v>7</v>
      </c>
      <c r="M279" s="14">
        <f>VLOOKUP(B279,weights!A:G,7,FALSE)</f>
        <v>10</v>
      </c>
      <c r="N279" t="s">
        <v>3821</v>
      </c>
      <c r="O279">
        <v>856</v>
      </c>
      <c r="P279">
        <v>48.857965592100001</v>
      </c>
      <c r="Q279">
        <v>2.43555571977</v>
      </c>
      <c r="R279" s="22"/>
      <c r="S279" s="22"/>
      <c r="T279" s="22"/>
      <c r="U279" s="24">
        <f>R279+S279/60+T279/3600</f>
        <v>0</v>
      </c>
      <c r="V279" s="28">
        <f>ABS(U279-P279)/P279</f>
        <v>1</v>
      </c>
      <c r="W279" s="22"/>
      <c r="X279" s="22"/>
      <c r="Y279" s="22"/>
      <c r="Z279" s="14">
        <f>W279+X279/60+Y279/3600</f>
        <v>0</v>
      </c>
      <c r="AA279" s="26">
        <f>ABS(Z279-Q279)/Q279</f>
        <v>1</v>
      </c>
      <c r="AB279" s="26"/>
      <c r="AC279" s="14">
        <f>P279</f>
        <v>48.857965592100001</v>
      </c>
      <c r="AD279" s="14">
        <f>Q279</f>
        <v>2.43555571977</v>
      </c>
    </row>
    <row r="280" spans="1:30" s="14" customFormat="1">
      <c r="A280" s="12">
        <v>36</v>
      </c>
      <c r="B280" s="12" t="s">
        <v>71</v>
      </c>
      <c r="C280" s="14" t="str">
        <f>VLOOKUP(B280,weights!A:B,2,FALSE)</f>
        <v>P</v>
      </c>
      <c r="D280" s="13">
        <v>278</v>
      </c>
      <c r="E280" s="14" t="s">
        <v>765</v>
      </c>
      <c r="G280" s="15"/>
      <c r="H280" s="18"/>
      <c r="I280" s="18"/>
      <c r="K280" s="14">
        <f>VLOOKUP(B280,weights!A:G,5,FALSE)</f>
        <v>1.41</v>
      </c>
      <c r="L280" s="14">
        <f>VLOOKUP(B280,weights!A:G,6,FALSE)</f>
        <v>7</v>
      </c>
      <c r="M280" s="14">
        <f>VLOOKUP(B280,weights!A:G,7,FALSE)</f>
        <v>10</v>
      </c>
      <c r="N280" t="s">
        <v>4712</v>
      </c>
      <c r="O280">
        <v>126</v>
      </c>
      <c r="P280">
        <v>48.861936913199997</v>
      </c>
      <c r="Q280">
        <v>2.4413109399000001</v>
      </c>
      <c r="R280" s="22"/>
      <c r="S280" s="22"/>
      <c r="T280" s="22"/>
      <c r="U280" s="24">
        <f>R280+S280/60+T280/3600</f>
        <v>0</v>
      </c>
      <c r="V280" s="28">
        <f>ABS(U280-P280)/P280</f>
        <v>1</v>
      </c>
      <c r="W280" s="22"/>
      <c r="X280" s="22"/>
      <c r="Y280" s="22"/>
      <c r="Z280" s="14">
        <f>W280+X280/60+Y280/3600</f>
        <v>0</v>
      </c>
      <c r="AA280" s="26">
        <f>ABS(Z280-Q280)/Q280</f>
        <v>1</v>
      </c>
      <c r="AB280" s="26"/>
      <c r="AC280" s="14">
        <f>P280</f>
        <v>48.861936913199997</v>
      </c>
      <c r="AD280" s="14">
        <f>Q280</f>
        <v>2.4413109399000001</v>
      </c>
    </row>
    <row r="281" spans="1:30" s="14" customFormat="1">
      <c r="A281" s="12">
        <v>0</v>
      </c>
      <c r="B281" s="12" t="s">
        <v>195</v>
      </c>
      <c r="C281" s="14" t="str">
        <f>VLOOKUP(B281,weights!A:B,2,FALSE)</f>
        <v>M</v>
      </c>
      <c r="D281" s="13">
        <v>279</v>
      </c>
      <c r="E281" s="14" t="s">
        <v>413</v>
      </c>
      <c r="G281" s="14" t="s">
        <v>760</v>
      </c>
      <c r="H281" s="18"/>
      <c r="I281" s="18" t="s">
        <v>1727</v>
      </c>
      <c r="J281" s="14">
        <v>280</v>
      </c>
      <c r="K281" s="14">
        <f>VLOOKUP(B281,weights!A:G,5,FALSE)</f>
        <v>1.47</v>
      </c>
      <c r="L281" s="14">
        <f>VLOOKUP(B281,weights!A:G,6,FALSE)</f>
        <v>7</v>
      </c>
      <c r="M281" s="14">
        <f>VLOOKUP(B281,weights!A:G,7,FALSE)</f>
        <v>10</v>
      </c>
      <c r="N281" t="s">
        <v>3420</v>
      </c>
      <c r="O281">
        <v>340</v>
      </c>
      <c r="P281">
        <v>48.8407450152</v>
      </c>
      <c r="Q281">
        <v>2.2285369815</v>
      </c>
      <c r="R281" s="22"/>
      <c r="S281" s="22"/>
      <c r="T281" s="22"/>
      <c r="U281" s="24">
        <f>R281+S281/60+T281/3600</f>
        <v>0</v>
      </c>
      <c r="V281" s="28">
        <f>ABS(U281-P281)/P281</f>
        <v>1</v>
      </c>
      <c r="W281" s="22"/>
      <c r="X281" s="22"/>
      <c r="Y281" s="22"/>
      <c r="Z281" s="14">
        <f>W281+X281/60+Y281/3600</f>
        <v>0</v>
      </c>
      <c r="AA281" s="26">
        <f>ABS(Z281-Q281)/Q281</f>
        <v>1</v>
      </c>
      <c r="AB281" s="26"/>
      <c r="AC281" s="14">
        <f>P281</f>
        <v>48.8407450152</v>
      </c>
      <c r="AD281" s="14">
        <f>Q281</f>
        <v>2.2285369815</v>
      </c>
    </row>
    <row r="282" spans="1:30" s="14" customFormat="1">
      <c r="A282" s="12">
        <v>1</v>
      </c>
      <c r="B282" s="12" t="s">
        <v>195</v>
      </c>
      <c r="C282" s="14" t="str">
        <f>VLOOKUP(B282,weights!A:B,2,FALSE)</f>
        <v>M</v>
      </c>
      <c r="D282" s="13">
        <v>280</v>
      </c>
      <c r="E282" s="14" t="s">
        <v>414</v>
      </c>
      <c r="H282" s="18"/>
      <c r="I282" s="18"/>
      <c r="J282" s="14">
        <v>281.28199999999998</v>
      </c>
      <c r="K282" s="14">
        <f>VLOOKUP(B282,weights!A:G,5,FALSE)</f>
        <v>1.47</v>
      </c>
      <c r="L282" s="14">
        <f>VLOOKUP(B282,weights!A:G,6,FALSE)</f>
        <v>7</v>
      </c>
      <c r="M282" s="14">
        <f>VLOOKUP(B282,weights!A:G,7,FALSE)</f>
        <v>10</v>
      </c>
      <c r="N282" t="s">
        <v>3417</v>
      </c>
      <c r="O282">
        <v>34</v>
      </c>
      <c r="P282">
        <v>48.842005347300002</v>
      </c>
      <c r="Q282">
        <v>2.2388873285200002</v>
      </c>
      <c r="R282" s="22"/>
      <c r="S282" s="22"/>
      <c r="T282" s="22"/>
      <c r="U282" s="24">
        <f>R282+S282/60+T282/3600</f>
        <v>0</v>
      </c>
      <c r="V282" s="28">
        <f>ABS(U282-P282)/P282</f>
        <v>1</v>
      </c>
      <c r="W282" s="22"/>
      <c r="X282" s="22"/>
      <c r="Y282" s="22"/>
      <c r="Z282" s="14">
        <f>W282+X282/60+Y282/3600</f>
        <v>0</v>
      </c>
      <c r="AA282" s="26">
        <f>ABS(Z282-Q282)/Q282</f>
        <v>1</v>
      </c>
      <c r="AB282" s="26"/>
      <c r="AC282" s="14">
        <f>P282</f>
        <v>48.842005347300002</v>
      </c>
      <c r="AD282" s="14">
        <f>Q282</f>
        <v>2.2388873285200002</v>
      </c>
    </row>
    <row r="283" spans="1:30" s="14" customFormat="1">
      <c r="A283" s="12">
        <v>2</v>
      </c>
      <c r="B283" s="12" t="s">
        <v>195</v>
      </c>
      <c r="C283" s="14" t="str">
        <f>VLOOKUP(B283,weights!A:B,2,FALSE)</f>
        <v>M</v>
      </c>
      <c r="D283" s="13">
        <v>281</v>
      </c>
      <c r="E283" s="14" t="s">
        <v>415</v>
      </c>
      <c r="H283" s="18"/>
      <c r="I283" s="18"/>
      <c r="J283" s="14">
        <v>283</v>
      </c>
      <c r="K283" s="14">
        <f>VLOOKUP(B283,weights!A:G,5,FALSE)</f>
        <v>1.47</v>
      </c>
      <c r="L283" s="14">
        <f>VLOOKUP(B283,weights!A:G,6,FALSE)</f>
        <v>7</v>
      </c>
      <c r="M283" s="14">
        <f>VLOOKUP(B283,weights!A:G,7,FALSE)</f>
        <v>10</v>
      </c>
      <c r="N283" t="s">
        <v>5280</v>
      </c>
      <c r="O283">
        <v>858</v>
      </c>
      <c r="P283">
        <v>48.8479715406</v>
      </c>
      <c r="Q283">
        <v>2.2577446803800001</v>
      </c>
      <c r="R283" s="22"/>
      <c r="S283" s="22"/>
      <c r="T283" s="22"/>
      <c r="U283" s="24">
        <f>R283+S283/60+T283/3600</f>
        <v>0</v>
      </c>
      <c r="V283" s="28">
        <f>ABS(U283-P283)/P283</f>
        <v>1</v>
      </c>
      <c r="W283" s="22"/>
      <c r="X283" s="22"/>
      <c r="Y283" s="22"/>
      <c r="Z283" s="14">
        <f>W283+X283/60+Y283/3600</f>
        <v>0</v>
      </c>
      <c r="AA283" s="26">
        <f>ABS(Z283-Q283)/Q283</f>
        <v>1</v>
      </c>
      <c r="AB283" s="26"/>
      <c r="AC283" s="14">
        <f>P283</f>
        <v>48.8479715406</v>
      </c>
      <c r="AD283" s="14">
        <f>Q283</f>
        <v>2.2577446803800001</v>
      </c>
    </row>
    <row r="284" spans="1:30" s="14" customFormat="1">
      <c r="A284" s="12">
        <v>3</v>
      </c>
      <c r="B284" s="12" t="s">
        <v>195</v>
      </c>
      <c r="C284" s="14" t="str">
        <f>VLOOKUP(B284,weights!A:B,2,FALSE)</f>
        <v>M</v>
      </c>
      <c r="D284" s="13">
        <v>282</v>
      </c>
      <c r="E284" s="14" t="s">
        <v>387</v>
      </c>
      <c r="G284" s="14" t="s">
        <v>71</v>
      </c>
      <c r="H284" s="18" t="s">
        <v>1728</v>
      </c>
      <c r="I284" s="18"/>
      <c r="J284" s="14">
        <v>284</v>
      </c>
      <c r="K284" s="14">
        <f>VLOOKUP(B284,weights!A:G,5,FALSE)</f>
        <v>1.47</v>
      </c>
      <c r="L284" s="14">
        <f>VLOOKUP(B284,weights!A:G,6,FALSE)</f>
        <v>7</v>
      </c>
      <c r="M284" s="14">
        <f>VLOOKUP(B284,weights!A:G,7,FALSE)</f>
        <v>10</v>
      </c>
      <c r="N284" t="s">
        <v>4872</v>
      </c>
      <c r="O284">
        <v>859</v>
      </c>
      <c r="P284">
        <v>48.845241194800003</v>
      </c>
      <c r="Q284">
        <v>2.26189364176</v>
      </c>
      <c r="R284" s="22"/>
      <c r="S284" s="22"/>
      <c r="T284" s="22"/>
      <c r="U284" s="24">
        <f>R284+S284/60+T284/3600</f>
        <v>0</v>
      </c>
      <c r="V284" s="28">
        <f>ABS(U284-P284)/P284</f>
        <v>1</v>
      </c>
      <c r="W284" s="22"/>
      <c r="X284" s="22"/>
      <c r="Y284" s="22"/>
      <c r="Z284" s="14">
        <f>W284+X284/60+Y284/3600</f>
        <v>0</v>
      </c>
      <c r="AA284" s="26">
        <f>ABS(Z284-Q284)/Q284</f>
        <v>1</v>
      </c>
      <c r="AB284" s="26"/>
      <c r="AC284" s="14">
        <f>P284</f>
        <v>48.845241194800003</v>
      </c>
      <c r="AD284" s="14">
        <f>Q284</f>
        <v>2.26189364176</v>
      </c>
    </row>
    <row r="285" spans="1:30" s="14" customFormat="1">
      <c r="A285" s="12">
        <v>4</v>
      </c>
      <c r="B285" s="12" t="s">
        <v>195</v>
      </c>
      <c r="C285" s="14" t="str">
        <f>VLOOKUP(B285,weights!A:B,2,FALSE)</f>
        <v>M</v>
      </c>
      <c r="D285" s="13">
        <v>283</v>
      </c>
      <c r="E285" s="14" t="s">
        <v>388</v>
      </c>
      <c r="G285" s="14" t="s">
        <v>71</v>
      </c>
      <c r="H285" s="18" t="s">
        <v>1729</v>
      </c>
      <c r="I285" s="18"/>
      <c r="J285" s="14">
        <v>285</v>
      </c>
      <c r="K285" s="14">
        <f>VLOOKUP(B285,weights!A:G,5,FALSE)</f>
        <v>1.47</v>
      </c>
      <c r="L285" s="14">
        <f>VLOOKUP(B285,weights!A:G,6,FALSE)</f>
        <v>7</v>
      </c>
      <c r="M285" s="14">
        <f>VLOOKUP(B285,weights!A:G,7,FALSE)</f>
        <v>10</v>
      </c>
      <c r="N285" t="s">
        <v>4868</v>
      </c>
      <c r="O285">
        <v>341</v>
      </c>
      <c r="P285">
        <v>48.847943097200002</v>
      </c>
      <c r="Q285">
        <v>2.26413042674</v>
      </c>
      <c r="R285" s="22"/>
      <c r="S285" s="22"/>
      <c r="T285" s="22"/>
      <c r="U285" s="24">
        <f>R285+S285/60+T285/3600</f>
        <v>0</v>
      </c>
      <c r="V285" s="28">
        <f>ABS(U285-P285)/P285</f>
        <v>1</v>
      </c>
      <c r="W285" s="22"/>
      <c r="X285" s="22"/>
      <c r="Y285" s="22"/>
      <c r="Z285" s="14">
        <f>W285+X285/60+Y285/3600</f>
        <v>0</v>
      </c>
      <c r="AA285" s="26">
        <f>ABS(Z285-Q285)/Q285</f>
        <v>1</v>
      </c>
      <c r="AB285" s="26"/>
      <c r="AC285" s="14">
        <f>P285</f>
        <v>48.847943097200002</v>
      </c>
      <c r="AD285" s="14">
        <f>Q285</f>
        <v>2.26413042674</v>
      </c>
    </row>
    <row r="286" spans="1:30" s="14" customFormat="1">
      <c r="A286" s="12">
        <v>5</v>
      </c>
      <c r="B286" s="12" t="s">
        <v>195</v>
      </c>
      <c r="C286" s="14" t="str">
        <f>VLOOKUP(B286,weights!A:B,2,FALSE)</f>
        <v>M</v>
      </c>
      <c r="D286" s="13">
        <v>284</v>
      </c>
      <c r="E286" s="14" t="s">
        <v>416</v>
      </c>
      <c r="H286" s="18"/>
      <c r="I286" s="18"/>
      <c r="J286" s="14">
        <v>286</v>
      </c>
      <c r="K286" s="14">
        <f>VLOOKUP(B286,weights!A:G,5,FALSE)</f>
        <v>1.47</v>
      </c>
      <c r="L286" s="14">
        <f>VLOOKUP(B286,weights!A:G,6,FALSE)</f>
        <v>7</v>
      </c>
      <c r="M286" s="14">
        <f>VLOOKUP(B286,weights!A:G,7,FALSE)</f>
        <v>10</v>
      </c>
      <c r="N286" t="s">
        <v>3588</v>
      </c>
      <c r="O286">
        <v>342</v>
      </c>
      <c r="P286">
        <v>48.845204702700002</v>
      </c>
      <c r="Q286">
        <v>2.2664415403699998</v>
      </c>
      <c r="R286" s="22"/>
      <c r="S286" s="22"/>
      <c r="T286" s="22"/>
      <c r="U286" s="24">
        <f>R286+S286/60+T286/3600</f>
        <v>0</v>
      </c>
      <c r="V286" s="28">
        <f>ABS(U286-P286)/P286</f>
        <v>1</v>
      </c>
      <c r="W286" s="22"/>
      <c r="X286" s="22"/>
      <c r="Y286" s="22"/>
      <c r="Z286" s="14">
        <f>W286+X286/60+Y286/3600</f>
        <v>0</v>
      </c>
      <c r="AA286" s="26">
        <f>ABS(Z286-Q286)/Q286</f>
        <v>1</v>
      </c>
      <c r="AB286" s="26"/>
      <c r="AC286" s="14">
        <f>P286</f>
        <v>48.845204702700002</v>
      </c>
      <c r="AD286" s="14">
        <f>Q286</f>
        <v>2.2664415403699998</v>
      </c>
    </row>
    <row r="287" spans="1:30" s="14" customFormat="1">
      <c r="A287" s="12">
        <v>6</v>
      </c>
      <c r="B287" s="12" t="s">
        <v>195</v>
      </c>
      <c r="C287" s="14" t="str">
        <f>VLOOKUP(B287,weights!A:B,2,FALSE)</f>
        <v>M</v>
      </c>
      <c r="D287" s="13">
        <v>285</v>
      </c>
      <c r="E287" s="14" t="s">
        <v>417</v>
      </c>
      <c r="H287" s="18"/>
      <c r="I287" s="18"/>
      <c r="J287" s="14">
        <v>287</v>
      </c>
      <c r="K287" s="14">
        <f>VLOOKUP(B287,weights!A:G,5,FALSE)</f>
        <v>1.47</v>
      </c>
      <c r="L287" s="14">
        <f>VLOOKUP(B287,weights!A:G,6,FALSE)</f>
        <v>7</v>
      </c>
      <c r="M287" s="14">
        <f>VLOOKUP(B287,weights!A:G,7,FALSE)</f>
        <v>10</v>
      </c>
      <c r="N287" t="s">
        <v>3914</v>
      </c>
      <c r="O287">
        <v>857</v>
      </c>
      <c r="P287">
        <v>48.847150055699998</v>
      </c>
      <c r="Q287">
        <v>2.2691358727300002</v>
      </c>
      <c r="R287" s="22"/>
      <c r="S287" s="22"/>
      <c r="T287" s="22"/>
      <c r="U287" s="24">
        <f>R287+S287/60+T287/3600</f>
        <v>0</v>
      </c>
      <c r="V287" s="28">
        <f>ABS(U287-P287)/P287</f>
        <v>1</v>
      </c>
      <c r="W287" s="22"/>
      <c r="X287" s="22"/>
      <c r="Y287" s="22"/>
      <c r="Z287" s="14">
        <f>W287+X287/60+Y287/3600</f>
        <v>0</v>
      </c>
      <c r="AA287" s="26">
        <f>ABS(Z287-Q287)/Q287</f>
        <v>1</v>
      </c>
      <c r="AB287" s="26"/>
      <c r="AC287" s="14">
        <f>P287</f>
        <v>48.847150055699998</v>
      </c>
      <c r="AD287" s="14">
        <f>Q287</f>
        <v>2.2691358727300002</v>
      </c>
    </row>
    <row r="288" spans="1:30" s="14" customFormat="1">
      <c r="A288" s="12">
        <v>7</v>
      </c>
      <c r="B288" s="12" t="s">
        <v>195</v>
      </c>
      <c r="C288" s="14" t="str">
        <f>VLOOKUP(B288,weights!A:B,2,FALSE)</f>
        <v>M</v>
      </c>
      <c r="D288" s="13">
        <v>286</v>
      </c>
      <c r="E288" s="14" t="s">
        <v>418</v>
      </c>
      <c r="H288" s="18"/>
      <c r="I288" s="18"/>
      <c r="J288" s="14">
        <v>287</v>
      </c>
      <c r="K288" s="14">
        <f>VLOOKUP(B288,weights!A:G,5,FALSE)</f>
        <v>1.47</v>
      </c>
      <c r="L288" s="14">
        <f>VLOOKUP(B288,weights!A:G,6,FALSE)</f>
        <v>7</v>
      </c>
      <c r="M288" s="14">
        <f>VLOOKUP(B288,weights!A:G,7,FALSE)</f>
        <v>10</v>
      </c>
      <c r="N288" t="s">
        <v>4875</v>
      </c>
      <c r="O288">
        <v>127</v>
      </c>
      <c r="P288">
        <v>48.847131008200002</v>
      </c>
      <c r="Q288">
        <v>2.27276375332</v>
      </c>
      <c r="R288" s="22"/>
      <c r="S288" s="22"/>
      <c r="T288" s="22"/>
      <c r="U288" s="24">
        <f>R288+S288/60+T288/3600</f>
        <v>0</v>
      </c>
      <c r="V288" s="28">
        <f>ABS(U288-P288)/P288</f>
        <v>1</v>
      </c>
      <c r="W288" s="22"/>
      <c r="X288" s="22"/>
      <c r="Y288" s="22"/>
      <c r="Z288" s="14">
        <f>W288+X288/60+Y288/3600</f>
        <v>0</v>
      </c>
      <c r="AA288" s="26">
        <f>ABS(Z288-Q288)/Q288</f>
        <v>1</v>
      </c>
      <c r="AB288" s="26"/>
      <c r="AC288" s="14">
        <f>P288</f>
        <v>48.847131008200002</v>
      </c>
      <c r="AD288" s="14">
        <f>Q288</f>
        <v>2.27276375332</v>
      </c>
    </row>
    <row r="289" spans="1:30" s="14" customFormat="1">
      <c r="A289" s="12">
        <v>8</v>
      </c>
      <c r="B289" s="12" t="s">
        <v>195</v>
      </c>
      <c r="C289" s="14" t="str">
        <f>VLOOKUP(B289,weights!A:B,2,FALSE)</f>
        <v>M</v>
      </c>
      <c r="D289" s="13">
        <v>287</v>
      </c>
      <c r="E289" s="14" t="s">
        <v>419</v>
      </c>
      <c r="G289" s="14" t="s">
        <v>756</v>
      </c>
      <c r="H289" s="18"/>
      <c r="I289" s="18" t="s">
        <v>1730</v>
      </c>
      <c r="J289" s="14">
        <v>288</v>
      </c>
      <c r="K289" s="14">
        <f>VLOOKUP(B289,weights!A:G,5,FALSE)</f>
        <v>1.47</v>
      </c>
      <c r="L289" s="14">
        <f>VLOOKUP(B289,weights!A:G,6,FALSE)</f>
        <v>7</v>
      </c>
      <c r="M289" s="14">
        <f>VLOOKUP(B289,weights!A:G,7,FALSE)</f>
        <v>10</v>
      </c>
      <c r="N289" t="s">
        <v>4303</v>
      </c>
      <c r="O289">
        <v>714</v>
      </c>
      <c r="P289">
        <v>48.846192140500001</v>
      </c>
      <c r="Q289">
        <v>2.27676096738</v>
      </c>
      <c r="R289" s="22"/>
      <c r="S289" s="22"/>
      <c r="T289" s="22"/>
      <c r="U289" s="24">
        <f>R289+S289/60+T289/3600</f>
        <v>0</v>
      </c>
      <c r="V289" s="28">
        <f>ABS(U289-P289)/P289</f>
        <v>1</v>
      </c>
      <c r="W289" s="22"/>
      <c r="X289" s="22"/>
      <c r="Y289" s="22"/>
      <c r="Z289" s="14">
        <f>W289+X289/60+Y289/3600</f>
        <v>0</v>
      </c>
      <c r="AA289" s="26">
        <f>ABS(Z289-Q289)/Q289</f>
        <v>1</v>
      </c>
      <c r="AB289" s="26"/>
      <c r="AC289" s="14">
        <f>P289</f>
        <v>48.846192140500001</v>
      </c>
      <c r="AD289" s="14">
        <f>Q289</f>
        <v>2.27676096738</v>
      </c>
    </row>
    <row r="290" spans="1:30" s="14" customFormat="1">
      <c r="A290" s="12">
        <v>9</v>
      </c>
      <c r="B290" s="12" t="s">
        <v>195</v>
      </c>
      <c r="C290" s="14" t="str">
        <f>VLOOKUP(B290,weights!A:B,2,FALSE)</f>
        <v>M</v>
      </c>
      <c r="D290" s="13">
        <v>288</v>
      </c>
      <c r="E290" s="14" t="s">
        <v>420</v>
      </c>
      <c r="H290" s="18"/>
      <c r="I290" s="18"/>
      <c r="J290" s="14">
        <v>289</v>
      </c>
      <c r="K290" s="14">
        <f>VLOOKUP(B290,weights!A:G,5,FALSE)</f>
        <v>1.47</v>
      </c>
      <c r="L290" s="14">
        <f>VLOOKUP(B290,weights!A:G,6,FALSE)</f>
        <v>7</v>
      </c>
      <c r="M290" s="14">
        <f>VLOOKUP(B290,weights!A:G,7,FALSE)</f>
        <v>10</v>
      </c>
      <c r="N290" t="s">
        <v>3601</v>
      </c>
      <c r="O290">
        <v>860</v>
      </c>
      <c r="P290">
        <v>48.8465346367</v>
      </c>
      <c r="Q290">
        <v>2.2859992220600001</v>
      </c>
      <c r="R290" s="22"/>
      <c r="S290" s="22"/>
      <c r="T290" s="22"/>
      <c r="U290" s="24">
        <f>R290+S290/60+T290/3600</f>
        <v>0</v>
      </c>
      <c r="V290" s="28">
        <f>ABS(U290-P290)/P290</f>
        <v>1</v>
      </c>
      <c r="W290" s="22"/>
      <c r="X290" s="22"/>
      <c r="Y290" s="22"/>
      <c r="Z290" s="14">
        <f>W290+X290/60+Y290/3600</f>
        <v>0</v>
      </c>
      <c r="AA290" s="26">
        <f>ABS(Z290-Q290)/Q290</f>
        <v>1</v>
      </c>
      <c r="AB290" s="26"/>
      <c r="AC290" s="14">
        <f>P290</f>
        <v>48.8465346367</v>
      </c>
      <c r="AD290" s="14">
        <f>Q290</f>
        <v>2.2859992220600001</v>
      </c>
    </row>
    <row r="291" spans="1:30" s="14" customFormat="1">
      <c r="A291" s="12">
        <v>10</v>
      </c>
      <c r="B291" s="12" t="s">
        <v>195</v>
      </c>
      <c r="C291" s="14" t="str">
        <f>VLOOKUP(B291,weights!A:B,2,FALSE)</f>
        <v>M</v>
      </c>
      <c r="D291" s="13">
        <v>289</v>
      </c>
      <c r="E291" s="14" t="s">
        <v>421</v>
      </c>
      <c r="H291" s="18"/>
      <c r="I291" s="18"/>
      <c r="J291" s="14">
        <v>290</v>
      </c>
      <c r="K291" s="14">
        <f>VLOOKUP(B291,weights!A:G,5,FALSE)</f>
        <v>1.47</v>
      </c>
      <c r="L291" s="14">
        <f>VLOOKUP(B291,weights!A:G,6,FALSE)</f>
        <v>7</v>
      </c>
      <c r="M291" s="14">
        <f>VLOOKUP(B291,weights!A:G,7,FALSE)</f>
        <v>10</v>
      </c>
      <c r="N291" t="s">
        <v>3250</v>
      </c>
      <c r="O291">
        <v>216</v>
      </c>
      <c r="P291">
        <v>48.8470195819</v>
      </c>
      <c r="Q291">
        <v>2.29542047803</v>
      </c>
      <c r="R291" s="22"/>
      <c r="S291" s="22"/>
      <c r="T291" s="22"/>
      <c r="U291" s="24">
        <f>R291+S291/60+T291/3600</f>
        <v>0</v>
      </c>
      <c r="V291" s="28">
        <f>ABS(U291-P291)/P291</f>
        <v>1</v>
      </c>
      <c r="W291" s="22"/>
      <c r="X291" s="22"/>
      <c r="Y291" s="22"/>
      <c r="Z291" s="14">
        <f>W291+X291/60+Y291/3600</f>
        <v>0</v>
      </c>
      <c r="AA291" s="26">
        <f>ABS(Z291-Q291)/Q291</f>
        <v>1</v>
      </c>
      <c r="AB291" s="26"/>
      <c r="AC291" s="14">
        <f>P291</f>
        <v>48.8470195819</v>
      </c>
      <c r="AD291" s="14">
        <f>Q291</f>
        <v>2.29542047803</v>
      </c>
    </row>
    <row r="292" spans="1:30" s="14" customFormat="1">
      <c r="A292" s="12">
        <v>11</v>
      </c>
      <c r="B292" s="12" t="s">
        <v>195</v>
      </c>
      <c r="C292" s="14" t="str">
        <f>VLOOKUP(B292,weights!A:B,2,FALSE)</f>
        <v>M</v>
      </c>
      <c r="D292" s="13">
        <v>290</v>
      </c>
      <c r="E292" s="14" t="s">
        <v>227</v>
      </c>
      <c r="G292" s="14" t="s">
        <v>430</v>
      </c>
      <c r="H292" s="18" t="s">
        <v>1731</v>
      </c>
      <c r="I292" s="18"/>
      <c r="J292" s="14">
        <v>291</v>
      </c>
      <c r="K292" s="14">
        <f>VLOOKUP(B292,weights!A:G,5,FALSE)</f>
        <v>1.47</v>
      </c>
      <c r="L292" s="14">
        <f>VLOOKUP(B292,weights!A:G,6,FALSE)</f>
        <v>7</v>
      </c>
      <c r="M292" s="14">
        <f>VLOOKUP(B292,weights!A:G,7,FALSE)</f>
        <v>10</v>
      </c>
      <c r="N292" t="s">
        <v>4419</v>
      </c>
      <c r="O292">
        <v>879</v>
      </c>
      <c r="P292">
        <v>48.849064563500001</v>
      </c>
      <c r="Q292">
        <v>2.29791659184</v>
      </c>
      <c r="R292" s="22"/>
      <c r="S292" s="22"/>
      <c r="T292" s="22"/>
      <c r="U292" s="24">
        <f>R292+S292/60+T292/3600</f>
        <v>0</v>
      </c>
      <c r="V292" s="28">
        <f>ABS(U292-P292)/P292</f>
        <v>1</v>
      </c>
      <c r="W292" s="22"/>
      <c r="X292" s="22"/>
      <c r="Y292" s="22"/>
      <c r="Z292" s="14">
        <f>W292+X292/60+Y292/3600</f>
        <v>0</v>
      </c>
      <c r="AA292" s="26">
        <f>ABS(Z292-Q292)/Q292</f>
        <v>1</v>
      </c>
      <c r="AB292" s="26"/>
      <c r="AC292" s="14">
        <f>P292</f>
        <v>48.849064563500001</v>
      </c>
      <c r="AD292" s="14">
        <f>Q292</f>
        <v>2.29791659184</v>
      </c>
    </row>
    <row r="293" spans="1:30" s="14" customFormat="1">
      <c r="A293" s="12">
        <v>12</v>
      </c>
      <c r="B293" s="12" t="s">
        <v>195</v>
      </c>
      <c r="C293" s="14" t="str">
        <f>VLOOKUP(B293,weights!A:B,2,FALSE)</f>
        <v>M</v>
      </c>
      <c r="D293" s="13">
        <v>291</v>
      </c>
      <c r="E293" s="14" t="s">
        <v>422</v>
      </c>
      <c r="H293" s="18"/>
      <c r="I293" s="18"/>
      <c r="J293" s="14">
        <v>292</v>
      </c>
      <c r="K293" s="14">
        <f>VLOOKUP(B293,weights!A:G,5,FALSE)</f>
        <v>1.47</v>
      </c>
      <c r="L293" s="14">
        <f>VLOOKUP(B293,weights!A:G,6,FALSE)</f>
        <v>7</v>
      </c>
      <c r="M293" s="14">
        <f>VLOOKUP(B293,weights!A:G,7,FALSE)</f>
        <v>10</v>
      </c>
      <c r="N293" t="s">
        <v>5673</v>
      </c>
      <c r="O293">
        <v>128</v>
      </c>
      <c r="P293">
        <v>48.847066133200002</v>
      </c>
      <c r="Q293">
        <v>2.3074022406200001</v>
      </c>
      <c r="R293" s="22"/>
      <c r="S293" s="22"/>
      <c r="T293" s="22"/>
      <c r="U293" s="24">
        <f>R293+S293/60+T293/3600</f>
        <v>0</v>
      </c>
      <c r="V293" s="28">
        <f>ABS(U293-P293)/P293</f>
        <v>1</v>
      </c>
      <c r="W293" s="22"/>
      <c r="X293" s="22"/>
      <c r="Y293" s="22"/>
      <c r="Z293" s="14">
        <f>W293+X293/60+Y293/3600</f>
        <v>0</v>
      </c>
      <c r="AA293" s="26">
        <f>ABS(Z293-Q293)/Q293</f>
        <v>1</v>
      </c>
      <c r="AB293" s="26"/>
      <c r="AC293" s="14">
        <f>P293</f>
        <v>48.847066133200002</v>
      </c>
      <c r="AD293" s="14">
        <f>Q293</f>
        <v>2.3074022406200001</v>
      </c>
    </row>
    <row r="294" spans="1:30" s="14" customFormat="1">
      <c r="A294" s="12">
        <v>13</v>
      </c>
      <c r="B294" s="12" t="s">
        <v>195</v>
      </c>
      <c r="C294" s="14" t="str">
        <f>VLOOKUP(B294,weights!A:B,2,FALSE)</f>
        <v>M</v>
      </c>
      <c r="D294" s="13">
        <v>292</v>
      </c>
      <c r="E294" s="14" t="s">
        <v>423</v>
      </c>
      <c r="G294" s="14" t="s">
        <v>72</v>
      </c>
      <c r="H294" s="18" t="s">
        <v>1732</v>
      </c>
      <c r="I294" s="18"/>
      <c r="J294" s="14">
        <v>293</v>
      </c>
      <c r="K294" s="14">
        <f>VLOOKUP(B294,weights!A:G,5,FALSE)</f>
        <v>1.47</v>
      </c>
      <c r="L294" s="14">
        <f>VLOOKUP(B294,weights!A:G,6,FALSE)</f>
        <v>7</v>
      </c>
      <c r="M294" s="14">
        <f>VLOOKUP(B294,weights!A:G,7,FALSE)</f>
        <v>10</v>
      </c>
      <c r="N294" t="s">
        <v>3898</v>
      </c>
      <c r="O294">
        <v>45</v>
      </c>
      <c r="P294">
        <v>48.846854854900002</v>
      </c>
      <c r="Q294">
        <v>2.3166346711100001</v>
      </c>
      <c r="R294" s="22"/>
      <c r="S294" s="22"/>
      <c r="T294" s="22"/>
      <c r="U294" s="24">
        <f>R294+S294/60+T294/3600</f>
        <v>0</v>
      </c>
      <c r="V294" s="28">
        <f>ABS(U294-P294)/P294</f>
        <v>1</v>
      </c>
      <c r="W294" s="22"/>
      <c r="X294" s="22"/>
      <c r="Y294" s="22"/>
      <c r="Z294" s="14">
        <f>W294+X294/60+Y294/3600</f>
        <v>0</v>
      </c>
      <c r="AA294" s="26">
        <f>ABS(Z294-Q294)/Q294</f>
        <v>1</v>
      </c>
      <c r="AB294" s="26"/>
      <c r="AC294" s="14">
        <f>P294</f>
        <v>48.846854854900002</v>
      </c>
      <c r="AD294" s="14">
        <f>Q294</f>
        <v>2.3166346711100001</v>
      </c>
    </row>
    <row r="295" spans="1:30" s="14" customFormat="1">
      <c r="A295" s="12">
        <v>14</v>
      </c>
      <c r="B295" s="12" t="s">
        <v>195</v>
      </c>
      <c r="C295" s="14" t="str">
        <f>VLOOKUP(B295,weights!A:B,2,FALSE)</f>
        <v>M</v>
      </c>
      <c r="D295" s="13">
        <v>293</v>
      </c>
      <c r="E295" s="14" t="s">
        <v>424</v>
      </c>
      <c r="H295" s="18"/>
      <c r="I295" s="18"/>
      <c r="J295" s="14">
        <v>294</v>
      </c>
      <c r="K295" s="14">
        <f>VLOOKUP(B295,weights!A:G,5,FALSE)</f>
        <v>1.47</v>
      </c>
      <c r="L295" s="14">
        <f>VLOOKUP(B295,weights!A:G,6,FALSE)</f>
        <v>7</v>
      </c>
      <c r="M295" s="14">
        <f>VLOOKUP(B295,weights!A:G,7,FALSE)</f>
        <v>10</v>
      </c>
      <c r="N295" t="s">
        <v>5849</v>
      </c>
      <c r="O295">
        <v>129</v>
      </c>
      <c r="P295">
        <v>48.848816372500004</v>
      </c>
      <c r="Q295">
        <v>2.32125786291</v>
      </c>
      <c r="R295" s="22"/>
      <c r="S295" s="22"/>
      <c r="T295" s="22"/>
      <c r="U295" s="24">
        <f>R295+S295/60+T295/3600</f>
        <v>0</v>
      </c>
      <c r="V295" s="28">
        <f>ABS(U295-P295)/P295</f>
        <v>1</v>
      </c>
      <c r="W295" s="22"/>
      <c r="X295" s="22"/>
      <c r="Y295" s="22"/>
      <c r="Z295" s="14">
        <f>W295+X295/60+Y295/3600</f>
        <v>0</v>
      </c>
      <c r="AA295" s="26">
        <f>ABS(Z295-Q295)/Q295</f>
        <v>1</v>
      </c>
      <c r="AB295" s="26"/>
      <c r="AC295" s="14">
        <f>P295</f>
        <v>48.848816372500004</v>
      </c>
      <c r="AD295" s="14">
        <f>Q295</f>
        <v>2.32125786291</v>
      </c>
    </row>
    <row r="296" spans="1:30" s="14" customFormat="1">
      <c r="A296" s="12">
        <v>15</v>
      </c>
      <c r="B296" s="12" t="s">
        <v>195</v>
      </c>
      <c r="C296" s="14" t="str">
        <f>VLOOKUP(B296,weights!A:B,2,FALSE)</f>
        <v>M</v>
      </c>
      <c r="D296" s="13">
        <v>294</v>
      </c>
      <c r="E296" s="14" t="s">
        <v>425</v>
      </c>
      <c r="G296" s="14" t="s">
        <v>110</v>
      </c>
      <c r="H296" s="18" t="s">
        <v>1733</v>
      </c>
      <c r="I296" s="18"/>
      <c r="J296" s="14">
        <v>295</v>
      </c>
      <c r="K296" s="14">
        <f>VLOOKUP(B296,weights!A:G,5,FALSE)</f>
        <v>1.47</v>
      </c>
      <c r="L296" s="14">
        <f>VLOOKUP(B296,weights!A:G,6,FALSE)</f>
        <v>7</v>
      </c>
      <c r="M296" s="14">
        <f>VLOOKUP(B296,weights!A:G,7,FALSE)</f>
        <v>10</v>
      </c>
      <c r="N296" t="s">
        <v>5700</v>
      </c>
      <c r="O296">
        <v>130</v>
      </c>
      <c r="P296">
        <v>48.851378829700003</v>
      </c>
      <c r="Q296">
        <v>2.32693524475</v>
      </c>
      <c r="R296" s="22"/>
      <c r="S296" s="22"/>
      <c r="T296" s="22"/>
      <c r="U296" s="24">
        <f>R296+S296/60+T296/3600</f>
        <v>0</v>
      </c>
      <c r="V296" s="28">
        <f>ABS(U296-P296)/P296</f>
        <v>1</v>
      </c>
      <c r="W296" s="22"/>
      <c r="X296" s="22"/>
      <c r="Y296" s="22"/>
      <c r="Z296" s="14">
        <f>W296+X296/60+Y296/3600</f>
        <v>0</v>
      </c>
      <c r="AA296" s="26">
        <f>ABS(Z296-Q296)/Q296</f>
        <v>1</v>
      </c>
      <c r="AB296" s="26"/>
      <c r="AC296" s="14">
        <f>P296</f>
        <v>48.851378829700003</v>
      </c>
      <c r="AD296" s="14">
        <f>Q296</f>
        <v>2.32693524475</v>
      </c>
    </row>
    <row r="297" spans="1:30" s="14" customFormat="1">
      <c r="A297" s="12">
        <v>16</v>
      </c>
      <c r="B297" s="12" t="s">
        <v>195</v>
      </c>
      <c r="C297" s="14" t="str">
        <f>VLOOKUP(B297,weights!A:B,2,FALSE)</f>
        <v>M</v>
      </c>
      <c r="D297" s="13">
        <v>295</v>
      </c>
      <c r="E297" s="14" t="s">
        <v>426</v>
      </c>
      <c r="H297" s="18"/>
      <c r="I297" s="18"/>
      <c r="J297" s="14">
        <v>296</v>
      </c>
      <c r="K297" s="14">
        <f>VLOOKUP(B297,weights!A:G,5,FALSE)</f>
        <v>1.47</v>
      </c>
      <c r="L297" s="14">
        <f>VLOOKUP(B297,weights!A:G,6,FALSE)</f>
        <v>7</v>
      </c>
      <c r="M297" s="14">
        <f>VLOOKUP(B297,weights!A:G,7,FALSE)</f>
        <v>10</v>
      </c>
      <c r="N297" t="s">
        <v>4687</v>
      </c>
      <c r="O297">
        <v>217</v>
      </c>
      <c r="P297">
        <v>48.853016767</v>
      </c>
      <c r="Q297">
        <v>2.3355020503800001</v>
      </c>
      <c r="R297" s="22"/>
      <c r="S297" s="22"/>
      <c r="T297" s="22"/>
      <c r="U297" s="24">
        <f>R297+S297/60+T297/3600</f>
        <v>0</v>
      </c>
      <c r="V297" s="28">
        <f>ABS(U297-P297)/P297</f>
        <v>1</v>
      </c>
      <c r="W297" s="22"/>
      <c r="X297" s="22"/>
      <c r="Y297" s="22"/>
      <c r="Z297" s="14">
        <f>W297+X297/60+Y297/3600</f>
        <v>0</v>
      </c>
      <c r="AA297" s="26">
        <f>ABS(Z297-Q297)/Q297</f>
        <v>1</v>
      </c>
      <c r="AB297" s="26"/>
      <c r="AC297" s="14">
        <f>P297</f>
        <v>48.853016767</v>
      </c>
      <c r="AD297" s="14">
        <f>Q297</f>
        <v>2.3355020503800001</v>
      </c>
    </row>
    <row r="298" spans="1:30" s="14" customFormat="1">
      <c r="A298" s="12">
        <v>17</v>
      </c>
      <c r="B298" s="12" t="s">
        <v>195</v>
      </c>
      <c r="C298" s="14" t="str">
        <f>VLOOKUP(B298,weights!A:B,2,FALSE)</f>
        <v>M</v>
      </c>
      <c r="D298" s="13">
        <v>296</v>
      </c>
      <c r="E298" s="14" t="s">
        <v>171</v>
      </c>
      <c r="G298" s="14" t="s">
        <v>111</v>
      </c>
      <c r="H298" s="18" t="s">
        <v>1734</v>
      </c>
      <c r="I298" s="18"/>
      <c r="J298" s="14">
        <v>297</v>
      </c>
      <c r="K298" s="14">
        <f>VLOOKUP(B298,weights!A:G,5,FALSE)</f>
        <v>1.47</v>
      </c>
      <c r="L298" s="14">
        <f>VLOOKUP(B298,weights!A:G,6,FALSE)</f>
        <v>7</v>
      </c>
      <c r="M298" s="14">
        <f>VLOOKUP(B298,weights!A:G,7,FALSE)</f>
        <v>10</v>
      </c>
      <c r="N298" t="s">
        <v>5037</v>
      </c>
      <c r="O298">
        <v>115</v>
      </c>
      <c r="P298">
        <v>48.8521672611</v>
      </c>
      <c r="Q298">
        <v>2.3396463359299999</v>
      </c>
      <c r="R298" s="22"/>
      <c r="S298" s="22"/>
      <c r="T298" s="22"/>
      <c r="U298" s="24">
        <f>R298+S298/60+T298/3600</f>
        <v>0</v>
      </c>
      <c r="V298" s="28">
        <f>ABS(U298-P298)/P298</f>
        <v>1</v>
      </c>
      <c r="W298" s="22"/>
      <c r="X298" s="22"/>
      <c r="Y298" s="22"/>
      <c r="Z298" s="14">
        <f>W298+X298/60+Y298/3600</f>
        <v>0</v>
      </c>
      <c r="AA298" s="26">
        <f>ABS(Z298-Q298)/Q298</f>
        <v>1</v>
      </c>
      <c r="AB298" s="26"/>
      <c r="AC298" s="14">
        <f>P298</f>
        <v>48.8521672611</v>
      </c>
      <c r="AD298" s="14">
        <f>Q298</f>
        <v>2.3396463359299999</v>
      </c>
    </row>
    <row r="299" spans="1:30" s="14" customFormat="1">
      <c r="A299" s="12">
        <v>18</v>
      </c>
      <c r="B299" s="12" t="s">
        <v>195</v>
      </c>
      <c r="C299" s="14" t="str">
        <f>VLOOKUP(B299,weights!A:B,2,FALSE)</f>
        <v>M</v>
      </c>
      <c r="D299" s="13">
        <v>297</v>
      </c>
      <c r="E299" s="14" t="s">
        <v>427</v>
      </c>
      <c r="G299" s="14" t="s">
        <v>1443</v>
      </c>
      <c r="H299" s="18"/>
      <c r="I299" s="18" t="s">
        <v>1736</v>
      </c>
      <c r="J299" s="14">
        <v>298</v>
      </c>
      <c r="K299" s="14">
        <f>VLOOKUP(B299,weights!A:G,5,FALSE)</f>
        <v>1.47</v>
      </c>
      <c r="L299" s="14">
        <f>VLOOKUP(B299,weights!A:G,6,FALSE)</f>
        <v>7</v>
      </c>
      <c r="M299" s="14">
        <f>VLOOKUP(B299,weights!A:G,7,FALSE)</f>
        <v>10</v>
      </c>
      <c r="N299" t="s">
        <v>3712</v>
      </c>
      <c r="O299">
        <v>35</v>
      </c>
      <c r="P299">
        <v>48.851050282300001</v>
      </c>
      <c r="Q299">
        <v>2.34427334542</v>
      </c>
      <c r="R299" s="22"/>
      <c r="S299" s="22"/>
      <c r="T299" s="22"/>
      <c r="U299" s="24">
        <f>R299+S299/60+T299/3600</f>
        <v>0</v>
      </c>
      <c r="V299" s="28">
        <f>ABS(U299-P299)/P299</f>
        <v>1</v>
      </c>
      <c r="W299" s="22"/>
      <c r="X299" s="22"/>
      <c r="Y299" s="22"/>
      <c r="Z299" s="14">
        <f>W299+X299/60+Y299/3600</f>
        <v>0</v>
      </c>
      <c r="AA299" s="26">
        <f>ABS(Z299-Q299)/Q299</f>
        <v>1</v>
      </c>
      <c r="AB299" s="26"/>
      <c r="AC299" s="14">
        <f>P299</f>
        <v>48.851050282300001</v>
      </c>
      <c r="AD299" s="14">
        <f>Q299</f>
        <v>2.34427334542</v>
      </c>
    </row>
    <row r="300" spans="1:30" s="14" customFormat="1">
      <c r="A300" s="12">
        <v>19</v>
      </c>
      <c r="B300" s="12" t="s">
        <v>195</v>
      </c>
      <c r="C300" s="14" t="str">
        <f>VLOOKUP(B300,weights!A:B,2,FALSE)</f>
        <v>M</v>
      </c>
      <c r="D300" s="13">
        <v>298</v>
      </c>
      <c r="E300" s="14" t="s">
        <v>428</v>
      </c>
      <c r="H300" s="18"/>
      <c r="I300" s="18"/>
      <c r="J300" s="14">
        <v>299</v>
      </c>
      <c r="K300" s="14">
        <f>VLOOKUP(B300,weights!A:G,5,FALSE)</f>
        <v>1.47</v>
      </c>
      <c r="L300" s="14">
        <f>VLOOKUP(B300,weights!A:G,6,FALSE)</f>
        <v>7</v>
      </c>
      <c r="M300" s="14">
        <f>VLOOKUP(B300,weights!A:G,7,FALSE)</f>
        <v>10</v>
      </c>
      <c r="N300" t="s">
        <v>4819</v>
      </c>
      <c r="O300">
        <v>131</v>
      </c>
      <c r="P300">
        <v>48.850127322900001</v>
      </c>
      <c r="Q300">
        <v>2.3480542932200001</v>
      </c>
      <c r="R300" s="22"/>
      <c r="S300" s="22"/>
      <c r="T300" s="22"/>
      <c r="U300" s="24">
        <f>R300+S300/60+T300/3600</f>
        <v>0</v>
      </c>
      <c r="V300" s="28">
        <f>ABS(U300-P300)/P300</f>
        <v>1</v>
      </c>
      <c r="W300" s="22"/>
      <c r="X300" s="22"/>
      <c r="Y300" s="22"/>
      <c r="Z300" s="14">
        <f>W300+X300/60+Y300/3600</f>
        <v>0</v>
      </c>
      <c r="AA300" s="26">
        <f>ABS(Z300-Q300)/Q300</f>
        <v>1</v>
      </c>
      <c r="AB300" s="26"/>
      <c r="AC300" s="14">
        <f>P300</f>
        <v>48.850127322900001</v>
      </c>
      <c r="AD300" s="14">
        <f>Q300</f>
        <v>2.3480542932200001</v>
      </c>
    </row>
    <row r="301" spans="1:30" s="14" customFormat="1">
      <c r="A301" s="12">
        <v>20</v>
      </c>
      <c r="B301" s="12" t="s">
        <v>195</v>
      </c>
      <c r="C301" s="14" t="str">
        <f>VLOOKUP(B301,weights!A:B,2,FALSE)</f>
        <v>M</v>
      </c>
      <c r="D301" s="13">
        <v>299</v>
      </c>
      <c r="E301" s="14" t="s">
        <v>429</v>
      </c>
      <c r="H301" s="18"/>
      <c r="I301" s="18"/>
      <c r="J301" s="14">
        <v>300</v>
      </c>
      <c r="K301" s="14">
        <f>VLOOKUP(B301,weights!A:G,5,FALSE)</f>
        <v>1.47</v>
      </c>
      <c r="L301" s="14">
        <f>VLOOKUP(B301,weights!A:G,6,FALSE)</f>
        <v>7</v>
      </c>
      <c r="M301" s="14">
        <f>VLOOKUP(B301,weights!A:G,7,FALSE)</f>
        <v>10</v>
      </c>
      <c r="N301" t="s">
        <v>3510</v>
      </c>
      <c r="O301">
        <v>132</v>
      </c>
      <c r="P301">
        <v>48.846656851299997</v>
      </c>
      <c r="Q301">
        <v>2.3516232563799999</v>
      </c>
      <c r="R301" s="22"/>
      <c r="S301" s="22"/>
      <c r="T301" s="22"/>
      <c r="U301" s="24">
        <f>R301+S301/60+T301/3600</f>
        <v>0</v>
      </c>
      <c r="V301" s="28">
        <f>ABS(U301-P301)/P301</f>
        <v>1</v>
      </c>
      <c r="W301" s="22"/>
      <c r="X301" s="22"/>
      <c r="Y301" s="22"/>
      <c r="Z301" s="14">
        <f>W301+X301/60+Y301/3600</f>
        <v>0</v>
      </c>
      <c r="AA301" s="26">
        <f>ABS(Z301-Q301)/Q301</f>
        <v>1</v>
      </c>
      <c r="AB301" s="26"/>
      <c r="AC301" s="14">
        <f>P301</f>
        <v>48.846656851299997</v>
      </c>
      <c r="AD301" s="14">
        <f>Q301</f>
        <v>2.3516232563799999</v>
      </c>
    </row>
    <row r="302" spans="1:30" s="14" customFormat="1">
      <c r="A302" s="12">
        <v>21</v>
      </c>
      <c r="B302" s="12" t="s">
        <v>195</v>
      </c>
      <c r="C302" s="14" t="str">
        <f>VLOOKUP(B302,weights!A:B,2,FALSE)</f>
        <v>M</v>
      </c>
      <c r="D302" s="13">
        <v>300</v>
      </c>
      <c r="E302" s="14" t="s">
        <v>285</v>
      </c>
      <c r="G302" s="14" t="s">
        <v>74</v>
      </c>
      <c r="H302" s="18" t="s">
        <v>1737</v>
      </c>
      <c r="I302" s="18"/>
      <c r="J302" s="14">
        <v>301</v>
      </c>
      <c r="K302" s="14">
        <f>VLOOKUP(B302,weights!A:G,5,FALSE)</f>
        <v>1.47</v>
      </c>
      <c r="L302" s="14">
        <f>VLOOKUP(B302,weights!A:G,6,FALSE)</f>
        <v>7</v>
      </c>
      <c r="M302" s="14">
        <f>VLOOKUP(B302,weights!A:G,7,FALSE)</f>
        <v>10</v>
      </c>
      <c r="N302" t="s">
        <v>4337</v>
      </c>
      <c r="O302">
        <v>218</v>
      </c>
      <c r="P302">
        <v>48.8461511231</v>
      </c>
      <c r="Q302">
        <v>2.3549179837000001</v>
      </c>
      <c r="R302" s="22"/>
      <c r="S302" s="22"/>
      <c r="T302" s="22"/>
      <c r="U302" s="24">
        <f>R302+S302/60+T302/3600</f>
        <v>0</v>
      </c>
      <c r="V302" s="28">
        <f>ABS(U302-P302)/P302</f>
        <v>1</v>
      </c>
      <c r="W302" s="22"/>
      <c r="X302" s="22"/>
      <c r="Y302" s="22"/>
      <c r="Z302" s="14">
        <f>W302+X302/60+Y302/3600</f>
        <v>0</v>
      </c>
      <c r="AA302" s="26">
        <f>ABS(Z302-Q302)/Q302</f>
        <v>1</v>
      </c>
      <c r="AB302" s="26"/>
      <c r="AC302" s="14">
        <f>P302</f>
        <v>48.8461511231</v>
      </c>
      <c r="AD302" s="14">
        <f>Q302</f>
        <v>2.3549179837000001</v>
      </c>
    </row>
    <row r="303" spans="1:30" s="14" customFormat="1">
      <c r="A303" s="12">
        <v>22</v>
      </c>
      <c r="B303" s="12" t="s">
        <v>195</v>
      </c>
      <c r="C303" s="14" t="str">
        <f>VLOOKUP(B303,weights!A:B,2,FALSE)</f>
        <v>M</v>
      </c>
      <c r="D303" s="13">
        <v>301</v>
      </c>
      <c r="E303" s="14" t="s">
        <v>209</v>
      </c>
      <c r="G303" s="14" t="s">
        <v>1446</v>
      </c>
      <c r="H303" s="18" t="s">
        <v>1738</v>
      </c>
      <c r="I303" s="18" t="s">
        <v>1663</v>
      </c>
      <c r="K303" s="14">
        <f>VLOOKUP(B303,weights!A:G,5,FALSE)</f>
        <v>1.47</v>
      </c>
      <c r="L303" s="14">
        <f>VLOOKUP(B303,weights!A:G,6,FALSE)</f>
        <v>7</v>
      </c>
      <c r="M303" s="14">
        <f>VLOOKUP(B303,weights!A:G,7,FALSE)</f>
        <v>10</v>
      </c>
      <c r="N303" t="s">
        <v>3236</v>
      </c>
      <c r="O303">
        <v>476</v>
      </c>
      <c r="P303">
        <v>48.842360082500001</v>
      </c>
      <c r="Q303">
        <v>2.3655817041099998</v>
      </c>
      <c r="R303" s="22"/>
      <c r="S303" s="22"/>
      <c r="T303" s="22"/>
      <c r="U303" s="24">
        <f>R303+S303/60+T303/3600</f>
        <v>0</v>
      </c>
      <c r="V303" s="28">
        <f>ABS(U303-P303)/P303</f>
        <v>1</v>
      </c>
      <c r="W303" s="22"/>
      <c r="X303" s="22"/>
      <c r="Y303" s="22"/>
      <c r="Z303" s="14">
        <f>W303+X303/60+Y303/3600</f>
        <v>0</v>
      </c>
      <c r="AA303" s="26">
        <f>ABS(Z303-Q303)/Q303</f>
        <v>1</v>
      </c>
      <c r="AB303" s="26"/>
      <c r="AC303" s="14">
        <f>P303</f>
        <v>48.842360082500001</v>
      </c>
      <c r="AD303" s="14">
        <f>Q303</f>
        <v>2.3655817041099998</v>
      </c>
    </row>
    <row r="304" spans="1:30" s="14" customFormat="1">
      <c r="A304" s="12">
        <v>0</v>
      </c>
      <c r="B304" s="12" t="s">
        <v>76</v>
      </c>
      <c r="C304" s="14" t="str">
        <f>VLOOKUP(B304,weights!A:B,2,FALSE)</f>
        <v>P</v>
      </c>
      <c r="D304" s="13">
        <v>302</v>
      </c>
      <c r="E304" s="14" t="s">
        <v>46</v>
      </c>
      <c r="F304" s="14" t="s">
        <v>47</v>
      </c>
      <c r="G304" s="15" t="s">
        <v>747</v>
      </c>
      <c r="H304" s="18" t="s">
        <v>1573</v>
      </c>
      <c r="I304" s="18" t="s">
        <v>1592</v>
      </c>
      <c r="K304" s="14">
        <f>VLOOKUP(B304,weights!A:G,5,FALSE)</f>
        <v>1.1499999999999999</v>
      </c>
      <c r="L304" s="14">
        <f>VLOOKUP(B304,weights!A:G,6,FALSE)</f>
        <v>7</v>
      </c>
      <c r="M304" s="14">
        <f>VLOOKUP(B304,weights!A:G,7,FALSE)</f>
        <v>10</v>
      </c>
      <c r="N304" t="s">
        <v>3634</v>
      </c>
      <c r="O304">
        <v>222</v>
      </c>
      <c r="P304">
        <v>48.858061862299998</v>
      </c>
      <c r="Q304">
        <v>2.3476251557199999</v>
      </c>
      <c r="R304" s="22">
        <v>48</v>
      </c>
      <c r="S304" s="22">
        <v>51</v>
      </c>
      <c r="T304" s="22">
        <v>31</v>
      </c>
      <c r="U304" s="24">
        <f>R304+S304/60+T304/3600</f>
        <v>48.858611111111109</v>
      </c>
      <c r="V304" s="28">
        <f>ABS(U304-P304)/P304</f>
        <v>1.1241723273010907E-5</v>
      </c>
      <c r="W304" s="22">
        <v>2</v>
      </c>
      <c r="X304" s="22">
        <v>20</v>
      </c>
      <c r="Y304" s="22">
        <v>50</v>
      </c>
      <c r="Z304" s="14">
        <f>W304+X304/60+Y304/3600</f>
        <v>2.3472222222222223</v>
      </c>
      <c r="AA304" s="26">
        <f>ABS(Z304-Q304)/Q304</f>
        <v>1.7163451192188251E-4</v>
      </c>
      <c r="AB304" s="26"/>
      <c r="AC304" s="24">
        <f>U304</f>
        <v>48.858611111111109</v>
      </c>
      <c r="AD304" s="14">
        <f>Z304</f>
        <v>2.3472222222222223</v>
      </c>
    </row>
    <row r="305" spans="1:30" s="14" customFormat="1">
      <c r="A305" s="12">
        <v>1</v>
      </c>
      <c r="B305" s="12" t="s">
        <v>76</v>
      </c>
      <c r="C305" s="14" t="str">
        <f>VLOOKUP(B305,weights!A:B,2,FALSE)</f>
        <v>P</v>
      </c>
      <c r="D305" s="13">
        <v>303</v>
      </c>
      <c r="E305" s="14" t="s">
        <v>48</v>
      </c>
      <c r="F305" s="14" t="s">
        <v>49</v>
      </c>
      <c r="G305" s="15" t="s">
        <v>115</v>
      </c>
      <c r="H305" s="18" t="s">
        <v>1739</v>
      </c>
      <c r="I305" s="18"/>
      <c r="K305" s="14">
        <f>VLOOKUP(B305,weights!A:G,5,FALSE)</f>
        <v>1.1499999999999999</v>
      </c>
      <c r="L305" s="14">
        <f>VLOOKUP(B305,weights!A:G,6,FALSE)</f>
        <v>7</v>
      </c>
      <c r="M305" s="14">
        <f>VLOOKUP(B305,weights!A:G,7,FALSE)</f>
        <v>10</v>
      </c>
      <c r="N305" t="s">
        <v>4239</v>
      </c>
      <c r="O305">
        <v>301</v>
      </c>
      <c r="P305">
        <v>48.857551553299999</v>
      </c>
      <c r="Q305">
        <v>2.3512922093299999</v>
      </c>
      <c r="R305" s="22">
        <v>48</v>
      </c>
      <c r="S305" s="22">
        <v>51</v>
      </c>
      <c r="T305" s="22">
        <v>24</v>
      </c>
      <c r="U305" s="24">
        <f>R305+S305/60+T305/3600</f>
        <v>48.856666666666669</v>
      </c>
      <c r="V305" s="28">
        <f>ABS(U305-P305)/P305</f>
        <v>1.8111563211762316E-5</v>
      </c>
      <c r="W305" s="22">
        <v>2</v>
      </c>
      <c r="X305" s="22">
        <v>21</v>
      </c>
      <c r="Y305" s="22">
        <v>5</v>
      </c>
      <c r="Z305" s="14">
        <f>W305+X305/60+Y305/3600</f>
        <v>2.3513888888888892</v>
      </c>
      <c r="AA305" s="26">
        <f>ABS(Z305-Q305)/Q305</f>
        <v>4.1117628215510238E-5</v>
      </c>
      <c r="AB305" s="26"/>
      <c r="AC305" s="24">
        <f>U305</f>
        <v>48.856666666666669</v>
      </c>
      <c r="AD305" s="14">
        <f>Z305</f>
        <v>2.3513888888888892</v>
      </c>
    </row>
    <row r="306" spans="1:30" s="14" customFormat="1">
      <c r="A306" s="12">
        <v>2</v>
      </c>
      <c r="B306" s="12" t="s">
        <v>76</v>
      </c>
      <c r="C306" s="14" t="str">
        <f>VLOOKUP(B306,weights!A:B,2,FALSE)</f>
        <v>P</v>
      </c>
      <c r="D306" s="13">
        <v>304</v>
      </c>
      <c r="E306" s="14" t="s">
        <v>447</v>
      </c>
      <c r="F306" s="14" t="s">
        <v>431</v>
      </c>
      <c r="G306" s="15"/>
      <c r="H306" s="18"/>
      <c r="I306" s="18"/>
      <c r="K306" s="14">
        <f>VLOOKUP(B306,weights!A:G,5,FALSE)</f>
        <v>1.1499999999999999</v>
      </c>
      <c r="L306" s="14">
        <f>VLOOKUP(B306,weights!A:G,6,FALSE)</f>
        <v>7</v>
      </c>
      <c r="M306" s="14">
        <f>VLOOKUP(B306,weights!A:G,7,FALSE)</f>
        <v>10</v>
      </c>
      <c r="N306" t="s">
        <v>5416</v>
      </c>
      <c r="O306">
        <v>343</v>
      </c>
      <c r="P306">
        <v>48.861204990300003</v>
      </c>
      <c r="Q306">
        <v>2.3534957401300001</v>
      </c>
      <c r="R306" s="22">
        <v>48</v>
      </c>
      <c r="S306" s="22">
        <v>51</v>
      </c>
      <c r="T306" s="22">
        <v>43</v>
      </c>
      <c r="U306" s="24">
        <f>R306+S306/60+T306/3600</f>
        <v>48.861944444444447</v>
      </c>
      <c r="V306" s="28">
        <f>ABS(U306-P306)/P306</f>
        <v>1.5133768080236531E-5</v>
      </c>
      <c r="W306" s="22">
        <v>2</v>
      </c>
      <c r="X306" s="22">
        <v>21</v>
      </c>
      <c r="Y306" s="22">
        <v>14</v>
      </c>
      <c r="Z306" s="14">
        <f>W306+X306/60+Y306/3600</f>
        <v>2.3538888888888891</v>
      </c>
      <c r="AA306" s="26">
        <f>ABS(Z306-Q306)/Q306</f>
        <v>1.6704885085849194E-4</v>
      </c>
      <c r="AB306" s="26"/>
      <c r="AC306" s="24">
        <f>U306</f>
        <v>48.861944444444447</v>
      </c>
      <c r="AD306" s="14">
        <f>Z306</f>
        <v>2.3538888888888891</v>
      </c>
    </row>
    <row r="307" spans="1:30" s="14" customFormat="1">
      <c r="A307" s="12">
        <v>3</v>
      </c>
      <c r="B307" s="12" t="s">
        <v>76</v>
      </c>
      <c r="C307" s="14" t="str">
        <f>VLOOKUP(B307,weights!A:B,2,FALSE)</f>
        <v>P</v>
      </c>
      <c r="D307" s="13">
        <v>305</v>
      </c>
      <c r="E307" s="14" t="s">
        <v>130</v>
      </c>
      <c r="F307" s="14" t="s">
        <v>432</v>
      </c>
      <c r="G307" s="15" t="s">
        <v>109</v>
      </c>
      <c r="H307" s="18" t="s">
        <v>1740</v>
      </c>
      <c r="I307" s="18"/>
      <c r="K307" s="14">
        <f>VLOOKUP(B307,weights!A:G,5,FALSE)</f>
        <v>1.1499999999999999</v>
      </c>
      <c r="L307" s="14">
        <f>VLOOKUP(B307,weights!A:G,6,FALSE)</f>
        <v>7</v>
      </c>
      <c r="M307" s="14">
        <f>VLOOKUP(B307,weights!A:G,7,FALSE)</f>
        <v>10</v>
      </c>
      <c r="N307" t="s">
        <v>3201</v>
      </c>
      <c r="O307">
        <v>839</v>
      </c>
      <c r="P307">
        <v>48.865586477599997</v>
      </c>
      <c r="Q307">
        <v>2.3567367568100002</v>
      </c>
      <c r="R307" s="22">
        <v>48</v>
      </c>
      <c r="S307" s="22">
        <v>51</v>
      </c>
      <c r="T307" s="22">
        <v>56</v>
      </c>
      <c r="U307" s="24">
        <f>R307+S307/60+T307/3600</f>
        <v>48.865555555555559</v>
      </c>
      <c r="V307" s="28">
        <f>ABS(U307-P307)/P307</f>
        <v>6.327979804777596E-7</v>
      </c>
      <c r="W307" s="22">
        <v>2</v>
      </c>
      <c r="X307" s="22">
        <v>21</v>
      </c>
      <c r="Y307" s="22">
        <v>22</v>
      </c>
      <c r="Z307" s="14">
        <f>W307+X307/60+Y307/3600</f>
        <v>2.3561111111111113</v>
      </c>
      <c r="AA307" s="26">
        <f>ABS(Z307-Q307)/Q307</f>
        <v>2.6547118471379562E-4</v>
      </c>
      <c r="AB307" s="26"/>
      <c r="AC307" s="24">
        <f>U307</f>
        <v>48.865555555555559</v>
      </c>
      <c r="AD307" s="14">
        <f>Z307</f>
        <v>2.3561111111111113</v>
      </c>
    </row>
    <row r="308" spans="1:30" s="14" customFormat="1">
      <c r="A308" s="12">
        <v>4</v>
      </c>
      <c r="B308" s="12" t="s">
        <v>76</v>
      </c>
      <c r="C308" s="14" t="str">
        <f>VLOOKUP(B308,weights!A:B,2,FALSE)</f>
        <v>P</v>
      </c>
      <c r="D308" s="13">
        <v>306</v>
      </c>
      <c r="E308" s="14" t="s">
        <v>132</v>
      </c>
      <c r="F308" s="14" t="s">
        <v>433</v>
      </c>
      <c r="G308" s="15" t="s">
        <v>1485</v>
      </c>
      <c r="H308" s="18" t="s">
        <v>1741</v>
      </c>
      <c r="I308" s="18"/>
      <c r="K308" s="14">
        <f>VLOOKUP(B308,weights!A:G,5,FALSE)</f>
        <v>1.1499999999999999</v>
      </c>
      <c r="L308" s="14">
        <f>VLOOKUP(B308,weights!A:G,6,FALSE)</f>
        <v>7</v>
      </c>
      <c r="M308" s="14">
        <f>VLOOKUP(B308,weights!A:G,7,FALSE)</f>
        <v>10</v>
      </c>
      <c r="N308" t="s">
        <v>5433</v>
      </c>
      <c r="O308">
        <v>123</v>
      </c>
      <c r="P308">
        <v>48.867503423800002</v>
      </c>
      <c r="Q308">
        <v>2.3638261439799999</v>
      </c>
      <c r="R308" s="22">
        <v>48</v>
      </c>
      <c r="S308" s="22">
        <v>52</v>
      </c>
      <c r="T308" s="22">
        <v>3</v>
      </c>
      <c r="U308" s="24">
        <f>R308+S308/60+T308/3600</f>
        <v>48.8675</v>
      </c>
      <c r="V308" s="28">
        <f>ABS(U308-P308)/P308</f>
        <v>7.0062920401916906E-8</v>
      </c>
      <c r="W308" s="22">
        <v>2</v>
      </c>
      <c r="X308" s="22">
        <v>21</v>
      </c>
      <c r="Y308" s="22">
        <v>50</v>
      </c>
      <c r="Z308" s="14">
        <f>W308+X308/60+Y308/3600</f>
        <v>2.3638888888888889</v>
      </c>
      <c r="AA308" s="26">
        <f>ABS(Z308-Q308)/Q308</f>
        <v>2.6543791745774831E-5</v>
      </c>
      <c r="AB308" s="26"/>
      <c r="AC308" s="24">
        <f>U308</f>
        <v>48.8675</v>
      </c>
      <c r="AD308" s="14">
        <f>Z308</f>
        <v>2.3638888888888889</v>
      </c>
    </row>
    <row r="309" spans="1:30" s="14" customFormat="1">
      <c r="A309" s="12">
        <v>5</v>
      </c>
      <c r="B309" s="12" t="s">
        <v>76</v>
      </c>
      <c r="C309" s="14" t="str">
        <f>VLOOKUP(B309,weights!A:B,2,FALSE)</f>
        <v>P</v>
      </c>
      <c r="D309" s="13">
        <v>307</v>
      </c>
      <c r="E309" s="14" t="s">
        <v>446</v>
      </c>
      <c r="F309" s="14" t="s">
        <v>434</v>
      </c>
      <c r="G309" s="15"/>
      <c r="H309" s="18"/>
      <c r="I309" s="18"/>
      <c r="K309" s="14">
        <f>VLOOKUP(B309,weights!A:G,5,FALSE)</f>
        <v>1.1499999999999999</v>
      </c>
      <c r="L309" s="14">
        <f>VLOOKUP(B309,weights!A:G,6,FALSE)</f>
        <v>7</v>
      </c>
      <c r="M309" s="14">
        <f>VLOOKUP(B309,weights!A:G,7,FALSE)</f>
        <v>10</v>
      </c>
      <c r="N309" t="s">
        <v>4166</v>
      </c>
      <c r="O309">
        <v>861</v>
      </c>
      <c r="P309">
        <v>48.869957512699997</v>
      </c>
      <c r="Q309">
        <v>2.37109483973</v>
      </c>
      <c r="R309" s="22">
        <v>48</v>
      </c>
      <c r="S309" s="22">
        <v>52</v>
      </c>
      <c r="T309" s="22">
        <v>11</v>
      </c>
      <c r="U309" s="24">
        <f>R309+S309/60+T309/3600</f>
        <v>48.869722222222222</v>
      </c>
      <c r="V309" s="28">
        <f>ABS(U309-P309)/P309</f>
        <v>4.8146241525584742E-6</v>
      </c>
      <c r="W309" s="22">
        <v>2</v>
      </c>
      <c r="X309" s="22">
        <v>22</v>
      </c>
      <c r="Y309" s="22">
        <v>14</v>
      </c>
      <c r="Z309" s="14">
        <f>W309+X309/60+Y309/3600</f>
        <v>2.3705555555555557</v>
      </c>
      <c r="AA309" s="26">
        <f>ABS(Z309-Q309)/Q309</f>
        <v>2.2744099704829801E-4</v>
      </c>
      <c r="AB309" s="26"/>
      <c r="AC309" s="24">
        <f>U309</f>
        <v>48.869722222222222</v>
      </c>
      <c r="AD309" s="14">
        <f>Z309</f>
        <v>2.3705555555555557</v>
      </c>
    </row>
    <row r="310" spans="1:30" s="14" customFormat="1">
      <c r="A310" s="12">
        <v>6</v>
      </c>
      <c r="B310" s="12" t="s">
        <v>76</v>
      </c>
      <c r="C310" s="14" t="str">
        <f>VLOOKUP(B310,weights!A:B,2,FALSE)</f>
        <v>P</v>
      </c>
      <c r="D310" s="13">
        <v>308</v>
      </c>
      <c r="E310" s="14" t="s">
        <v>100</v>
      </c>
      <c r="F310" s="14" t="s">
        <v>435</v>
      </c>
      <c r="G310" s="15" t="s">
        <v>116</v>
      </c>
      <c r="H310" s="18" t="s">
        <v>1742</v>
      </c>
      <c r="I310" s="18"/>
      <c r="K310" s="14">
        <f>VLOOKUP(B310,weights!A:G,5,FALSE)</f>
        <v>1.1499999999999999</v>
      </c>
      <c r="L310" s="14">
        <f>VLOOKUP(B310,weights!A:G,6,FALSE)</f>
        <v>7</v>
      </c>
      <c r="M310" s="14">
        <f>VLOOKUP(B310,weights!A:G,7,FALSE)</f>
        <v>10</v>
      </c>
      <c r="N310" t="s">
        <v>3304</v>
      </c>
      <c r="O310">
        <v>221</v>
      </c>
      <c r="P310">
        <v>48.8719936918</v>
      </c>
      <c r="Q310">
        <v>2.3770297767000002</v>
      </c>
      <c r="R310" s="22">
        <v>48</v>
      </c>
      <c r="S310" s="22">
        <v>52</v>
      </c>
      <c r="T310" s="22">
        <v>19</v>
      </c>
      <c r="U310" s="24">
        <f>R310+S310/60+T310/3600</f>
        <v>48.871944444444445</v>
      </c>
      <c r="V310" s="28">
        <f>ABS(U310-P310)/P310</f>
        <v>1.0076805105579397E-6</v>
      </c>
      <c r="W310" s="22">
        <v>2</v>
      </c>
      <c r="X310" s="22">
        <v>22</v>
      </c>
      <c r="Y310" s="22">
        <v>37</v>
      </c>
      <c r="Z310" s="14">
        <f>W310+X310/60+Y310/3600</f>
        <v>2.3769444444444443</v>
      </c>
      <c r="AA310" s="26">
        <f>ABS(Z310-Q310)/Q310</f>
        <v>3.5898690202490207E-5</v>
      </c>
      <c r="AB310" s="26"/>
      <c r="AC310" s="24">
        <f>U310</f>
        <v>48.871944444444445</v>
      </c>
      <c r="AD310" s="14">
        <f>Z310</f>
        <v>2.3769444444444443</v>
      </c>
    </row>
    <row r="311" spans="1:30" s="14" customFormat="1">
      <c r="A311" s="12">
        <v>7</v>
      </c>
      <c r="B311" s="12" t="s">
        <v>76</v>
      </c>
      <c r="C311" s="14" t="str">
        <f>VLOOKUP(B311,weights!A:B,2,FALSE)</f>
        <v>P</v>
      </c>
      <c r="D311" s="13">
        <v>309</v>
      </c>
      <c r="E311" s="14" t="s">
        <v>436</v>
      </c>
      <c r="F311" s="14" t="s">
        <v>437</v>
      </c>
      <c r="G311" s="15"/>
      <c r="H311" s="18"/>
      <c r="I311" s="18"/>
      <c r="K311" s="14">
        <f>VLOOKUP(B311,weights!A:G,5,FALSE)</f>
        <v>1.1499999999999999</v>
      </c>
      <c r="L311" s="14">
        <f>VLOOKUP(B311,weights!A:G,6,FALSE)</f>
        <v>7</v>
      </c>
      <c r="M311" s="14">
        <f>VLOOKUP(B311,weights!A:G,7,FALSE)</f>
        <v>10</v>
      </c>
      <c r="N311" t="s">
        <v>5401</v>
      </c>
      <c r="O311">
        <v>220</v>
      </c>
      <c r="P311">
        <v>48.8738818542</v>
      </c>
      <c r="Q311">
        <v>2.3853162151</v>
      </c>
      <c r="R311" s="22">
        <v>48</v>
      </c>
      <c r="S311" s="22">
        <v>52</v>
      </c>
      <c r="T311" s="22">
        <v>26</v>
      </c>
      <c r="U311" s="24">
        <f>R311+S311/60+T311/3600</f>
        <v>48.873888888888892</v>
      </c>
      <c r="V311" s="28">
        <f>ABS(U311-P311)/P311</f>
        <v>1.4393554645066112E-7</v>
      </c>
      <c r="W311" s="22">
        <v>2</v>
      </c>
      <c r="X311" s="22">
        <v>23</v>
      </c>
      <c r="Y311" s="22">
        <v>7</v>
      </c>
      <c r="Z311" s="14">
        <f>W311+X311/60+Y311/3600</f>
        <v>2.3852777777777776</v>
      </c>
      <c r="AA311" s="26">
        <f>ABS(Z311-Q311)/Q311</f>
        <v>1.6114141168828751E-5</v>
      </c>
      <c r="AB311" s="26"/>
      <c r="AC311" s="24">
        <f>U311</f>
        <v>48.873888888888892</v>
      </c>
      <c r="AD311" s="14">
        <f>Z311</f>
        <v>2.3852777777777776</v>
      </c>
    </row>
    <row r="312" spans="1:30" s="14" customFormat="1">
      <c r="A312" s="12">
        <v>8</v>
      </c>
      <c r="B312" s="12" t="s">
        <v>76</v>
      </c>
      <c r="C312" s="14" t="str">
        <f>VLOOKUP(B312,weights!A:B,2,FALSE)</f>
        <v>P</v>
      </c>
      <c r="D312" s="13">
        <v>310</v>
      </c>
      <c r="E312" s="14" t="s">
        <v>438</v>
      </c>
      <c r="F312" s="14" t="s">
        <v>439</v>
      </c>
      <c r="G312" s="15"/>
      <c r="H312" s="18"/>
      <c r="I312" s="18"/>
      <c r="K312" s="14">
        <f>VLOOKUP(B312,weights!A:G,5,FALSE)</f>
        <v>1.1499999999999999</v>
      </c>
      <c r="L312" s="14">
        <f>VLOOKUP(B312,weights!A:G,6,FALSE)</f>
        <v>7</v>
      </c>
      <c r="M312" s="14">
        <f>VLOOKUP(B312,weights!A:G,7,FALSE)</f>
        <v>10</v>
      </c>
      <c r="N312" t="s">
        <v>4325</v>
      </c>
      <c r="O312">
        <v>38</v>
      </c>
      <c r="P312">
        <v>48.875111816</v>
      </c>
      <c r="Q312">
        <v>2.3894150293199998</v>
      </c>
      <c r="R312" s="22">
        <v>48</v>
      </c>
      <c r="S312" s="22">
        <v>52</v>
      </c>
      <c r="T312" s="22">
        <v>31</v>
      </c>
      <c r="U312" s="24">
        <f>R312+S312/60+T312/3600</f>
        <v>48.875277777777775</v>
      </c>
      <c r="V312" s="28">
        <f>ABS(U312-P312)/P312</f>
        <v>3.3956296284195033E-6</v>
      </c>
      <c r="W312" s="22">
        <v>2</v>
      </c>
      <c r="X312" s="22">
        <v>23</v>
      </c>
      <c r="Y312" s="22">
        <v>22</v>
      </c>
      <c r="Z312" s="14">
        <f>W312+X312/60+Y312/3600</f>
        <v>2.3894444444444445</v>
      </c>
      <c r="AA312" s="26">
        <f>ABS(Z312-Q312)/Q312</f>
        <v>1.2310596561797426E-5</v>
      </c>
      <c r="AB312" s="26"/>
      <c r="AC312" s="24">
        <f>U312</f>
        <v>48.875277777777775</v>
      </c>
      <c r="AD312" s="14">
        <f>Z312</f>
        <v>2.3894444444444445</v>
      </c>
    </row>
    <row r="313" spans="1:30" s="14" customFormat="1">
      <c r="A313" s="12">
        <v>9</v>
      </c>
      <c r="B313" s="12" t="s">
        <v>76</v>
      </c>
      <c r="C313" s="14" t="str">
        <f>VLOOKUP(B313,weights!A:B,2,FALSE)</f>
        <v>P</v>
      </c>
      <c r="D313" s="13">
        <v>311</v>
      </c>
      <c r="E313" s="14" t="s">
        <v>342</v>
      </c>
      <c r="F313" s="14" t="s">
        <v>440</v>
      </c>
      <c r="G313" s="15" t="s">
        <v>344</v>
      </c>
      <c r="H313" s="18" t="s">
        <v>1743</v>
      </c>
      <c r="I313" s="18"/>
      <c r="K313" s="14">
        <f>VLOOKUP(B313,weights!A:G,5,FALSE)</f>
        <v>1.1499999999999999</v>
      </c>
      <c r="L313" s="14">
        <f>VLOOKUP(B313,weights!A:G,6,FALSE)</f>
        <v>7</v>
      </c>
      <c r="M313" s="14">
        <f>VLOOKUP(B313,weights!A:G,7,FALSE)</f>
        <v>10</v>
      </c>
      <c r="N313" t="s">
        <v>5199</v>
      </c>
      <c r="O313">
        <v>37</v>
      </c>
      <c r="P313">
        <v>48.876806389199999</v>
      </c>
      <c r="Q313">
        <v>2.3930560933199998</v>
      </c>
      <c r="R313" s="22">
        <v>48</v>
      </c>
      <c r="S313" s="22">
        <v>52</v>
      </c>
      <c r="T313" s="22">
        <v>37</v>
      </c>
      <c r="U313" s="24">
        <f>R313+S313/60+T313/3600</f>
        <v>48.876944444444447</v>
      </c>
      <c r="V313" s="28">
        <f>ABS(U313-P313)/P313</f>
        <v>2.8245553391816948E-6</v>
      </c>
      <c r="W313" s="22">
        <v>2</v>
      </c>
      <c r="X313" s="22">
        <v>23</v>
      </c>
      <c r="Y313" s="22">
        <v>35</v>
      </c>
      <c r="Z313" s="14">
        <f>W313+X313/60+Y313/3600</f>
        <v>2.3930555555555557</v>
      </c>
      <c r="AA313" s="26">
        <f>ABS(Z313-Q313)/Q313</f>
        <v>2.2471869572442736E-7</v>
      </c>
      <c r="AB313" s="26"/>
      <c r="AC313" s="24">
        <f>U313</f>
        <v>48.876944444444447</v>
      </c>
      <c r="AD313" s="14">
        <f>Z313</f>
        <v>2.3930555555555557</v>
      </c>
    </row>
    <row r="314" spans="1:30" s="14" customFormat="1">
      <c r="A314" s="12">
        <v>10</v>
      </c>
      <c r="B314" s="12" t="s">
        <v>76</v>
      </c>
      <c r="C314" s="14" t="str">
        <f>VLOOKUP(B314,weights!A:B,2,FALSE)</f>
        <v>P</v>
      </c>
      <c r="D314" s="13">
        <v>312</v>
      </c>
      <c r="E314" s="14" t="s">
        <v>441</v>
      </c>
      <c r="F314" s="14" t="s">
        <v>442</v>
      </c>
      <c r="G314" s="15"/>
      <c r="H314" s="18"/>
      <c r="I314" s="18"/>
      <c r="K314" s="14">
        <f>VLOOKUP(B314,weights!A:G,5,FALSE)</f>
        <v>1.1499999999999999</v>
      </c>
      <c r="L314" s="14">
        <f>VLOOKUP(B314,weights!A:G,6,FALSE)</f>
        <v>7</v>
      </c>
      <c r="M314" s="14">
        <f>VLOOKUP(B314,weights!A:G,7,FALSE)</f>
        <v>10</v>
      </c>
      <c r="N314" t="s">
        <v>5772</v>
      </c>
      <c r="O314">
        <v>36</v>
      </c>
      <c r="P314">
        <v>48.875474457599999</v>
      </c>
      <c r="Q314">
        <v>2.3988675993399999</v>
      </c>
      <c r="R314" s="22">
        <v>48</v>
      </c>
      <c r="S314" s="22">
        <v>52</v>
      </c>
      <c r="T314" s="22">
        <v>32</v>
      </c>
      <c r="U314" s="24">
        <f>R314+S314/60+T314/3600</f>
        <v>48.875555555555557</v>
      </c>
      <c r="V314" s="28">
        <f>ABS(U314-P314)/P314</f>
        <v>1.6592771007974647E-6</v>
      </c>
      <c r="W314" s="22">
        <v>2</v>
      </c>
      <c r="X314" s="22">
        <v>23</v>
      </c>
      <c r="Y314" s="22">
        <v>54</v>
      </c>
      <c r="Z314" s="14">
        <f>W314+X314/60+Y314/3600</f>
        <v>2.3983333333333334</v>
      </c>
      <c r="AA314" s="26">
        <f>ABS(Z314-Q314)/Q314</f>
        <v>2.227159209676677E-4</v>
      </c>
      <c r="AB314" s="26"/>
      <c r="AC314" s="24">
        <f>U314</f>
        <v>48.875555555555557</v>
      </c>
      <c r="AD314" s="14">
        <f>Z314</f>
        <v>2.3983333333333334</v>
      </c>
    </row>
    <row r="315" spans="1:30" s="14" customFormat="1">
      <c r="A315" s="12">
        <v>11</v>
      </c>
      <c r="B315" s="12" t="s">
        <v>76</v>
      </c>
      <c r="C315" s="14" t="str">
        <f>VLOOKUP(B315,weights!A:B,2,FALSE)</f>
        <v>P</v>
      </c>
      <c r="D315" s="13">
        <v>313</v>
      </c>
      <c r="E315" s="14" t="s">
        <v>335</v>
      </c>
      <c r="F315" s="14" t="s">
        <v>336</v>
      </c>
      <c r="G315" s="15" t="s">
        <v>445</v>
      </c>
      <c r="H315" s="18" t="s">
        <v>1744</v>
      </c>
      <c r="I315" s="18" t="s">
        <v>1635</v>
      </c>
      <c r="K315" s="14">
        <f>VLOOKUP(B315,weights!A:G,5,FALSE)</f>
        <v>1.1499999999999999</v>
      </c>
      <c r="L315" s="14">
        <f>VLOOKUP(B315,weights!A:G,6,FALSE)</f>
        <v>7</v>
      </c>
      <c r="M315" s="14">
        <f>VLOOKUP(B315,weights!A:G,7,FALSE)</f>
        <v>10</v>
      </c>
      <c r="N315" t="s">
        <v>5367</v>
      </c>
      <c r="O315">
        <v>713</v>
      </c>
      <c r="P315">
        <v>48.877213660400002</v>
      </c>
      <c r="Q315">
        <v>2.4066098651200001</v>
      </c>
      <c r="R315" s="22">
        <v>48</v>
      </c>
      <c r="S315" s="22">
        <v>52</v>
      </c>
      <c r="T315" s="22">
        <v>38</v>
      </c>
      <c r="U315" s="24">
        <f>R315+S315/60+T315/3600</f>
        <v>48.877222222222223</v>
      </c>
      <c r="V315" s="28">
        <f>ABS(U315-P315)/P315</f>
        <v>1.7517001438698143E-7</v>
      </c>
      <c r="W315" s="22">
        <v>2</v>
      </c>
      <c r="X315" s="22">
        <v>24</v>
      </c>
      <c r="Y315" s="22">
        <v>24</v>
      </c>
      <c r="Z315" s="14">
        <f>W315+X315/60+Y315/3600</f>
        <v>2.4066666666666667</v>
      </c>
      <c r="AA315" s="26">
        <f>ABS(Z315-Q315)/Q315</f>
        <v>2.3602307748297761E-5</v>
      </c>
      <c r="AB315" s="26"/>
      <c r="AC315" s="24">
        <f>U315</f>
        <v>48.877222222222223</v>
      </c>
      <c r="AD315" s="14">
        <f>Z315</f>
        <v>2.4066666666666667</v>
      </c>
    </row>
    <row r="316" spans="1:30" s="14" customFormat="1">
      <c r="A316" s="12">
        <v>12</v>
      </c>
      <c r="B316" s="12" t="s">
        <v>76</v>
      </c>
      <c r="C316" s="14" t="str">
        <f>VLOOKUP(B316,weights!A:B,2,FALSE)</f>
        <v>P</v>
      </c>
      <c r="D316" s="13">
        <v>314</v>
      </c>
      <c r="E316" s="14" t="s">
        <v>443</v>
      </c>
      <c r="F316" s="14" t="s">
        <v>444</v>
      </c>
      <c r="G316" s="15"/>
      <c r="H316" s="18"/>
      <c r="I316" s="18"/>
      <c r="K316" s="14">
        <f>VLOOKUP(B316,weights!A:G,5,FALSE)</f>
        <v>1.1499999999999999</v>
      </c>
      <c r="L316" s="14">
        <f>VLOOKUP(B316,weights!A:G,6,FALSE)</f>
        <v>7</v>
      </c>
      <c r="M316" s="14">
        <f>VLOOKUP(B316,weights!A:G,7,FALSE)</f>
        <v>10</v>
      </c>
      <c r="N316" t="s">
        <v>4730</v>
      </c>
      <c r="O316">
        <v>219</v>
      </c>
      <c r="P316">
        <v>48.879761254000002</v>
      </c>
      <c r="Q316">
        <v>2.4164796436699998</v>
      </c>
      <c r="R316" s="22">
        <v>48</v>
      </c>
      <c r="S316" s="22">
        <v>52</v>
      </c>
      <c r="T316" s="22">
        <v>47</v>
      </c>
      <c r="U316" s="24">
        <f>R316+S316/60+T316/3600</f>
        <v>48.87972222222222</v>
      </c>
      <c r="V316" s="28">
        <f>ABS(U316-P316)/P316</f>
        <v>7.9852635896873217E-7</v>
      </c>
      <c r="W316" s="22">
        <v>2</v>
      </c>
      <c r="X316" s="22">
        <v>24</v>
      </c>
      <c r="Y316" s="22">
        <v>59</v>
      </c>
      <c r="Z316" s="14">
        <f>W316+X316/60+Y316/3600</f>
        <v>2.4163888888888887</v>
      </c>
      <c r="AA316" s="26">
        <f>ABS(Z316-Q316)/Q316</f>
        <v>3.7556608990613374E-5</v>
      </c>
      <c r="AB316" s="26"/>
      <c r="AC316" s="24">
        <f>U316</f>
        <v>48.87972222222222</v>
      </c>
      <c r="AD316" s="14">
        <f>Z316</f>
        <v>2.4163888888888887</v>
      </c>
    </row>
    <row r="317" spans="1:30" s="14" customFormat="1">
      <c r="A317" s="12">
        <v>0</v>
      </c>
      <c r="B317" s="12" t="s">
        <v>110</v>
      </c>
      <c r="C317" s="14" t="str">
        <f>VLOOKUP(B317,weights!A:B,2,FALSE)</f>
        <v>P</v>
      </c>
      <c r="D317" s="13">
        <v>315</v>
      </c>
      <c r="E317" s="14" t="s">
        <v>766</v>
      </c>
      <c r="F317" s="14" t="s">
        <v>448</v>
      </c>
      <c r="G317" s="15"/>
      <c r="H317" s="18"/>
      <c r="I317" s="18"/>
      <c r="K317" s="14">
        <f>VLOOKUP(B317,weights!A:G,5,FALSE)</f>
        <v>1.31</v>
      </c>
      <c r="L317" s="14">
        <f>VLOOKUP(B317,weights!A:G,6,FALSE)</f>
        <v>7</v>
      </c>
      <c r="M317" s="14">
        <f>VLOOKUP(B317,weights!A:G,7,FALSE)</f>
        <v>10</v>
      </c>
      <c r="N317" t="s">
        <v>4066</v>
      </c>
      <c r="O317">
        <v>816</v>
      </c>
      <c r="P317">
        <v>48.906567146</v>
      </c>
      <c r="Q317">
        <v>2.3659203193999998</v>
      </c>
      <c r="R317" s="22">
        <v>48</v>
      </c>
      <c r="S317" s="22">
        <v>54</v>
      </c>
      <c r="T317" s="22">
        <v>24</v>
      </c>
      <c r="U317" s="24">
        <f>R317+S317/60+T317/3600</f>
        <v>48.906666666666666</v>
      </c>
      <c r="V317" s="28">
        <f>ABS(U317-P317)/P317</f>
        <v>2.0349141735660114E-6</v>
      </c>
      <c r="W317" s="22">
        <v>2</v>
      </c>
      <c r="X317" s="22">
        <v>21</v>
      </c>
      <c r="Y317" s="22">
        <v>57</v>
      </c>
      <c r="Z317" s="14">
        <f>W317+X317/60+Y317/3600</f>
        <v>2.3658333333333332</v>
      </c>
      <c r="AA317" s="26">
        <f>ABS(Z317-Q317)/Q317</f>
        <v>3.6766270593860083E-5</v>
      </c>
      <c r="AB317" s="26"/>
      <c r="AC317" s="24">
        <f>U317</f>
        <v>48.906666666666666</v>
      </c>
      <c r="AD317" s="14">
        <f>Z317</f>
        <v>2.3658333333333332</v>
      </c>
    </row>
    <row r="318" spans="1:30" s="14" customFormat="1">
      <c r="A318" s="12">
        <v>1</v>
      </c>
      <c r="B318" s="12" t="s">
        <v>110</v>
      </c>
      <c r="C318" s="14" t="str">
        <f>VLOOKUP(B318,weights!A:B,2,FALSE)</f>
        <v>P</v>
      </c>
      <c r="D318" s="13">
        <v>316</v>
      </c>
      <c r="E318" s="14" t="s">
        <v>449</v>
      </c>
      <c r="F318" s="14" t="s">
        <v>450</v>
      </c>
      <c r="G318" s="15" t="s">
        <v>143</v>
      </c>
      <c r="H318" s="18"/>
      <c r="I318" s="18" t="s">
        <v>1745</v>
      </c>
      <c r="K318" s="14">
        <f>VLOOKUP(B318,weights!A:G,5,FALSE)</f>
        <v>1.31</v>
      </c>
      <c r="L318" s="14">
        <f>VLOOKUP(B318,weights!A:G,6,FALSE)</f>
        <v>7</v>
      </c>
      <c r="M318" s="14">
        <f>VLOOKUP(B318,weights!A:G,7,FALSE)</f>
        <v>10</v>
      </c>
      <c r="N318" t="s">
        <v>5327</v>
      </c>
      <c r="O318">
        <v>636</v>
      </c>
      <c r="P318">
        <v>48.898392953299997</v>
      </c>
      <c r="Q318">
        <v>2.3593939011199998</v>
      </c>
      <c r="R318" s="22">
        <v>48</v>
      </c>
      <c r="S318" s="22">
        <v>53</v>
      </c>
      <c r="T318" s="22">
        <v>50</v>
      </c>
      <c r="U318" s="24">
        <f>R318+S318/60+T318/3600</f>
        <v>48.897222222222219</v>
      </c>
      <c r="V318" s="28">
        <f>ABS(U318-P318)/P318</f>
        <v>2.3942117666240763E-5</v>
      </c>
      <c r="W318" s="22">
        <v>2</v>
      </c>
      <c r="X318" s="22">
        <v>21</v>
      </c>
      <c r="Y318" s="22">
        <v>33</v>
      </c>
      <c r="Z318" s="14">
        <f>W318+X318/60+Y318/3600</f>
        <v>2.3591666666666669</v>
      </c>
      <c r="AA318" s="26">
        <f>ABS(Z318-Q318)/Q318</f>
        <v>9.6310519928478056E-5</v>
      </c>
      <c r="AB318" s="26"/>
      <c r="AC318" s="24">
        <f>U318</f>
        <v>48.897222222222219</v>
      </c>
      <c r="AD318" s="14">
        <f>Z318</f>
        <v>2.3591666666666669</v>
      </c>
    </row>
    <row r="319" spans="1:30" s="14" customFormat="1">
      <c r="A319" s="12">
        <v>2</v>
      </c>
      <c r="B319" s="12" t="s">
        <v>110</v>
      </c>
      <c r="C319" s="14" t="str">
        <f>VLOOKUP(B319,weights!A:B,2,FALSE)</f>
        <v>P</v>
      </c>
      <c r="D319" s="13">
        <v>317</v>
      </c>
      <c r="E319" s="14" t="s">
        <v>451</v>
      </c>
      <c r="F319" s="14" t="s">
        <v>452</v>
      </c>
      <c r="G319" s="15"/>
      <c r="H319" s="18"/>
      <c r="I319" s="18"/>
      <c r="K319" s="14">
        <f>VLOOKUP(B319,weights!A:G,5,FALSE)</f>
        <v>1.31</v>
      </c>
      <c r="L319" s="14">
        <f>VLOOKUP(B319,weights!A:G,6,FALSE)</f>
        <v>7</v>
      </c>
      <c r="M319" s="14">
        <f>VLOOKUP(B319,weights!A:G,7,FALSE)</f>
        <v>10</v>
      </c>
      <c r="N319" t="s">
        <v>4806</v>
      </c>
      <c r="O319">
        <v>347</v>
      </c>
      <c r="P319">
        <v>48.8904854556</v>
      </c>
      <c r="Q319">
        <v>2.35999576638</v>
      </c>
      <c r="R319" s="22">
        <v>48</v>
      </c>
      <c r="S319" s="22">
        <v>53</v>
      </c>
      <c r="T319" s="22">
        <v>26</v>
      </c>
      <c r="U319" s="24">
        <f>R319+S319/60+T319/3600</f>
        <v>48.890555555555558</v>
      </c>
      <c r="V319" s="28">
        <f>ABS(U319-P319)/P319</f>
        <v>1.433815903122594E-6</v>
      </c>
      <c r="W319" s="22">
        <v>2</v>
      </c>
      <c r="X319" s="22">
        <v>21</v>
      </c>
      <c r="Y319" s="22">
        <v>36</v>
      </c>
      <c r="Z319" s="14">
        <f>W319+X319/60+Y319/3600</f>
        <v>2.36</v>
      </c>
      <c r="AA319" s="26">
        <f>ABS(Z319-Q319)/Q319</f>
        <v>1.7939099977280287E-6</v>
      </c>
      <c r="AB319" s="26"/>
      <c r="AC319" s="24">
        <f>U319</f>
        <v>48.890555555555558</v>
      </c>
      <c r="AD319" s="14">
        <f>Z319</f>
        <v>2.36</v>
      </c>
    </row>
    <row r="320" spans="1:30" s="14" customFormat="1">
      <c r="A320" s="12">
        <v>3</v>
      </c>
      <c r="B320" s="12" t="s">
        <v>110</v>
      </c>
      <c r="C320" s="14" t="str">
        <f>VLOOKUP(B320,weights!A:B,2,FALSE)</f>
        <v>P</v>
      </c>
      <c r="D320" s="13">
        <v>318</v>
      </c>
      <c r="E320" s="14" t="s">
        <v>149</v>
      </c>
      <c r="F320" s="14" t="s">
        <v>453</v>
      </c>
      <c r="G320" s="15" t="s">
        <v>111</v>
      </c>
      <c r="H320" s="18" t="s">
        <v>1746</v>
      </c>
      <c r="I320" s="18"/>
      <c r="K320" s="14">
        <f>VLOOKUP(B320,weights!A:G,5,FALSE)</f>
        <v>1.31</v>
      </c>
      <c r="L320" s="14">
        <f>VLOOKUP(B320,weights!A:G,6,FALSE)</f>
        <v>7</v>
      </c>
      <c r="M320" s="14">
        <f>VLOOKUP(B320,weights!A:G,7,FALSE)</f>
        <v>10</v>
      </c>
      <c r="N320" t="s">
        <v>4771</v>
      </c>
      <c r="O320">
        <v>346</v>
      </c>
      <c r="P320">
        <v>48.891480910600002</v>
      </c>
      <c r="Q320">
        <v>2.3497288972599999</v>
      </c>
      <c r="R320" s="22">
        <v>48</v>
      </c>
      <c r="S320" s="22">
        <v>53</v>
      </c>
      <c r="T320" s="22">
        <v>25</v>
      </c>
      <c r="U320" s="24">
        <f>R320+S320/60+T320/3600</f>
        <v>48.890277777777776</v>
      </c>
      <c r="V320" s="28">
        <f>ABS(U320-P320)/P320</f>
        <v>2.4608230305528472E-5</v>
      </c>
      <c r="W320" s="22">
        <v>2</v>
      </c>
      <c r="X320" s="22">
        <v>21</v>
      </c>
      <c r="Y320" s="22">
        <v>0</v>
      </c>
      <c r="Z320" s="14">
        <f>W320+X320/60+Y320/3600</f>
        <v>2.35</v>
      </c>
      <c r="AA320" s="26">
        <f>ABS(Z320-Q320)/Q320</f>
        <v>1.1537617821201673E-4</v>
      </c>
      <c r="AB320" s="26"/>
      <c r="AC320" s="24">
        <f>U320</f>
        <v>48.890277777777776</v>
      </c>
      <c r="AD320" s="14">
        <f>Z320</f>
        <v>2.35</v>
      </c>
    </row>
    <row r="321" spans="1:30" s="14" customFormat="1">
      <c r="A321" s="12">
        <v>4</v>
      </c>
      <c r="B321" s="12" t="s">
        <v>110</v>
      </c>
      <c r="C321" s="14" t="str">
        <f>VLOOKUP(B321,weights!A:B,2,FALSE)</f>
        <v>P</v>
      </c>
      <c r="D321" s="13">
        <v>319</v>
      </c>
      <c r="E321" s="14" t="s">
        <v>454</v>
      </c>
      <c r="F321" s="14" t="s">
        <v>455</v>
      </c>
      <c r="G321" s="15"/>
      <c r="H321" s="18"/>
      <c r="I321" s="18"/>
      <c r="K321" s="14">
        <f>VLOOKUP(B321,weights!A:G,5,FALSE)</f>
        <v>1.31</v>
      </c>
      <c r="L321" s="14">
        <f>VLOOKUP(B321,weights!A:G,6,FALSE)</f>
        <v>7</v>
      </c>
      <c r="M321" s="14">
        <f>VLOOKUP(B321,weights!A:G,7,FALSE)</f>
        <v>10</v>
      </c>
      <c r="N321" t="s">
        <v>4334</v>
      </c>
      <c r="O321">
        <v>43</v>
      </c>
      <c r="P321">
        <v>48.892439590499997</v>
      </c>
      <c r="Q321">
        <v>2.3446570041300001</v>
      </c>
      <c r="R321" s="22">
        <v>48</v>
      </c>
      <c r="S321" s="22">
        <v>53</v>
      </c>
      <c r="T321" s="22">
        <v>33</v>
      </c>
      <c r="U321" s="24">
        <f>R321+S321/60+T321/3600</f>
        <v>48.892499999999998</v>
      </c>
      <c r="V321" s="28">
        <f>ABS(U321-P321)/P321</f>
        <v>1.2355591274923918E-6</v>
      </c>
      <c r="W321" s="22">
        <v>2</v>
      </c>
      <c r="X321" s="22">
        <v>20</v>
      </c>
      <c r="Y321" s="22">
        <v>41</v>
      </c>
      <c r="Z321" s="14">
        <f>W321+X321/60+Y321/3600</f>
        <v>2.3447222222222224</v>
      </c>
      <c r="AA321" s="26">
        <f>ABS(Z321-Q321)/Q321</f>
        <v>2.781562169109804E-5</v>
      </c>
      <c r="AB321" s="26"/>
      <c r="AC321" s="24">
        <f>U321</f>
        <v>48.892499999999998</v>
      </c>
      <c r="AD321" s="14">
        <f>Z321</f>
        <v>2.3447222222222224</v>
      </c>
    </row>
    <row r="322" spans="1:30" s="14" customFormat="1">
      <c r="A322" s="12">
        <v>5</v>
      </c>
      <c r="B322" s="12" t="s">
        <v>110</v>
      </c>
      <c r="C322" s="14" t="str">
        <f>VLOOKUP(B322,weights!A:B,2,FALSE)</f>
        <v>P</v>
      </c>
      <c r="D322" s="13">
        <v>320</v>
      </c>
      <c r="E322" s="14" t="s">
        <v>456</v>
      </c>
      <c r="F322" s="14" t="s">
        <v>457</v>
      </c>
      <c r="G322" s="15"/>
      <c r="H322" s="18"/>
      <c r="I322" s="18"/>
      <c r="K322" s="14">
        <f>VLOOKUP(B322,weights!A:G,5,FALSE)</f>
        <v>1.31</v>
      </c>
      <c r="L322" s="14">
        <f>VLOOKUP(B322,weights!A:G,6,FALSE)</f>
        <v>7</v>
      </c>
      <c r="M322" s="14">
        <f>VLOOKUP(B322,weights!A:G,7,FALSE)</f>
        <v>10</v>
      </c>
      <c r="N322" t="s">
        <v>4460</v>
      </c>
      <c r="O322">
        <v>137</v>
      </c>
      <c r="P322">
        <v>48.8896740757</v>
      </c>
      <c r="Q322">
        <v>2.33876065323</v>
      </c>
      <c r="R322" s="22">
        <v>48</v>
      </c>
      <c r="S322" s="22">
        <v>53</v>
      </c>
      <c r="T322" s="22">
        <v>23</v>
      </c>
      <c r="U322" s="24">
        <f>R322+S322/60+T322/3600</f>
        <v>48.889722222222218</v>
      </c>
      <c r="V322" s="28">
        <f>ABS(U322-P322)/P322</f>
        <v>9.8479941067745532E-7</v>
      </c>
      <c r="W322" s="22">
        <v>2</v>
      </c>
      <c r="X322" s="22">
        <v>20</v>
      </c>
      <c r="Y322" s="22">
        <v>19</v>
      </c>
      <c r="Z322" s="14">
        <f>W322+X322/60+Y322/3600</f>
        <v>2.3386111111111112</v>
      </c>
      <c r="AA322" s="26">
        <f>ABS(Z322-Q322)/Q322</f>
        <v>6.3940753698894787E-5</v>
      </c>
      <c r="AB322" s="26"/>
      <c r="AC322" s="24">
        <f>U322</f>
        <v>48.889722222222218</v>
      </c>
      <c r="AD322" s="14">
        <f>Z322</f>
        <v>2.3386111111111112</v>
      </c>
    </row>
    <row r="323" spans="1:30" s="14" customFormat="1">
      <c r="A323" s="12">
        <v>6</v>
      </c>
      <c r="B323" s="12" t="s">
        <v>110</v>
      </c>
      <c r="C323" s="14" t="str">
        <f>VLOOKUP(B323,weights!A:B,2,FALSE)</f>
        <v>P</v>
      </c>
      <c r="D323" s="13">
        <v>321</v>
      </c>
      <c r="E323" s="14" t="s">
        <v>492</v>
      </c>
      <c r="F323" s="14" t="s">
        <v>458</v>
      </c>
      <c r="G323" s="15"/>
      <c r="H323" s="18"/>
      <c r="I323" s="18"/>
      <c r="K323" s="14">
        <f>VLOOKUP(B323,weights!A:G,5,FALSE)</f>
        <v>1.31</v>
      </c>
      <c r="L323" s="14">
        <f>VLOOKUP(B323,weights!A:G,6,FALSE)</f>
        <v>7</v>
      </c>
      <c r="M323" s="14">
        <f>VLOOKUP(B323,weights!A:G,7,FALSE)</f>
        <v>10</v>
      </c>
      <c r="N323" t="s">
        <v>3119</v>
      </c>
      <c r="O323">
        <v>42</v>
      </c>
      <c r="P323">
        <v>48.884594208000003</v>
      </c>
      <c r="Q323">
        <v>2.33794977706</v>
      </c>
      <c r="R323" s="22">
        <v>48</v>
      </c>
      <c r="S323" s="22">
        <v>53</v>
      </c>
      <c r="T323" s="22">
        <v>4</v>
      </c>
      <c r="U323" s="24">
        <f>R323+S323/60+T323/3600</f>
        <v>48.884444444444441</v>
      </c>
      <c r="V323" s="28">
        <f>ABS(U323-P323)/P323</f>
        <v>3.0636145801897419E-6</v>
      </c>
      <c r="W323" s="22">
        <v>2</v>
      </c>
      <c r="X323" s="22">
        <v>20</v>
      </c>
      <c r="Y323" s="22">
        <v>19</v>
      </c>
      <c r="Z323" s="14">
        <f>W323+X323/60+Y323/3600</f>
        <v>2.3386111111111112</v>
      </c>
      <c r="AA323" s="26">
        <f>ABS(Z323-Q323)/Q323</f>
        <v>2.8286922909989768E-4</v>
      </c>
      <c r="AB323" s="26"/>
      <c r="AC323" s="24">
        <f>U323</f>
        <v>48.884444444444441</v>
      </c>
      <c r="AD323" s="14">
        <f>Z323</f>
        <v>2.3386111111111112</v>
      </c>
    </row>
    <row r="324" spans="1:30" s="14" customFormat="1">
      <c r="A324" s="12">
        <v>7</v>
      </c>
      <c r="B324" s="12" t="s">
        <v>110</v>
      </c>
      <c r="C324" s="14" t="str">
        <f>VLOOKUP(B324,weights!A:B,2,FALSE)</f>
        <v>P</v>
      </c>
      <c r="D324" s="13">
        <v>322</v>
      </c>
      <c r="E324" s="14" t="s">
        <v>92</v>
      </c>
      <c r="F324" s="14" t="s">
        <v>459</v>
      </c>
      <c r="G324" s="15" t="s">
        <v>116</v>
      </c>
      <c r="H324" s="18" t="s">
        <v>1747</v>
      </c>
      <c r="I324" s="18"/>
      <c r="K324" s="14">
        <f>VLOOKUP(B324,weights!A:G,5,FALSE)</f>
        <v>1.31</v>
      </c>
      <c r="L324" s="14">
        <f>VLOOKUP(B324,weights!A:G,6,FALSE)</f>
        <v>7</v>
      </c>
      <c r="M324" s="14">
        <f>VLOOKUP(B324,weights!A:G,7,FALSE)</f>
        <v>10</v>
      </c>
      <c r="N324" t="s">
        <v>5184</v>
      </c>
      <c r="O324">
        <v>41</v>
      </c>
      <c r="P324">
        <v>48.8824426909</v>
      </c>
      <c r="Q324">
        <v>2.3370851364999998</v>
      </c>
      <c r="R324" s="22">
        <v>48</v>
      </c>
      <c r="S324" s="22">
        <v>52</v>
      </c>
      <c r="T324" s="22">
        <v>56</v>
      </c>
      <c r="U324" s="24">
        <f>R324+S324/60+T324/3600</f>
        <v>48.882222222222225</v>
      </c>
      <c r="V324" s="28">
        <f>ABS(U324-P324)/P324</f>
        <v>4.5101812765080892E-6</v>
      </c>
      <c r="W324" s="22">
        <v>2</v>
      </c>
      <c r="X324" s="22">
        <v>20</v>
      </c>
      <c r="Y324" s="22">
        <v>15</v>
      </c>
      <c r="Z324" s="14">
        <f>W324+X324/60+Y324/3600</f>
        <v>2.3375000000000004</v>
      </c>
      <c r="AA324" s="26">
        <f>ABS(Z324-Q324)/Q324</f>
        <v>1.7751321657961713E-4</v>
      </c>
      <c r="AB324" s="26"/>
      <c r="AC324" s="24">
        <f>U324</f>
        <v>48.882222222222225</v>
      </c>
      <c r="AD324" s="14">
        <f>Z324</f>
        <v>2.3375000000000004</v>
      </c>
    </row>
    <row r="325" spans="1:30" s="14" customFormat="1">
      <c r="A325" s="12">
        <v>8</v>
      </c>
      <c r="B325" s="12" t="s">
        <v>110</v>
      </c>
      <c r="C325" s="14" t="str">
        <f>VLOOKUP(B325,weights!A:B,2,FALSE)</f>
        <v>P</v>
      </c>
      <c r="D325" s="13">
        <v>323</v>
      </c>
      <c r="E325" s="14" t="s">
        <v>460</v>
      </c>
      <c r="F325" s="14" t="s">
        <v>461</v>
      </c>
      <c r="G325" s="15"/>
      <c r="H325" s="18"/>
      <c r="I325" s="18"/>
      <c r="K325" s="14">
        <f>VLOOKUP(B325,weights!A:G,5,FALSE)</f>
        <v>1.31</v>
      </c>
      <c r="L325" s="14">
        <f>VLOOKUP(B325,weights!A:G,6,FALSE)</f>
        <v>7</v>
      </c>
      <c r="M325" s="14">
        <f>VLOOKUP(B325,weights!A:G,7,FALSE)</f>
        <v>10</v>
      </c>
      <c r="N325" t="s">
        <v>5548</v>
      </c>
      <c r="O325">
        <v>225</v>
      </c>
      <c r="P325">
        <v>48.878425259399997</v>
      </c>
      <c r="Q325">
        <v>2.3375950800699998</v>
      </c>
      <c r="R325" s="22">
        <v>48</v>
      </c>
      <c r="S325" s="22">
        <v>52</v>
      </c>
      <c r="T325" s="22">
        <v>42</v>
      </c>
      <c r="U325" s="24">
        <f>R325+S325/60+T325/3600</f>
        <v>48.87833333333333</v>
      </c>
      <c r="V325" s="28">
        <f>ABS(U325-P325)/P325</f>
        <v>1.8807084348247265E-6</v>
      </c>
      <c r="W325" s="22">
        <v>2</v>
      </c>
      <c r="X325" s="22">
        <v>20</v>
      </c>
      <c r="Y325" s="22">
        <v>15</v>
      </c>
      <c r="Z325" s="14">
        <f>W325+X325/60+Y325/3600</f>
        <v>2.3375000000000004</v>
      </c>
      <c r="AA325" s="26">
        <f>ABS(Z325-Q325)/Q325</f>
        <v>4.0674311308282115E-5</v>
      </c>
      <c r="AB325" s="26"/>
      <c r="AC325" s="24">
        <f>U325</f>
        <v>48.87833333333333</v>
      </c>
      <c r="AD325" s="14">
        <f>Z325</f>
        <v>2.3375000000000004</v>
      </c>
    </row>
    <row r="326" spans="1:30" s="14" customFormat="1">
      <c r="A326" s="12">
        <v>9</v>
      </c>
      <c r="B326" s="12" t="s">
        <v>110</v>
      </c>
      <c r="C326" s="14" t="str">
        <f>VLOOKUP(B326,weights!A:B,2,FALSE)</f>
        <v>P</v>
      </c>
      <c r="D326" s="13">
        <v>324</v>
      </c>
      <c r="E326" s="14" t="s">
        <v>462</v>
      </c>
      <c r="F326" s="14" t="s">
        <v>463</v>
      </c>
      <c r="G326" s="15"/>
      <c r="H326" s="18"/>
      <c r="I326" s="18"/>
      <c r="K326" s="14">
        <f>VLOOKUP(B326,weights!A:G,5,FALSE)</f>
        <v>1.31</v>
      </c>
      <c r="L326" s="14">
        <f>VLOOKUP(B326,weights!A:G,6,FALSE)</f>
        <v>7</v>
      </c>
      <c r="M326" s="14">
        <f>VLOOKUP(B326,weights!A:G,7,FALSE)</f>
        <v>10</v>
      </c>
      <c r="N326" t="s">
        <v>5027</v>
      </c>
      <c r="O326">
        <v>136</v>
      </c>
      <c r="P326">
        <v>48.876026211599999</v>
      </c>
      <c r="Q326">
        <v>2.3378864890700002</v>
      </c>
      <c r="R326" s="22">
        <v>48</v>
      </c>
      <c r="S326" s="22">
        <v>52</v>
      </c>
      <c r="T326" s="22">
        <v>34</v>
      </c>
      <c r="U326" s="24">
        <f>R326+S326/60+T326/3600</f>
        <v>48.876111111111115</v>
      </c>
      <c r="V326" s="28">
        <f>ABS(U326-P326)/P326</f>
        <v>1.7370379242373081E-6</v>
      </c>
      <c r="W326" s="22">
        <v>2</v>
      </c>
      <c r="X326" s="22">
        <v>20</v>
      </c>
      <c r="Y326" s="22">
        <v>19</v>
      </c>
      <c r="Z326" s="14">
        <f>W326+X326/60+Y326/3600</f>
        <v>2.3386111111111112</v>
      </c>
      <c r="AA326" s="26">
        <f>ABS(Z326-Q326)/Q326</f>
        <v>3.0994748654339615E-4</v>
      </c>
      <c r="AB326" s="26"/>
      <c r="AC326" s="24">
        <f>U326</f>
        <v>48.876111111111115</v>
      </c>
      <c r="AD326" s="14">
        <f>Z326</f>
        <v>2.3386111111111112</v>
      </c>
    </row>
    <row r="327" spans="1:30" s="14" customFormat="1">
      <c r="A327" s="12">
        <v>10</v>
      </c>
      <c r="B327" s="12" t="s">
        <v>110</v>
      </c>
      <c r="C327" s="14" t="str">
        <f>VLOOKUP(B327,weights!A:B,2,FALSE)</f>
        <v>P</v>
      </c>
      <c r="D327" s="13">
        <v>325</v>
      </c>
      <c r="E327" s="14" t="s">
        <v>464</v>
      </c>
      <c r="F327" s="14" t="s">
        <v>465</v>
      </c>
      <c r="G327" s="15"/>
      <c r="H327" s="18"/>
      <c r="I327" s="18"/>
      <c r="K327" s="14">
        <f>VLOOKUP(B327,weights!A:G,5,FALSE)</f>
        <v>1.31</v>
      </c>
      <c r="L327" s="14">
        <f>VLOOKUP(B327,weights!A:G,6,FALSE)</f>
        <v>7</v>
      </c>
      <c r="M327" s="14">
        <f>VLOOKUP(B327,weights!A:G,7,FALSE)</f>
        <v>10</v>
      </c>
      <c r="N327" t="s">
        <v>5820</v>
      </c>
      <c r="O327">
        <v>40</v>
      </c>
      <c r="P327">
        <v>48.8763179623</v>
      </c>
      <c r="Q327">
        <v>2.3325430272999998</v>
      </c>
      <c r="R327" s="22">
        <v>48</v>
      </c>
      <c r="S327" s="22">
        <v>52</v>
      </c>
      <c r="T327" s="22">
        <v>35</v>
      </c>
      <c r="U327" s="24">
        <f>R327+S327/60+T327/3600</f>
        <v>48.87638888888889</v>
      </c>
      <c r="V327" s="28">
        <f>ABS(U327-P327)/P327</f>
        <v>1.451144272872246E-6</v>
      </c>
      <c r="W327" s="22">
        <v>2</v>
      </c>
      <c r="X327" s="22">
        <v>20</v>
      </c>
      <c r="Y327" s="22">
        <v>0</v>
      </c>
      <c r="Z327" s="14">
        <f>W327+X327/60+Y327/3600</f>
        <v>2.3333333333333335</v>
      </c>
      <c r="AA327" s="26">
        <f>ABS(Z327-Q327)/Q327</f>
        <v>3.3881734402491982E-4</v>
      </c>
      <c r="AB327" s="26"/>
      <c r="AC327" s="24">
        <f>U327</f>
        <v>48.87638888888889</v>
      </c>
      <c r="AD327" s="14">
        <f>Z327</f>
        <v>2.3333333333333335</v>
      </c>
    </row>
    <row r="328" spans="1:30" s="14" customFormat="1">
      <c r="A328" s="12">
        <v>11</v>
      </c>
      <c r="B328" s="12" t="s">
        <v>110</v>
      </c>
      <c r="C328" s="14" t="str">
        <f>VLOOKUP(B328,weights!A:B,2,FALSE)</f>
        <v>P</v>
      </c>
      <c r="D328" s="13">
        <v>326</v>
      </c>
      <c r="E328" s="14" t="s">
        <v>123</v>
      </c>
      <c r="F328" s="14" t="s">
        <v>466</v>
      </c>
      <c r="G328" s="15" t="s">
        <v>1480</v>
      </c>
      <c r="H328" s="18" t="s">
        <v>1748</v>
      </c>
      <c r="I328" s="18" t="s">
        <v>1623</v>
      </c>
      <c r="K328" s="14">
        <f>VLOOKUP(B328,weights!A:G,5,FALSE)</f>
        <v>1.31</v>
      </c>
      <c r="L328" s="14">
        <f>VLOOKUP(B328,weights!A:G,6,FALSE)</f>
        <v>7</v>
      </c>
      <c r="M328" s="14">
        <f>VLOOKUP(B328,weights!A:G,7,FALSE)</f>
        <v>10</v>
      </c>
      <c r="N328" t="s">
        <v>5572</v>
      </c>
      <c r="O328">
        <v>818</v>
      </c>
      <c r="P328">
        <v>48.875933152400002</v>
      </c>
      <c r="Q328">
        <v>2.3257279613900002</v>
      </c>
      <c r="R328" s="22">
        <v>48</v>
      </c>
      <c r="S328" s="22">
        <v>52</v>
      </c>
      <c r="T328" s="22">
        <v>32</v>
      </c>
      <c r="U328" s="24">
        <f>R328+S328/60+T328/3600</f>
        <v>48.875555555555557</v>
      </c>
      <c r="V328" s="28">
        <f>ABS(U328-P328)/P328</f>
        <v>7.7256191358433812E-6</v>
      </c>
      <c r="W328" s="22">
        <v>2</v>
      </c>
      <c r="X328" s="22">
        <v>19</v>
      </c>
      <c r="Y328" s="22">
        <v>34</v>
      </c>
      <c r="Z328" s="14">
        <f>W328+X328/60+Y328/3600</f>
        <v>2.326111111111111</v>
      </c>
      <c r="AA328" s="26">
        <f>ABS(Z328-Q328)/Q328</f>
        <v>1.647439973512081E-4</v>
      </c>
      <c r="AB328" s="26"/>
      <c r="AC328" s="24">
        <f>U328</f>
        <v>48.875555555555557</v>
      </c>
      <c r="AD328" s="14">
        <f>Z328</f>
        <v>2.326111111111111</v>
      </c>
    </row>
    <row r="329" spans="1:30" s="14" customFormat="1">
      <c r="A329" s="12">
        <v>12</v>
      </c>
      <c r="B329" s="12" t="s">
        <v>110</v>
      </c>
      <c r="C329" s="14" t="str">
        <f>VLOOKUP(B329,weights!A:B,2,FALSE)</f>
        <v>P</v>
      </c>
      <c r="D329" s="13">
        <v>327</v>
      </c>
      <c r="E329" s="14" t="s">
        <v>353</v>
      </c>
      <c r="F329" s="14" t="s">
        <v>467</v>
      </c>
      <c r="G329" s="15" t="s">
        <v>493</v>
      </c>
      <c r="H329" s="18" t="s">
        <v>1749</v>
      </c>
      <c r="I329" s="18"/>
      <c r="K329" s="14">
        <f>VLOOKUP(B329,weights!A:G,5,FALSE)</f>
        <v>1.31</v>
      </c>
      <c r="L329" s="14">
        <f>VLOOKUP(B329,weights!A:G,6,FALSE)</f>
        <v>7</v>
      </c>
      <c r="M329" s="14">
        <f>VLOOKUP(B329,weights!A:G,7,FALSE)</f>
        <v>10</v>
      </c>
      <c r="N329" t="s">
        <v>4690</v>
      </c>
      <c r="O329">
        <v>66</v>
      </c>
      <c r="P329">
        <v>48.8700997328</v>
      </c>
      <c r="Q329">
        <v>2.3251641095400002</v>
      </c>
      <c r="R329" s="22">
        <v>48</v>
      </c>
      <c r="S329" s="22">
        <v>52</v>
      </c>
      <c r="T329" s="22">
        <v>11</v>
      </c>
      <c r="U329" s="24">
        <f>R329+S329/60+T329/3600</f>
        <v>48.869722222222222</v>
      </c>
      <c r="V329" s="28">
        <f>ABS(U329-P329)/P329</f>
        <v>7.7247760868454244E-6</v>
      </c>
      <c r="W329" s="22">
        <v>2</v>
      </c>
      <c r="X329" s="22">
        <v>19</v>
      </c>
      <c r="Y329" s="22">
        <v>28</v>
      </c>
      <c r="Z329" s="14">
        <f>W329+X329/60+Y329/3600</f>
        <v>2.3244444444444441</v>
      </c>
      <c r="AA329" s="26">
        <f>ABS(Z329-Q329)/Q329</f>
        <v>3.0951152763942938E-4</v>
      </c>
      <c r="AB329" s="26"/>
      <c r="AC329" s="24">
        <f>U329</f>
        <v>48.869722222222222</v>
      </c>
      <c r="AD329" s="14">
        <f>Z329</f>
        <v>2.3244444444444441</v>
      </c>
    </row>
    <row r="330" spans="1:30" s="14" customFormat="1">
      <c r="A330" s="12">
        <v>13</v>
      </c>
      <c r="B330" s="12" t="s">
        <v>110</v>
      </c>
      <c r="C330" s="14" t="str">
        <f>VLOOKUP(B330,weights!A:B,2,FALSE)</f>
        <v>P</v>
      </c>
      <c r="D330" s="13">
        <v>328</v>
      </c>
      <c r="E330" s="14" t="s">
        <v>38</v>
      </c>
      <c r="F330" s="14" t="s">
        <v>39</v>
      </c>
      <c r="G330" s="15" t="s">
        <v>217</v>
      </c>
      <c r="H330" s="18" t="s">
        <v>1750</v>
      </c>
      <c r="I330" s="18"/>
      <c r="K330" s="14">
        <f>VLOOKUP(B330,weights!A:G,5,FALSE)</f>
        <v>1.31</v>
      </c>
      <c r="L330" s="14">
        <f>VLOOKUP(B330,weights!A:G,6,FALSE)</f>
        <v>7</v>
      </c>
      <c r="M330" s="14">
        <f>VLOOKUP(B330,weights!A:G,7,FALSE)</f>
        <v>10</v>
      </c>
      <c r="N330" t="s">
        <v>3740</v>
      </c>
      <c r="O330">
        <v>2</v>
      </c>
      <c r="P330">
        <v>48.866285804599997</v>
      </c>
      <c r="Q330">
        <v>2.3229434122399999</v>
      </c>
      <c r="R330" s="22">
        <v>48</v>
      </c>
      <c r="S330" s="22">
        <v>51</v>
      </c>
      <c r="T330" s="22">
        <v>58</v>
      </c>
      <c r="U330" s="24">
        <f>R330+S330/60+T330/3600</f>
        <v>48.86611111111111</v>
      </c>
      <c r="V330" s="28">
        <f>ABS(U330-P330)/P330</f>
        <v>3.5749287266407373E-6</v>
      </c>
      <c r="W330" s="22">
        <v>2</v>
      </c>
      <c r="X330" s="22">
        <v>19</v>
      </c>
      <c r="Y330" s="22">
        <v>21</v>
      </c>
      <c r="Z330" s="14">
        <f>W330+X330/60+Y330/3600</f>
        <v>2.3224999999999998</v>
      </c>
      <c r="AA330" s="26">
        <f>ABS(Z330-Q330)/Q330</f>
        <v>1.9088378893075472E-4</v>
      </c>
      <c r="AB330" s="26"/>
      <c r="AC330" s="24">
        <f>U330</f>
        <v>48.86611111111111</v>
      </c>
      <c r="AD330" s="14">
        <f>Z330</f>
        <v>2.3224999999999998</v>
      </c>
    </row>
    <row r="331" spans="1:30" s="14" customFormat="1">
      <c r="A331" s="12">
        <v>14</v>
      </c>
      <c r="B331" s="12" t="s">
        <v>110</v>
      </c>
      <c r="C331" s="14" t="str">
        <f>VLOOKUP(B331,weights!A:B,2,FALSE)</f>
        <v>P</v>
      </c>
      <c r="D331" s="13">
        <v>329</v>
      </c>
      <c r="E331" s="14" t="s">
        <v>468</v>
      </c>
      <c r="F331" s="14" t="s">
        <v>469</v>
      </c>
      <c r="G331" s="15"/>
      <c r="H331" s="18"/>
      <c r="I331" s="18"/>
      <c r="K331" s="14">
        <f>VLOOKUP(B331,weights!A:G,5,FALSE)</f>
        <v>1.31</v>
      </c>
      <c r="L331" s="14">
        <f>VLOOKUP(B331,weights!A:G,6,FALSE)</f>
        <v>7</v>
      </c>
      <c r="M331" s="14">
        <f>VLOOKUP(B331,weights!A:G,7,FALSE)</f>
        <v>10</v>
      </c>
      <c r="N331" t="s">
        <v>3208</v>
      </c>
      <c r="O331">
        <v>135</v>
      </c>
      <c r="P331">
        <v>48.860786962600002</v>
      </c>
      <c r="Q331">
        <v>2.3209981919699998</v>
      </c>
      <c r="R331" s="22">
        <v>48</v>
      </c>
      <c r="S331" s="22">
        <v>51</v>
      </c>
      <c r="T331" s="22">
        <v>38</v>
      </c>
      <c r="U331" s="24">
        <f>R331+S331/60+T331/3600</f>
        <v>48.860555555555557</v>
      </c>
      <c r="V331" s="28">
        <f>ABS(U331-P331)/P331</f>
        <v>4.7360482470882704E-6</v>
      </c>
      <c r="W331" s="22">
        <v>2</v>
      </c>
      <c r="X331" s="22">
        <v>19</v>
      </c>
      <c r="Y331" s="22">
        <v>16</v>
      </c>
      <c r="Z331" s="14">
        <f>W331+X331/60+Y331/3600</f>
        <v>2.3211111111111107</v>
      </c>
      <c r="AA331" s="26">
        <f>ABS(Z331-Q331)/Q331</f>
        <v>4.8651111190675759E-5</v>
      </c>
      <c r="AB331" s="26"/>
      <c r="AC331" s="24">
        <f>U331</f>
        <v>48.860555555555557</v>
      </c>
      <c r="AD331" s="14">
        <f>Z331</f>
        <v>2.3211111111111107</v>
      </c>
    </row>
    <row r="332" spans="1:30" s="14" customFormat="1">
      <c r="A332" s="12">
        <v>15</v>
      </c>
      <c r="B332" s="12" t="s">
        <v>110</v>
      </c>
      <c r="C332" s="14" t="str">
        <f>VLOOKUP(B332,weights!A:B,2,FALSE)</f>
        <v>P</v>
      </c>
      <c r="D332" s="13">
        <v>330</v>
      </c>
      <c r="E332" s="14" t="s">
        <v>494</v>
      </c>
      <c r="F332" s="14" t="s">
        <v>470</v>
      </c>
      <c r="G332" s="15" t="s">
        <v>757</v>
      </c>
      <c r="H332" s="18"/>
      <c r="I332" s="18" t="s">
        <v>1751</v>
      </c>
      <c r="K332" s="14">
        <f>VLOOKUP(B332,weights!A:G,5,FALSE)</f>
        <v>1.31</v>
      </c>
      <c r="L332" s="14">
        <f>VLOOKUP(B332,weights!A:G,6,FALSE)</f>
        <v>7</v>
      </c>
      <c r="M332" s="14">
        <f>VLOOKUP(B332,weights!A:G,7,FALSE)</f>
        <v>10</v>
      </c>
      <c r="N332" t="s">
        <v>5719</v>
      </c>
      <c r="O332">
        <v>865</v>
      </c>
      <c r="P332">
        <v>48.858511129900002</v>
      </c>
      <c r="Q332">
        <v>2.3231548558399999</v>
      </c>
      <c r="R332" s="22">
        <v>48</v>
      </c>
      <c r="S332" s="22">
        <v>51</v>
      </c>
      <c r="T332" s="22">
        <v>30</v>
      </c>
      <c r="U332" s="24">
        <f>R332+S332/60+T332/3600</f>
        <v>48.858333333333334</v>
      </c>
      <c r="V332" s="28">
        <f>ABS(U332-P332)/P332</f>
        <v>3.6390091010940199E-6</v>
      </c>
      <c r="W332" s="22">
        <v>2</v>
      </c>
      <c r="X332" s="22">
        <v>19</v>
      </c>
      <c r="Y332" s="22">
        <v>24</v>
      </c>
      <c r="Z332" s="14">
        <f>W332+X332/60+Y332/3600</f>
        <v>2.3233333333333333</v>
      </c>
      <c r="AA332" s="26">
        <f>ABS(Z332-Q332)/Q332</f>
        <v>7.6825482763091761E-5</v>
      </c>
      <c r="AB332" s="26"/>
      <c r="AC332" s="24">
        <f>U332</f>
        <v>48.858333333333334</v>
      </c>
      <c r="AD332" s="14">
        <f>Z332</f>
        <v>2.3233333333333333</v>
      </c>
    </row>
    <row r="333" spans="1:30" s="14" customFormat="1">
      <c r="A333" s="12">
        <v>16</v>
      </c>
      <c r="B333" s="12" t="s">
        <v>110</v>
      </c>
      <c r="C333" s="14" t="str">
        <f>VLOOKUP(B333,weights!A:B,2,FALSE)</f>
        <v>P</v>
      </c>
      <c r="D333" s="13">
        <v>331</v>
      </c>
      <c r="E333" s="14" t="s">
        <v>471</v>
      </c>
      <c r="F333" s="14" t="s">
        <v>472</v>
      </c>
      <c r="G333" s="15"/>
      <c r="H333" s="18"/>
      <c r="I333" s="18"/>
      <c r="K333" s="14">
        <f>VLOOKUP(B333,weights!A:G,5,FALSE)</f>
        <v>1.31</v>
      </c>
      <c r="L333" s="14">
        <f>VLOOKUP(B333,weights!A:G,6,FALSE)</f>
        <v>7</v>
      </c>
      <c r="M333" s="14">
        <f>VLOOKUP(B333,weights!A:G,7,FALSE)</f>
        <v>10</v>
      </c>
      <c r="N333" t="s">
        <v>5499</v>
      </c>
      <c r="O333">
        <v>864</v>
      </c>
      <c r="P333">
        <v>48.855550940199997</v>
      </c>
      <c r="Q333">
        <v>2.3257124221700001</v>
      </c>
      <c r="R333" s="22">
        <v>48</v>
      </c>
      <c r="S333" s="22">
        <v>51</v>
      </c>
      <c r="T333" s="22">
        <v>20</v>
      </c>
      <c r="U333" s="24">
        <f>R333+S333/60+T333/3600</f>
        <v>48.855555555555554</v>
      </c>
      <c r="V333" s="28">
        <f>ABS(U333-P333)/P333</f>
        <v>9.4469419922020623E-8</v>
      </c>
      <c r="W333" s="22">
        <v>2</v>
      </c>
      <c r="X333" s="22">
        <v>19</v>
      </c>
      <c r="Y333" s="22">
        <v>32</v>
      </c>
      <c r="Z333" s="14">
        <f>W333+X333/60+Y333/3600</f>
        <v>2.3255555555555554</v>
      </c>
      <c r="AA333" s="26">
        <f>ABS(Z333-Q333)/Q333</f>
        <v>6.7448844039939851E-5</v>
      </c>
      <c r="AB333" s="26"/>
      <c r="AC333" s="24">
        <f>U333</f>
        <v>48.855555555555554</v>
      </c>
      <c r="AD333" s="14">
        <f>Z333</f>
        <v>2.3255555555555554</v>
      </c>
    </row>
    <row r="334" spans="1:30" s="14" customFormat="1">
      <c r="A334" s="12">
        <v>17</v>
      </c>
      <c r="B334" s="12" t="s">
        <v>110</v>
      </c>
      <c r="C334" s="14" t="str">
        <f>VLOOKUP(B334,weights!A:B,2,FALSE)</f>
        <v>P</v>
      </c>
      <c r="D334" s="13">
        <v>332</v>
      </c>
      <c r="E334" s="14" t="s">
        <v>425</v>
      </c>
      <c r="F334" s="14" t="s">
        <v>473</v>
      </c>
      <c r="G334" s="15"/>
      <c r="H334" s="18"/>
      <c r="I334" s="18"/>
      <c r="K334" s="14">
        <f>VLOOKUP(B334,weights!A:G,5,FALSE)</f>
        <v>1.31</v>
      </c>
      <c r="L334" s="14">
        <f>VLOOKUP(B334,weights!A:G,6,FALSE)</f>
        <v>7</v>
      </c>
      <c r="M334" s="14">
        <f>VLOOKUP(B334,weights!A:G,7,FALSE)</f>
        <v>10</v>
      </c>
      <c r="N334" t="s">
        <v>5700</v>
      </c>
      <c r="O334">
        <v>130</v>
      </c>
      <c r="P334">
        <v>48.851378829700003</v>
      </c>
      <c r="Q334">
        <v>2.32693524475</v>
      </c>
      <c r="R334" s="22">
        <v>48</v>
      </c>
      <c r="S334" s="22">
        <v>51</v>
      </c>
      <c r="T334" s="22">
        <v>5</v>
      </c>
      <c r="U334" s="24">
        <f>R334+S334/60+T334/3600</f>
        <v>48.851388888888891</v>
      </c>
      <c r="V334" s="28">
        <f>ABS(U334-P334)/P334</f>
        <v>2.0591412420815647E-7</v>
      </c>
      <c r="W334" s="22">
        <v>2</v>
      </c>
      <c r="X334" s="22">
        <v>19</v>
      </c>
      <c r="Y334" s="22">
        <v>36</v>
      </c>
      <c r="Z334" s="14">
        <f>W334+X334/60+Y334/3600</f>
        <v>2.3266666666666662</v>
      </c>
      <c r="AA334" s="26">
        <f>ABS(Z334-Q334)/Q334</f>
        <v>1.1542138267051731E-4</v>
      </c>
      <c r="AB334" s="26"/>
      <c r="AC334" s="24">
        <f>U334</f>
        <v>48.851388888888891</v>
      </c>
      <c r="AD334" s="14">
        <f>Z334</f>
        <v>2.3266666666666662</v>
      </c>
    </row>
    <row r="335" spans="1:30" s="14" customFormat="1">
      <c r="A335" s="12">
        <v>18</v>
      </c>
      <c r="B335" s="12" t="s">
        <v>110</v>
      </c>
      <c r="C335" s="14" t="str">
        <f>VLOOKUP(B335,weights!A:B,2,FALSE)</f>
        <v>P</v>
      </c>
      <c r="D335" s="13">
        <v>333</v>
      </c>
      <c r="E335" s="14" t="s">
        <v>474</v>
      </c>
      <c r="F335" s="14" t="s">
        <v>475</v>
      </c>
      <c r="G335" s="15"/>
      <c r="H335" s="18"/>
      <c r="I335" s="18"/>
      <c r="K335" s="14">
        <f>VLOOKUP(B335,weights!A:G,5,FALSE)</f>
        <v>1.31</v>
      </c>
      <c r="L335" s="14">
        <f>VLOOKUP(B335,weights!A:G,6,FALSE)</f>
        <v>7</v>
      </c>
      <c r="M335" s="14">
        <f>VLOOKUP(B335,weights!A:G,7,FALSE)</f>
        <v>10</v>
      </c>
      <c r="N335" t="s">
        <v>5430</v>
      </c>
      <c r="O335">
        <v>224</v>
      </c>
      <c r="P335">
        <v>48.848457848499997</v>
      </c>
      <c r="Q335">
        <v>2.3277821271499999</v>
      </c>
      <c r="R335" s="22">
        <v>48</v>
      </c>
      <c r="S335" s="22">
        <v>50</v>
      </c>
      <c r="T335" s="22">
        <v>53</v>
      </c>
      <c r="U335" s="24">
        <f>R335+S335/60+T335/3600</f>
        <v>48.848055555555561</v>
      </c>
      <c r="V335" s="28">
        <f>ABS(U335-P335)/P335</f>
        <v>8.2355300894807873E-6</v>
      </c>
      <c r="W335" s="22">
        <v>2</v>
      </c>
      <c r="X335" s="22">
        <v>19</v>
      </c>
      <c r="Y335" s="22">
        <v>40</v>
      </c>
      <c r="Z335" s="14">
        <f>W335+X335/60+Y335/3600</f>
        <v>2.3277777777777775</v>
      </c>
      <c r="AA335" s="26">
        <f>ABS(Z335-Q335)/Q335</f>
        <v>1.8684619027055381E-6</v>
      </c>
      <c r="AB335" s="26"/>
      <c r="AC335" s="24">
        <f>U335</f>
        <v>48.848055555555561</v>
      </c>
      <c r="AD335" s="14">
        <f>Z335</f>
        <v>2.3277777777777775</v>
      </c>
    </row>
    <row r="336" spans="1:30" s="14" customFormat="1">
      <c r="A336" s="12">
        <v>19</v>
      </c>
      <c r="B336" s="12" t="s">
        <v>110</v>
      </c>
      <c r="C336" s="14" t="str">
        <f>VLOOKUP(B336,weights!A:B,2,FALSE)</f>
        <v>P</v>
      </c>
      <c r="D336" s="13">
        <v>334</v>
      </c>
      <c r="E336" s="14" t="s">
        <v>476</v>
      </c>
      <c r="F336" s="14" t="s">
        <v>477</v>
      </c>
      <c r="G336" s="15"/>
      <c r="H336" s="18"/>
      <c r="I336" s="18"/>
      <c r="K336" s="14">
        <f>VLOOKUP(B336,weights!A:G,5,FALSE)</f>
        <v>1.31</v>
      </c>
      <c r="L336" s="14">
        <f>VLOOKUP(B336,weights!A:G,6,FALSE)</f>
        <v>7</v>
      </c>
      <c r="M336" s="14">
        <f>VLOOKUP(B336,weights!A:G,7,FALSE)</f>
        <v>10</v>
      </c>
      <c r="N336" t="s">
        <v>5030</v>
      </c>
      <c r="O336">
        <v>863</v>
      </c>
      <c r="P336">
        <v>48.844942635199999</v>
      </c>
      <c r="Q336">
        <v>2.3287780255000001</v>
      </c>
      <c r="R336" s="22">
        <v>48</v>
      </c>
      <c r="S336" s="22">
        <v>50</v>
      </c>
      <c r="T336" s="22">
        <v>40</v>
      </c>
      <c r="U336" s="24">
        <f>R336+S336/60+T336/3600</f>
        <v>48.844444444444449</v>
      </c>
      <c r="V336" s="28">
        <f>ABS(U336-P336)/P336</f>
        <v>1.0199433731985468E-5</v>
      </c>
      <c r="W336" s="22">
        <v>2</v>
      </c>
      <c r="X336" s="22">
        <v>19</v>
      </c>
      <c r="Y336" s="22">
        <v>44</v>
      </c>
      <c r="Z336" s="14">
        <f>W336+X336/60+Y336/3600</f>
        <v>2.3288888888888888</v>
      </c>
      <c r="AA336" s="26">
        <f>ABS(Z336-Q336)/Q336</f>
        <v>4.76058205954847E-5</v>
      </c>
      <c r="AB336" s="26"/>
      <c r="AC336" s="24">
        <f>U336</f>
        <v>48.844444444444449</v>
      </c>
      <c r="AD336" s="14">
        <f>Z336</f>
        <v>2.3288888888888888</v>
      </c>
    </row>
    <row r="337" spans="1:30" s="14" customFormat="1">
      <c r="A337" s="12">
        <v>20</v>
      </c>
      <c r="B337" s="12" t="s">
        <v>110</v>
      </c>
      <c r="C337" s="14" t="str">
        <f>VLOOKUP(B337,weights!A:B,2,FALSE)</f>
        <v>P</v>
      </c>
      <c r="D337" s="13">
        <v>335</v>
      </c>
      <c r="E337" s="14" t="s">
        <v>179</v>
      </c>
      <c r="F337" s="14" t="s">
        <v>180</v>
      </c>
      <c r="G337" s="15" t="s">
        <v>753</v>
      </c>
      <c r="H337" s="18" t="s">
        <v>1752</v>
      </c>
      <c r="I337" s="18" t="s">
        <v>1649</v>
      </c>
      <c r="K337" s="14">
        <f>VLOOKUP(B337,weights!A:G,5,FALSE)</f>
        <v>1.31</v>
      </c>
      <c r="L337" s="14">
        <f>VLOOKUP(B337,weights!A:G,6,FALSE)</f>
        <v>7</v>
      </c>
      <c r="M337" s="14">
        <f>VLOOKUP(B337,weights!A:G,7,FALSE)</f>
        <v>10</v>
      </c>
      <c r="N337" t="s">
        <v>4919</v>
      </c>
      <c r="O337">
        <v>477</v>
      </c>
      <c r="P337">
        <v>48.841186921099997</v>
      </c>
      <c r="Q337">
        <v>2.3205092275300001</v>
      </c>
      <c r="R337" s="22">
        <v>48</v>
      </c>
      <c r="S337" s="22">
        <v>50</v>
      </c>
      <c r="T337" s="22">
        <v>36</v>
      </c>
      <c r="U337" s="24">
        <f>R337+S337/60+T337/3600</f>
        <v>48.843333333333334</v>
      </c>
      <c r="V337" s="28">
        <f>ABS(U337-P337)/P337</f>
        <v>4.3946766420816164E-5</v>
      </c>
      <c r="W337" s="22">
        <v>2</v>
      </c>
      <c r="X337" s="22">
        <v>19</v>
      </c>
      <c r="Y337" s="22">
        <v>23</v>
      </c>
      <c r="Z337" s="14">
        <f>W337+X337/60+Y337/3600</f>
        <v>2.3230555555555554</v>
      </c>
      <c r="AA337" s="26">
        <f>ABS(Z337-Q337)/Q337</f>
        <v>1.097314328831904E-3</v>
      </c>
      <c r="AB337" s="26"/>
      <c r="AC337" s="24">
        <f>U337</f>
        <v>48.843333333333334</v>
      </c>
      <c r="AD337" s="14">
        <f>Z337</f>
        <v>2.3230555555555554</v>
      </c>
    </row>
    <row r="338" spans="1:30" s="14" customFormat="1">
      <c r="A338" s="12">
        <v>21</v>
      </c>
      <c r="B338" s="12" t="s">
        <v>110</v>
      </c>
      <c r="C338" s="14" t="str">
        <f>VLOOKUP(B338,weights!A:B,2,FALSE)</f>
        <v>P</v>
      </c>
      <c r="D338" s="13">
        <v>336</v>
      </c>
      <c r="E338" s="14" t="s">
        <v>478</v>
      </c>
      <c r="F338" s="14" t="s">
        <v>479</v>
      </c>
      <c r="G338" s="15"/>
      <c r="H338" s="18"/>
      <c r="I338" s="18"/>
      <c r="K338" s="14">
        <f>VLOOKUP(B338,weights!A:G,5,FALSE)</f>
        <v>1.31</v>
      </c>
      <c r="L338" s="14">
        <f>VLOOKUP(B338,weights!A:G,6,FALSE)</f>
        <v>7</v>
      </c>
      <c r="M338" s="14">
        <f>VLOOKUP(B338,weights!A:G,7,FALSE)</f>
        <v>10</v>
      </c>
      <c r="N338" t="s">
        <v>4011</v>
      </c>
      <c r="O338">
        <v>345</v>
      </c>
      <c r="P338">
        <v>48.8444701413</v>
      </c>
      <c r="Q338">
        <v>2.3178527830400002</v>
      </c>
      <c r="R338" s="22">
        <v>48</v>
      </c>
      <c r="S338" s="22">
        <v>50</v>
      </c>
      <c r="T338" s="22">
        <v>40</v>
      </c>
      <c r="U338" s="24">
        <f>R338+S338/60+T338/3600</f>
        <v>48.844444444444449</v>
      </c>
      <c r="V338" s="28">
        <f>ABS(U338-P338)/P338</f>
        <v>5.2609549202875527E-7</v>
      </c>
      <c r="W338" s="22">
        <v>2</v>
      </c>
      <c r="X338" s="22">
        <v>19</v>
      </c>
      <c r="Y338" s="22">
        <v>5</v>
      </c>
      <c r="Z338" s="14">
        <f>W338+X338/60+Y338/3600</f>
        <v>2.3180555555555555</v>
      </c>
      <c r="AA338" s="26">
        <f>ABS(Z338-Q338)/Q338</f>
        <v>8.7482913944771887E-5</v>
      </c>
      <c r="AB338" s="26"/>
      <c r="AC338" s="24">
        <f>U338</f>
        <v>48.844444444444449</v>
      </c>
      <c r="AD338" s="14">
        <f>Z338</f>
        <v>2.3180555555555555</v>
      </c>
    </row>
    <row r="339" spans="1:30" s="14" customFormat="1">
      <c r="A339" s="12">
        <v>22</v>
      </c>
      <c r="B339" s="12" t="s">
        <v>110</v>
      </c>
      <c r="C339" s="14" t="str">
        <f>VLOOKUP(B339,weights!A:B,2,FALSE)</f>
        <v>P</v>
      </c>
      <c r="D339" s="13">
        <v>337</v>
      </c>
      <c r="E339" s="14" t="s">
        <v>230</v>
      </c>
      <c r="F339" s="14" t="s">
        <v>480</v>
      </c>
      <c r="G339" s="15" t="s">
        <v>196</v>
      </c>
      <c r="H339" s="18" t="s">
        <v>1753</v>
      </c>
      <c r="I339" s="18"/>
      <c r="K339" s="14">
        <f>VLOOKUP(B339,weights!A:G,5,FALSE)</f>
        <v>1.31</v>
      </c>
      <c r="L339" s="14">
        <f>VLOOKUP(B339,weights!A:G,6,FALSE)</f>
        <v>7</v>
      </c>
      <c r="M339" s="14">
        <f>VLOOKUP(B339,weights!A:G,7,FALSE)</f>
        <v>10</v>
      </c>
      <c r="N339" t="s">
        <v>5122</v>
      </c>
      <c r="O339">
        <v>134</v>
      </c>
      <c r="P339">
        <v>48.842920619099999</v>
      </c>
      <c r="Q339">
        <v>2.31260704965</v>
      </c>
      <c r="R339" s="22">
        <v>48</v>
      </c>
      <c r="S339" s="22">
        <v>50</v>
      </c>
      <c r="T339" s="22">
        <v>34</v>
      </c>
      <c r="U339" s="24">
        <f>R339+S339/60+T339/3600</f>
        <v>48.842777777777783</v>
      </c>
      <c r="V339" s="28">
        <f>ABS(U339-P339)/P339</f>
        <v>2.924504112473174E-6</v>
      </c>
      <c r="W339" s="22">
        <v>2</v>
      </c>
      <c r="X339" s="22">
        <v>18</v>
      </c>
      <c r="Y339" s="22">
        <v>46</v>
      </c>
      <c r="Z339" s="14">
        <f>W339+X339/60+Y339/3600</f>
        <v>2.3127777777777778</v>
      </c>
      <c r="AA339" s="26">
        <f>ABS(Z339-Q339)/Q339</f>
        <v>7.382496209362134E-5</v>
      </c>
      <c r="AB339" s="26"/>
      <c r="AC339" s="24">
        <f>U339</f>
        <v>48.842777777777783</v>
      </c>
      <c r="AD339" s="14">
        <f>Z339</f>
        <v>2.3127777777777778</v>
      </c>
    </row>
    <row r="340" spans="1:30" s="14" customFormat="1">
      <c r="A340" s="12">
        <v>23</v>
      </c>
      <c r="B340" s="12" t="s">
        <v>110</v>
      </c>
      <c r="C340" s="14" t="str">
        <f>VLOOKUP(B340,weights!A:B,2,FALSE)</f>
        <v>P</v>
      </c>
      <c r="D340" s="13">
        <v>338</v>
      </c>
      <c r="E340" s="14" t="s">
        <v>481</v>
      </c>
      <c r="F340" s="14" t="s">
        <v>482</v>
      </c>
      <c r="G340" s="15"/>
      <c r="H340" s="18"/>
      <c r="I340" s="18"/>
      <c r="K340" s="14">
        <f>VLOOKUP(B340,weights!A:G,5,FALSE)</f>
        <v>1.31</v>
      </c>
      <c r="L340" s="14">
        <f>VLOOKUP(B340,weights!A:G,6,FALSE)</f>
        <v>7</v>
      </c>
      <c r="M340" s="14">
        <f>VLOOKUP(B340,weights!A:G,7,FALSE)</f>
        <v>10</v>
      </c>
      <c r="N340" t="s">
        <v>5997</v>
      </c>
      <c r="O340">
        <v>862</v>
      </c>
      <c r="P340">
        <v>48.841505522399999</v>
      </c>
      <c r="Q340">
        <v>2.3079486793399999</v>
      </c>
      <c r="R340" s="22">
        <v>48</v>
      </c>
      <c r="S340" s="22">
        <v>50</v>
      </c>
      <c r="T340" s="22">
        <v>29</v>
      </c>
      <c r="U340" s="24">
        <f>R340+S340/60+T340/3600</f>
        <v>48.841388888888893</v>
      </c>
      <c r="V340" s="28">
        <f>ABS(U340-P340)/P340</f>
        <v>2.3879999164162561E-6</v>
      </c>
      <c r="W340" s="22">
        <v>2</v>
      </c>
      <c r="X340" s="22">
        <v>18</v>
      </c>
      <c r="Y340" s="22">
        <v>27</v>
      </c>
      <c r="Z340" s="14">
        <f>W340+X340/60+Y340/3600</f>
        <v>2.3074999999999997</v>
      </c>
      <c r="AA340" s="26">
        <f>ABS(Z340-Q340)/Q340</f>
        <v>1.9440611657299312E-4</v>
      </c>
      <c r="AB340" s="26"/>
      <c r="AC340" s="24">
        <f>U340</f>
        <v>48.841388888888893</v>
      </c>
      <c r="AD340" s="14">
        <f>Z340</f>
        <v>2.3074999999999997</v>
      </c>
    </row>
    <row r="341" spans="1:30" s="14" customFormat="1">
      <c r="A341" s="12">
        <v>24</v>
      </c>
      <c r="B341" s="12" t="s">
        <v>110</v>
      </c>
      <c r="C341" s="14" t="str">
        <f>VLOOKUP(B341,weights!A:B,2,FALSE)</f>
        <v>P</v>
      </c>
      <c r="D341" s="13">
        <v>339</v>
      </c>
      <c r="E341" s="14" t="s">
        <v>483</v>
      </c>
      <c r="F341" s="14" t="s">
        <v>484</v>
      </c>
      <c r="G341" s="15"/>
      <c r="H341" s="18"/>
      <c r="I341" s="18"/>
      <c r="K341" s="14">
        <f>VLOOKUP(B341,weights!A:G,5,FALSE)</f>
        <v>1.31</v>
      </c>
      <c r="L341" s="14">
        <f>VLOOKUP(B341,weights!A:G,6,FALSE)</f>
        <v>7</v>
      </c>
      <c r="M341" s="14">
        <f>VLOOKUP(B341,weights!A:G,7,FALSE)</f>
        <v>10</v>
      </c>
      <c r="N341" t="s">
        <v>5870</v>
      </c>
      <c r="O341">
        <v>344</v>
      </c>
      <c r="P341">
        <v>48.839516585399998</v>
      </c>
      <c r="Q341">
        <v>2.30110751488</v>
      </c>
      <c r="R341" s="22">
        <v>48</v>
      </c>
      <c r="S341" s="22">
        <v>50</v>
      </c>
      <c r="T341" s="22">
        <v>23</v>
      </c>
      <c r="U341" s="24">
        <f>R341+S341/60+T341/3600</f>
        <v>48.839722222222221</v>
      </c>
      <c r="V341" s="28">
        <f>ABS(U341-P341)/P341</f>
        <v>4.2104598202394182E-6</v>
      </c>
      <c r="W341" s="22">
        <v>2</v>
      </c>
      <c r="X341" s="22">
        <v>18</v>
      </c>
      <c r="Y341" s="22">
        <v>5</v>
      </c>
      <c r="Z341" s="14">
        <f>W341+X341/60+Y341/3600</f>
        <v>2.3013888888888889</v>
      </c>
      <c r="AA341" s="26">
        <f>ABS(Z341-Q341)/Q341</f>
        <v>1.2227764546830371E-4</v>
      </c>
      <c r="AB341" s="26"/>
      <c r="AC341" s="24">
        <f>U341</f>
        <v>48.839722222222221</v>
      </c>
      <c r="AD341" s="14">
        <f>Z341</f>
        <v>2.3013888888888889</v>
      </c>
    </row>
    <row r="342" spans="1:30" s="14" customFormat="1">
      <c r="A342" s="12">
        <v>25</v>
      </c>
      <c r="B342" s="12" t="s">
        <v>110</v>
      </c>
      <c r="C342" s="14" t="str">
        <f>VLOOKUP(B342,weights!A:B,2,FALSE)</f>
        <v>P</v>
      </c>
      <c r="D342" s="13">
        <v>340</v>
      </c>
      <c r="E342" s="14" t="s">
        <v>485</v>
      </c>
      <c r="F342" s="14" t="s">
        <v>486</v>
      </c>
      <c r="G342" s="15"/>
      <c r="H342" s="18"/>
      <c r="I342" s="18"/>
      <c r="K342" s="14">
        <f>VLOOKUP(B342,weights!A:G,5,FALSE)</f>
        <v>1.31</v>
      </c>
      <c r="L342" s="14">
        <f>VLOOKUP(B342,weights!A:G,6,FALSE)</f>
        <v>7</v>
      </c>
      <c r="M342" s="14">
        <f>VLOOKUP(B342,weights!A:G,7,FALSE)</f>
        <v>10</v>
      </c>
      <c r="N342" t="s">
        <v>3751</v>
      </c>
      <c r="O342">
        <v>223</v>
      </c>
      <c r="P342">
        <v>48.837307491899999</v>
      </c>
      <c r="Q342">
        <v>2.2966303378199999</v>
      </c>
      <c r="R342" s="22">
        <v>48</v>
      </c>
      <c r="S342" s="22">
        <v>50</v>
      </c>
      <c r="T342" s="22">
        <v>15</v>
      </c>
      <c r="U342" s="24">
        <f>R342+S342/60+T342/3600</f>
        <v>48.837500000000006</v>
      </c>
      <c r="V342" s="28">
        <f>ABS(U342-P342)/P342</f>
        <v>3.9418245987175697E-6</v>
      </c>
      <c r="W342" s="22">
        <v>2</v>
      </c>
      <c r="X342" s="22">
        <v>17</v>
      </c>
      <c r="Y342" s="22">
        <v>48</v>
      </c>
      <c r="Z342" s="14">
        <f>W342+X342/60+Y342/3600</f>
        <v>2.2966666666666664</v>
      </c>
      <c r="AA342" s="26">
        <f>ABS(Z342-Q342)/Q342</f>
        <v>1.5818325687090334E-5</v>
      </c>
      <c r="AB342" s="26"/>
      <c r="AC342" s="24">
        <f>U342</f>
        <v>48.837500000000006</v>
      </c>
      <c r="AD342" s="14">
        <f>Z342</f>
        <v>2.2966666666666664</v>
      </c>
    </row>
    <row r="343" spans="1:30" s="14" customFormat="1">
      <c r="A343" s="12">
        <v>26</v>
      </c>
      <c r="B343" s="12" t="s">
        <v>110</v>
      </c>
      <c r="C343" s="14" t="str">
        <f>VLOOKUP(B343,weights!A:B,2,FALSE)</f>
        <v>P</v>
      </c>
      <c r="D343" s="13">
        <v>341</v>
      </c>
      <c r="E343" s="14" t="s">
        <v>1400</v>
      </c>
      <c r="F343" s="14" t="s">
        <v>487</v>
      </c>
      <c r="G343" s="15" t="s">
        <v>495</v>
      </c>
      <c r="H343" s="18"/>
      <c r="I343" s="18" t="s">
        <v>1755</v>
      </c>
      <c r="K343" s="14">
        <f>VLOOKUP(B343,weights!A:G,5,FALSE)</f>
        <v>1.31</v>
      </c>
      <c r="L343" s="14">
        <f>VLOOKUP(B343,weights!A:G,6,FALSE)</f>
        <v>7</v>
      </c>
      <c r="M343" s="14">
        <f>VLOOKUP(B343,weights!A:G,7,FALSE)</f>
        <v>10</v>
      </c>
      <c r="N343" t="s">
        <v>5359</v>
      </c>
      <c r="O343">
        <v>480</v>
      </c>
      <c r="P343">
        <v>48.832601192399999</v>
      </c>
      <c r="Q343">
        <v>2.28825267741</v>
      </c>
      <c r="R343" s="22">
        <v>48</v>
      </c>
      <c r="S343" s="22">
        <v>49</v>
      </c>
      <c r="T343" s="22">
        <v>56</v>
      </c>
      <c r="U343" s="24">
        <f>R343+S343/60+T343/3600</f>
        <v>48.832222222222228</v>
      </c>
      <c r="V343" s="28">
        <f>ABS(U343-P343)/P343</f>
        <v>7.7605978079565239E-6</v>
      </c>
      <c r="W343" s="22">
        <v>2</v>
      </c>
      <c r="X343" s="22">
        <v>17</v>
      </c>
      <c r="Y343" s="22">
        <v>16</v>
      </c>
      <c r="Z343" s="14">
        <f>W343+X343/60+Y343/3600</f>
        <v>2.2877777777777775</v>
      </c>
      <c r="AA343" s="26">
        <f>ABS(Z343-Q343)/Q343</f>
        <v>2.0753810840510166E-4</v>
      </c>
      <c r="AB343" s="26"/>
      <c r="AC343" s="24">
        <f>U343</f>
        <v>48.832222222222228</v>
      </c>
      <c r="AD343" s="14">
        <f>Z343</f>
        <v>2.2877777777777775</v>
      </c>
    </row>
    <row r="344" spans="1:30" s="14" customFormat="1">
      <c r="A344" s="12">
        <v>27</v>
      </c>
      <c r="B344" s="12" t="s">
        <v>110</v>
      </c>
      <c r="C344" s="14" t="str">
        <f>VLOOKUP(B344,weights!A:B,2,FALSE)</f>
        <v>P</v>
      </c>
      <c r="D344" s="13">
        <v>342</v>
      </c>
      <c r="E344" s="14" t="s">
        <v>488</v>
      </c>
      <c r="F344" s="14" t="s">
        <v>489</v>
      </c>
      <c r="G344" s="15"/>
      <c r="H344" s="18"/>
      <c r="I344" s="18"/>
      <c r="K344" s="14">
        <f>VLOOKUP(B344,weights!A:G,5,FALSE)</f>
        <v>1.31</v>
      </c>
      <c r="L344" s="14">
        <f>VLOOKUP(B344,weights!A:G,6,FALSE)</f>
        <v>7</v>
      </c>
      <c r="M344" s="14">
        <f>VLOOKUP(B344,weights!A:G,7,FALSE)</f>
        <v>10</v>
      </c>
      <c r="N344" t="s">
        <v>3760</v>
      </c>
      <c r="O344">
        <v>133</v>
      </c>
      <c r="P344">
        <v>48.8270854489</v>
      </c>
      <c r="Q344">
        <v>2.2794116820500001</v>
      </c>
      <c r="R344" s="22">
        <v>48</v>
      </c>
      <c r="S344" s="22">
        <v>49</v>
      </c>
      <c r="T344" s="22">
        <v>37</v>
      </c>
      <c r="U344" s="24">
        <f>R344+S344/60+T344/3600</f>
        <v>48.82694444444445</v>
      </c>
      <c r="V344" s="28">
        <f>ABS(U344-P344)/P344</f>
        <v>2.8878327316391634E-6</v>
      </c>
      <c r="W344" s="22">
        <v>2</v>
      </c>
      <c r="X344" s="22">
        <v>16</v>
      </c>
      <c r="Y344" s="22">
        <v>44</v>
      </c>
      <c r="Z344" s="14">
        <f>W344+X344/60+Y344/3600</f>
        <v>2.278888888888889</v>
      </c>
      <c r="AA344" s="26">
        <f>ABS(Z344-Q344)/Q344</f>
        <v>2.2935442738495102E-4</v>
      </c>
      <c r="AB344" s="26"/>
      <c r="AC344" s="24">
        <f>U344</f>
        <v>48.82694444444445</v>
      </c>
      <c r="AD344" s="14">
        <f>Z344</f>
        <v>2.278888888888889</v>
      </c>
    </row>
    <row r="345" spans="1:30" s="14" customFormat="1">
      <c r="A345" s="12">
        <v>28</v>
      </c>
      <c r="B345" s="12" t="s">
        <v>110</v>
      </c>
      <c r="C345" s="14" t="str">
        <f>VLOOKUP(B345,weights!A:B,2,FALSE)</f>
        <v>P</v>
      </c>
      <c r="D345" s="13">
        <v>343</v>
      </c>
      <c r="E345" s="14" t="s">
        <v>490</v>
      </c>
      <c r="F345" s="14" t="s">
        <v>491</v>
      </c>
      <c r="G345" s="15"/>
      <c r="H345" s="18"/>
      <c r="I345" s="18"/>
      <c r="K345" s="14">
        <f>VLOOKUP(B345,weights!A:G,5,FALSE)</f>
        <v>1.31</v>
      </c>
      <c r="L345" s="14">
        <f>VLOOKUP(B345,weights!A:G,6,FALSE)</f>
        <v>7</v>
      </c>
      <c r="M345" s="14">
        <f>VLOOKUP(B345,weights!A:G,7,FALSE)</f>
        <v>10</v>
      </c>
      <c r="N345" t="s">
        <v>4703</v>
      </c>
      <c r="O345">
        <v>39</v>
      </c>
      <c r="P345">
        <v>48.824105030699997</v>
      </c>
      <c r="Q345">
        <v>2.2730415237799999</v>
      </c>
      <c r="R345" s="22">
        <v>48</v>
      </c>
      <c r="S345" s="22">
        <v>49</v>
      </c>
      <c r="T345" s="22">
        <v>27</v>
      </c>
      <c r="U345" s="24">
        <f>R345+S345/60+T345/3600</f>
        <v>48.82416666666667</v>
      </c>
      <c r="V345" s="28">
        <f>ABS(U345-P345)/P345</f>
        <v>1.2624085302716439E-6</v>
      </c>
      <c r="W345" s="22">
        <v>2</v>
      </c>
      <c r="X345" s="22">
        <v>16</v>
      </c>
      <c r="Y345" s="22">
        <v>24</v>
      </c>
      <c r="Z345" s="14">
        <f>W345+X345/60+Y345/3600</f>
        <v>2.2733333333333334</v>
      </c>
      <c r="AA345" s="26">
        <f>ABS(Z345-Q345)/Q345</f>
        <v>1.2837845251865499E-4</v>
      </c>
      <c r="AB345" s="26"/>
      <c r="AC345" s="24">
        <f>U345</f>
        <v>48.82416666666667</v>
      </c>
      <c r="AD345" s="14">
        <f>Z345</f>
        <v>2.2733333333333334</v>
      </c>
    </row>
    <row r="346" spans="1:30" s="14" customFormat="1">
      <c r="A346" s="12">
        <v>0</v>
      </c>
      <c r="B346" s="12" t="s">
        <v>72</v>
      </c>
      <c r="C346" s="14" t="str">
        <f>VLOOKUP(B346,weights!A:B,2,FALSE)</f>
        <v>M</v>
      </c>
      <c r="D346" s="13">
        <v>344</v>
      </c>
      <c r="E346" s="14" t="s">
        <v>517</v>
      </c>
      <c r="G346" s="14" t="s">
        <v>213</v>
      </c>
      <c r="H346" s="18"/>
      <c r="I346" s="18" t="s">
        <v>1756</v>
      </c>
      <c r="J346" s="14">
        <v>345</v>
      </c>
      <c r="K346" s="14">
        <f>VLOOKUP(B346,weights!A:G,5,FALSE)</f>
        <v>1.56</v>
      </c>
      <c r="L346" s="14">
        <f>VLOOKUP(B346,weights!A:G,6,FALSE)</f>
        <v>7</v>
      </c>
      <c r="M346" s="14">
        <f>VLOOKUP(B346,weights!A:G,7,FALSE)</f>
        <v>10</v>
      </c>
      <c r="N346" t="s">
        <v>4566</v>
      </c>
      <c r="O346">
        <v>632</v>
      </c>
      <c r="P346">
        <v>48.930757003300002</v>
      </c>
      <c r="Q346">
        <v>2.2841744482799999</v>
      </c>
      <c r="R346" s="22"/>
      <c r="S346" s="22"/>
      <c r="T346" s="22"/>
      <c r="U346" s="24">
        <f>R346+S346/60+T346/3600</f>
        <v>0</v>
      </c>
      <c r="V346" s="28">
        <f>ABS(U346-P346)/P346</f>
        <v>1</v>
      </c>
      <c r="W346" s="22"/>
      <c r="X346" s="22"/>
      <c r="Y346" s="22"/>
      <c r="Z346" s="14">
        <f>W346+X346/60+Y346/3600</f>
        <v>0</v>
      </c>
      <c r="AA346" s="26">
        <f>ABS(Z346-Q346)/Q346</f>
        <v>1</v>
      </c>
      <c r="AB346" s="26"/>
      <c r="AC346" s="14">
        <f>P346</f>
        <v>48.930757003300002</v>
      </c>
      <c r="AD346" s="14">
        <f>Q346</f>
        <v>2.2841744482799999</v>
      </c>
    </row>
    <row r="347" spans="1:30" s="14" customFormat="1">
      <c r="A347" s="12">
        <v>1</v>
      </c>
      <c r="B347" s="12" t="s">
        <v>72</v>
      </c>
      <c r="C347" s="14" t="str">
        <f>VLOOKUP(B347,weights!A:B,2,FALSE)</f>
        <v>M</v>
      </c>
      <c r="D347" s="13">
        <v>345</v>
      </c>
      <c r="E347" s="14" t="s">
        <v>767</v>
      </c>
      <c r="H347" s="18"/>
      <c r="I347" s="18"/>
      <c r="J347" s="14">
        <v>346</v>
      </c>
      <c r="K347" s="14">
        <f>VLOOKUP(B347,weights!A:G,5,FALSE)</f>
        <v>1.56</v>
      </c>
      <c r="L347" s="14">
        <f>VLOOKUP(B347,weights!A:G,6,FALSE)</f>
        <v>7</v>
      </c>
      <c r="M347" s="14">
        <f>VLOOKUP(B347,weights!A:G,7,FALSE)</f>
        <v>10</v>
      </c>
      <c r="N347" t="s">
        <v>4542</v>
      </c>
      <c r="O347">
        <v>778</v>
      </c>
      <c r="P347">
        <v>48.9231037797</v>
      </c>
      <c r="Q347">
        <v>2.2862795775300002</v>
      </c>
      <c r="R347" s="22"/>
      <c r="S347" s="22"/>
      <c r="T347" s="22"/>
      <c r="U347" s="24">
        <f>R347+S347/60+T347/3600</f>
        <v>0</v>
      </c>
      <c r="V347" s="28">
        <f>ABS(U347-P347)/P347</f>
        <v>1</v>
      </c>
      <c r="W347" s="22"/>
      <c r="X347" s="22"/>
      <c r="Y347" s="22"/>
      <c r="Z347" s="14">
        <f>W347+X347/60+Y347/3600</f>
        <v>0</v>
      </c>
      <c r="AA347" s="26">
        <f>ABS(Z347-Q347)/Q347</f>
        <v>1</v>
      </c>
      <c r="AB347" s="26"/>
      <c r="AC347" s="14">
        <f>P347</f>
        <v>48.9231037797</v>
      </c>
      <c r="AD347" s="14">
        <f>Q347</f>
        <v>2.2862795775300002</v>
      </c>
    </row>
    <row r="348" spans="1:30" s="14" customFormat="1">
      <c r="A348" s="12">
        <v>2</v>
      </c>
      <c r="B348" s="12" t="s">
        <v>72</v>
      </c>
      <c r="C348" s="14" t="str">
        <f>VLOOKUP(B348,weights!A:B,2,FALSE)</f>
        <v>M</v>
      </c>
      <c r="D348" s="13">
        <v>346</v>
      </c>
      <c r="E348" s="14" t="s">
        <v>496</v>
      </c>
      <c r="H348" s="18"/>
      <c r="I348" s="18"/>
      <c r="J348" s="14">
        <v>347</v>
      </c>
      <c r="K348" s="14">
        <f>VLOOKUP(B348,weights!A:G,5,FALSE)</f>
        <v>1.56</v>
      </c>
      <c r="L348" s="14">
        <f>VLOOKUP(B348,weights!A:G,6,FALSE)</f>
        <v>7</v>
      </c>
      <c r="M348" s="14">
        <f>VLOOKUP(B348,weights!A:G,7,FALSE)</f>
        <v>10</v>
      </c>
      <c r="N348" t="s">
        <v>4076</v>
      </c>
      <c r="O348">
        <v>348</v>
      </c>
      <c r="P348">
        <v>48.916382309900001</v>
      </c>
      <c r="Q348">
        <v>2.2946851116999998</v>
      </c>
      <c r="R348" s="22"/>
      <c r="S348" s="22"/>
      <c r="T348" s="22"/>
      <c r="U348" s="24">
        <f>R348+S348/60+T348/3600</f>
        <v>0</v>
      </c>
      <c r="V348" s="28">
        <f>ABS(U348-P348)/P348</f>
        <v>1</v>
      </c>
      <c r="W348" s="22"/>
      <c r="X348" s="22"/>
      <c r="Y348" s="22"/>
      <c r="Z348" s="14">
        <f>W348+X348/60+Y348/3600</f>
        <v>0</v>
      </c>
      <c r="AA348" s="26">
        <f>ABS(Z348-Q348)/Q348</f>
        <v>1</v>
      </c>
      <c r="AB348" s="26"/>
      <c r="AC348" s="14">
        <f>P348</f>
        <v>48.916382309900001</v>
      </c>
      <c r="AD348" s="14">
        <f>Q348</f>
        <v>2.2946851116999998</v>
      </c>
    </row>
    <row r="349" spans="1:30" s="14" customFormat="1">
      <c r="A349" s="12">
        <v>3</v>
      </c>
      <c r="B349" s="12" t="s">
        <v>72</v>
      </c>
      <c r="C349" s="14" t="str">
        <f>VLOOKUP(B349,weights!A:B,2,FALSE)</f>
        <v>M</v>
      </c>
      <c r="D349" s="13">
        <v>347</v>
      </c>
      <c r="E349" s="14" t="s">
        <v>497</v>
      </c>
      <c r="H349" s="18"/>
      <c r="I349" s="18"/>
      <c r="J349" s="14">
        <v>348</v>
      </c>
      <c r="K349" s="14">
        <f>VLOOKUP(B349,weights!A:G,5,FALSE)</f>
        <v>1.56</v>
      </c>
      <c r="L349" s="14">
        <f>VLOOKUP(B349,weights!A:G,6,FALSE)</f>
        <v>7</v>
      </c>
      <c r="M349" s="14">
        <f>VLOOKUP(B349,weights!A:G,7,FALSE)</f>
        <v>10</v>
      </c>
      <c r="N349" t="s">
        <v>4709</v>
      </c>
      <c r="O349">
        <v>138</v>
      </c>
      <c r="P349">
        <v>48.903330094600001</v>
      </c>
      <c r="Q349">
        <v>2.3059241498700001</v>
      </c>
      <c r="R349" s="22"/>
      <c r="S349" s="22"/>
      <c r="T349" s="22"/>
      <c r="U349" s="24">
        <f>R349+S349/60+T349/3600</f>
        <v>0</v>
      </c>
      <c r="V349" s="28">
        <f>ABS(U349-P349)/P349</f>
        <v>1</v>
      </c>
      <c r="W349" s="22"/>
      <c r="X349" s="22"/>
      <c r="Y349" s="22"/>
      <c r="Z349" s="14">
        <f>W349+X349/60+Y349/3600</f>
        <v>0</v>
      </c>
      <c r="AA349" s="26">
        <f>ABS(Z349-Q349)/Q349</f>
        <v>1</v>
      </c>
      <c r="AB349" s="26"/>
      <c r="AC349" s="14">
        <f>P349</f>
        <v>48.903330094600001</v>
      </c>
      <c r="AD349" s="14">
        <f>Q349</f>
        <v>2.3059241498700001</v>
      </c>
    </row>
    <row r="350" spans="1:30" s="14" customFormat="1">
      <c r="A350" s="12">
        <v>4</v>
      </c>
      <c r="B350" s="12" t="s">
        <v>72</v>
      </c>
      <c r="C350" s="14" t="str">
        <f>VLOOKUP(B350,weights!A:B,2,FALSE)</f>
        <v>M</v>
      </c>
      <c r="D350" s="13">
        <v>348</v>
      </c>
      <c r="E350" s="14" t="s">
        <v>498</v>
      </c>
      <c r="G350" s="14" t="s">
        <v>1486</v>
      </c>
      <c r="H350" s="18"/>
      <c r="I350" s="18" t="s">
        <v>1757</v>
      </c>
      <c r="J350" s="14">
        <v>349</v>
      </c>
      <c r="K350" s="14">
        <f>VLOOKUP(B350,weights!A:G,5,FALSE)</f>
        <v>1.56</v>
      </c>
      <c r="L350" s="14">
        <f>VLOOKUP(B350,weights!A:G,6,FALSE)</f>
        <v>7</v>
      </c>
      <c r="M350" s="14">
        <f>VLOOKUP(B350,weights!A:G,7,FALSE)</f>
        <v>10</v>
      </c>
      <c r="N350" t="s">
        <v>5316</v>
      </c>
      <c r="O350">
        <v>726</v>
      </c>
      <c r="P350">
        <v>48.8941683862</v>
      </c>
      <c r="Q350">
        <v>2.3155992191800001</v>
      </c>
      <c r="R350" s="22"/>
      <c r="S350" s="22"/>
      <c r="T350" s="22"/>
      <c r="U350" s="24">
        <f>R350+S350/60+T350/3600</f>
        <v>0</v>
      </c>
      <c r="V350" s="28">
        <f>ABS(U350-P350)/P350</f>
        <v>1</v>
      </c>
      <c r="W350" s="22"/>
      <c r="X350" s="22"/>
      <c r="Y350" s="22"/>
      <c r="Z350" s="14">
        <f>W350+X350/60+Y350/3600</f>
        <v>0</v>
      </c>
      <c r="AA350" s="26">
        <f>ABS(Z350-Q350)/Q350</f>
        <v>1</v>
      </c>
      <c r="AB350" s="26"/>
      <c r="AC350" s="14">
        <f>P350</f>
        <v>48.8941683862</v>
      </c>
      <c r="AD350" s="14">
        <f>Q350</f>
        <v>2.3155992191800001</v>
      </c>
    </row>
    <row r="351" spans="1:30" s="14" customFormat="1">
      <c r="A351" s="12">
        <v>5</v>
      </c>
      <c r="B351" s="12" t="s">
        <v>72</v>
      </c>
      <c r="C351" s="14" t="str">
        <f>VLOOKUP(B351,weights!A:B,2,FALSE)</f>
        <v>M</v>
      </c>
      <c r="D351" s="13">
        <v>349</v>
      </c>
      <c r="E351" s="14" t="s">
        <v>499</v>
      </c>
      <c r="H351" s="18"/>
      <c r="I351" s="18"/>
      <c r="J351" s="14">
        <v>358</v>
      </c>
      <c r="K351" s="14">
        <f>VLOOKUP(B351,weights!A:G,5,FALSE)</f>
        <v>1.56</v>
      </c>
      <c r="L351" s="14">
        <f>VLOOKUP(B351,weights!A:G,6,FALSE)</f>
        <v>7</v>
      </c>
      <c r="M351" s="14">
        <f>VLOOKUP(B351,weights!A:G,7,FALSE)</f>
        <v>10</v>
      </c>
      <c r="N351" t="s">
        <v>3462</v>
      </c>
      <c r="O351">
        <v>44</v>
      </c>
      <c r="P351">
        <v>48.890587186600001</v>
      </c>
      <c r="Q351">
        <v>2.3201747557900001</v>
      </c>
      <c r="R351" s="22"/>
      <c r="S351" s="22"/>
      <c r="T351" s="22"/>
      <c r="U351" s="24">
        <f>R351+S351/60+T351/3600</f>
        <v>0</v>
      </c>
      <c r="V351" s="28">
        <f>ABS(U351-P351)/P351</f>
        <v>1</v>
      </c>
      <c r="W351" s="22"/>
      <c r="X351" s="22"/>
      <c r="Y351" s="22"/>
      <c r="Z351" s="14">
        <f>W351+X351/60+Y351/3600</f>
        <v>0</v>
      </c>
      <c r="AA351" s="26">
        <f>ABS(Z351-Q351)/Q351</f>
        <v>1</v>
      </c>
      <c r="AB351" s="26"/>
      <c r="AC351" s="14">
        <f>P351</f>
        <v>48.890587186600001</v>
      </c>
      <c r="AD351" s="14">
        <f>Q351</f>
        <v>2.3201747557900001</v>
      </c>
    </row>
    <row r="352" spans="1:30" s="14" customFormat="1">
      <c r="A352" s="12">
        <v>6</v>
      </c>
      <c r="B352" s="12" t="s">
        <v>72</v>
      </c>
      <c r="C352" s="14" t="str">
        <f>VLOOKUP(B352,weights!A:B,2,FALSE)</f>
        <v>M</v>
      </c>
      <c r="D352" s="13">
        <v>350</v>
      </c>
      <c r="E352" s="14" t="s">
        <v>768</v>
      </c>
      <c r="G352" s="14" t="s">
        <v>1487</v>
      </c>
      <c r="H352" s="18"/>
      <c r="I352" s="18" t="s">
        <v>1758</v>
      </c>
      <c r="J352" s="14">
        <v>351</v>
      </c>
      <c r="K352" s="14">
        <f>VLOOKUP(B352,weights!A:G,5,FALSE)</f>
        <v>1.56</v>
      </c>
      <c r="L352" s="14">
        <f>VLOOKUP(B352,weights!A:G,6,FALSE)</f>
        <v>7</v>
      </c>
      <c r="M352" s="14">
        <f>VLOOKUP(B352,weights!A:G,7,FALSE)</f>
        <v>10</v>
      </c>
      <c r="N352" t="s">
        <v>5537</v>
      </c>
      <c r="O352">
        <v>869</v>
      </c>
      <c r="P352">
        <v>48.9458456578</v>
      </c>
      <c r="Q352">
        <v>2.36454176212</v>
      </c>
      <c r="R352" s="22"/>
      <c r="S352" s="22"/>
      <c r="T352" s="22"/>
      <c r="U352" s="24">
        <f>R352+S352/60+T352/3600</f>
        <v>0</v>
      </c>
      <c r="V352" s="28">
        <f>ABS(U352-P352)/P352</f>
        <v>1</v>
      </c>
      <c r="W352" s="22"/>
      <c r="X352" s="22"/>
      <c r="Y352" s="22"/>
      <c r="Z352" s="14">
        <f>W352+X352/60+Y352/3600</f>
        <v>0</v>
      </c>
      <c r="AA352" s="26">
        <f>ABS(Z352-Q352)/Q352</f>
        <v>1</v>
      </c>
      <c r="AB352" s="26"/>
      <c r="AC352" s="14">
        <f>P352</f>
        <v>48.9458456578</v>
      </c>
      <c r="AD352" s="14">
        <f>Q352</f>
        <v>2.36454176212</v>
      </c>
    </row>
    <row r="353" spans="1:30" s="14" customFormat="1">
      <c r="A353" s="12">
        <v>7</v>
      </c>
      <c r="B353" s="12" t="s">
        <v>72</v>
      </c>
      <c r="C353" s="14" t="str">
        <f>VLOOKUP(B353,weights!A:B,2,FALSE)</f>
        <v>M</v>
      </c>
      <c r="D353" s="13">
        <v>351</v>
      </c>
      <c r="E353" s="14" t="s">
        <v>518</v>
      </c>
      <c r="G353" s="14" t="s">
        <v>1461</v>
      </c>
      <c r="H353" s="18"/>
      <c r="I353" s="18" t="s">
        <v>1759</v>
      </c>
      <c r="J353" s="14">
        <v>352</v>
      </c>
      <c r="K353" s="14">
        <f>VLOOKUP(B353,weights!A:G,5,FALSE)</f>
        <v>1.56</v>
      </c>
      <c r="L353" s="14">
        <f>VLOOKUP(B353,weights!A:G,6,FALSE)</f>
        <v>7</v>
      </c>
      <c r="M353" s="14">
        <f>VLOOKUP(B353,weights!A:G,7,FALSE)</f>
        <v>10</v>
      </c>
      <c r="N353" t="s">
        <v>3283</v>
      </c>
      <c r="O353">
        <v>472</v>
      </c>
      <c r="P353">
        <v>48.9373047355</v>
      </c>
      <c r="Q353">
        <v>2.3600721416399999</v>
      </c>
      <c r="R353" s="22"/>
      <c r="S353" s="22"/>
      <c r="T353" s="22"/>
      <c r="U353" s="24">
        <f>R353+S353/60+T353/3600</f>
        <v>0</v>
      </c>
      <c r="V353" s="28">
        <f>ABS(U353-P353)/P353</f>
        <v>1</v>
      </c>
      <c r="W353" s="22"/>
      <c r="X353" s="22"/>
      <c r="Y353" s="22"/>
      <c r="Z353" s="14">
        <f>W353+X353/60+Y353/3600</f>
        <v>0</v>
      </c>
      <c r="AA353" s="26">
        <f>ABS(Z353-Q353)/Q353</f>
        <v>1</v>
      </c>
      <c r="AB353" s="26"/>
      <c r="AC353" s="14">
        <f>P353</f>
        <v>48.9373047355</v>
      </c>
      <c r="AD353" s="14">
        <f>Q353</f>
        <v>2.3600721416399999</v>
      </c>
    </row>
    <row r="354" spans="1:30" s="14" customFormat="1">
      <c r="A354" s="12">
        <v>8</v>
      </c>
      <c r="B354" s="12" t="s">
        <v>72</v>
      </c>
      <c r="C354" s="14" t="str">
        <f>VLOOKUP(B354,weights!A:B,2,FALSE)</f>
        <v>M</v>
      </c>
      <c r="D354" s="13">
        <v>352</v>
      </c>
      <c r="E354" s="14" t="s">
        <v>522</v>
      </c>
      <c r="G354" s="14" t="s">
        <v>1488</v>
      </c>
      <c r="H354" s="18"/>
      <c r="I354" s="18" t="s">
        <v>1760</v>
      </c>
      <c r="J354" s="14">
        <v>353</v>
      </c>
      <c r="K354" s="14">
        <f>VLOOKUP(B354,weights!A:G,5,FALSE)</f>
        <v>1.56</v>
      </c>
      <c r="L354" s="14">
        <f>VLOOKUP(B354,weights!A:G,6,FALSE)</f>
        <v>7</v>
      </c>
      <c r="M354" s="14">
        <f>VLOOKUP(B354,weights!A:G,7,FALSE)</f>
        <v>10</v>
      </c>
      <c r="N354" t="s">
        <v>5533</v>
      </c>
      <c r="O354">
        <v>708</v>
      </c>
      <c r="P354">
        <v>48.929935890599999</v>
      </c>
      <c r="Q354">
        <v>2.35603579553</v>
      </c>
      <c r="R354" s="22"/>
      <c r="S354" s="22"/>
      <c r="T354" s="22"/>
      <c r="U354" s="24">
        <f>R354+S354/60+T354/3600</f>
        <v>0</v>
      </c>
      <c r="V354" s="28">
        <f>ABS(U354-P354)/P354</f>
        <v>1</v>
      </c>
      <c r="W354" s="22"/>
      <c r="X354" s="22"/>
      <c r="Y354" s="22"/>
      <c r="Z354" s="14">
        <f>W354+X354/60+Y354/3600</f>
        <v>0</v>
      </c>
      <c r="AA354" s="26">
        <f>ABS(Z354-Q354)/Q354</f>
        <v>1</v>
      </c>
      <c r="AB354" s="26"/>
      <c r="AC354" s="14">
        <f>P354</f>
        <v>48.929935890599999</v>
      </c>
      <c r="AD354" s="14">
        <f>Q354</f>
        <v>2.35603579553</v>
      </c>
    </row>
    <row r="355" spans="1:30" s="14" customFormat="1">
      <c r="A355" s="12">
        <v>9</v>
      </c>
      <c r="B355" s="12" t="s">
        <v>72</v>
      </c>
      <c r="C355" s="14" t="str">
        <f>VLOOKUP(B355,weights!A:B,2,FALSE)</f>
        <v>M</v>
      </c>
      <c r="D355" s="13">
        <v>353</v>
      </c>
      <c r="E355" s="14" t="s">
        <v>500</v>
      </c>
      <c r="H355" s="18"/>
      <c r="I355" s="18"/>
      <c r="J355" s="14">
        <v>354</v>
      </c>
      <c r="K355" s="14">
        <f>VLOOKUP(B355,weights!A:G,5,FALSE)</f>
        <v>1.56</v>
      </c>
      <c r="L355" s="14">
        <f>VLOOKUP(B355,weights!A:G,6,FALSE)</f>
        <v>7</v>
      </c>
      <c r="M355" s="14">
        <f>VLOOKUP(B355,weights!A:G,7,FALSE)</f>
        <v>10</v>
      </c>
      <c r="N355" t="s">
        <v>3516</v>
      </c>
      <c r="O355">
        <v>230</v>
      </c>
      <c r="P355">
        <v>48.919573072200002</v>
      </c>
      <c r="Q355">
        <v>2.3433059278099999</v>
      </c>
      <c r="R355" s="22"/>
      <c r="S355" s="22"/>
      <c r="T355" s="22"/>
      <c r="U355" s="24">
        <f>R355+S355/60+T355/3600</f>
        <v>0</v>
      </c>
      <c r="V355" s="28">
        <f>ABS(U355-P355)/P355</f>
        <v>1</v>
      </c>
      <c r="W355" s="22"/>
      <c r="X355" s="22"/>
      <c r="Y355" s="22"/>
      <c r="Z355" s="14">
        <f>W355+X355/60+Y355/3600</f>
        <v>0</v>
      </c>
      <c r="AA355" s="26">
        <f>ABS(Z355-Q355)/Q355</f>
        <v>1</v>
      </c>
      <c r="AB355" s="26"/>
      <c r="AC355" s="14">
        <f>P355</f>
        <v>48.919573072200002</v>
      </c>
      <c r="AD355" s="14">
        <f>Q355</f>
        <v>2.3433059278099999</v>
      </c>
    </row>
    <row r="356" spans="1:30" s="14" customFormat="1">
      <c r="A356" s="12">
        <v>10</v>
      </c>
      <c r="B356" s="12" t="s">
        <v>72</v>
      </c>
      <c r="C356" s="14" t="str">
        <f>VLOOKUP(B356,weights!A:B,2,FALSE)</f>
        <v>M</v>
      </c>
      <c r="D356" s="13">
        <v>354</v>
      </c>
      <c r="E356" s="14" t="s">
        <v>501</v>
      </c>
      <c r="H356" s="18"/>
      <c r="I356" s="18"/>
      <c r="J356" s="14">
        <v>355</v>
      </c>
      <c r="K356" s="14">
        <f>VLOOKUP(B356,weights!A:G,5,FALSE)</f>
        <v>1.56</v>
      </c>
      <c r="L356" s="14">
        <f>VLOOKUP(B356,weights!A:G,6,FALSE)</f>
        <v>7</v>
      </c>
      <c r="M356" s="14">
        <f>VLOOKUP(B356,weights!A:G,7,FALSE)</f>
        <v>10</v>
      </c>
      <c r="N356" t="s">
        <v>4721</v>
      </c>
      <c r="O356">
        <v>229</v>
      </c>
      <c r="P356">
        <v>48.911964897899999</v>
      </c>
      <c r="Q356">
        <v>2.3339248904800001</v>
      </c>
      <c r="R356" s="22"/>
      <c r="S356" s="22"/>
      <c r="T356" s="22"/>
      <c r="U356" s="24">
        <f>R356+S356/60+T356/3600</f>
        <v>0</v>
      </c>
      <c r="V356" s="28">
        <f>ABS(U356-P356)/P356</f>
        <v>1</v>
      </c>
      <c r="W356" s="22"/>
      <c r="X356" s="22"/>
      <c r="Y356" s="22"/>
      <c r="Z356" s="14">
        <f>W356+X356/60+Y356/3600</f>
        <v>0</v>
      </c>
      <c r="AA356" s="26">
        <f>ABS(Z356-Q356)/Q356</f>
        <v>1</v>
      </c>
      <c r="AB356" s="26"/>
      <c r="AC356" s="14">
        <f>P356</f>
        <v>48.911964897899999</v>
      </c>
      <c r="AD356" s="14">
        <f>Q356</f>
        <v>2.3339248904800001</v>
      </c>
    </row>
    <row r="357" spans="1:30" s="14" customFormat="1">
      <c r="A357" s="12">
        <v>11</v>
      </c>
      <c r="B357" s="12" t="s">
        <v>72</v>
      </c>
      <c r="C357" s="14" t="str">
        <f>VLOOKUP(B357,weights!A:B,2,FALSE)</f>
        <v>M</v>
      </c>
      <c r="D357" s="13">
        <v>355</v>
      </c>
      <c r="E357" s="14" t="s">
        <v>502</v>
      </c>
      <c r="H357" s="18"/>
      <c r="I357" s="18"/>
      <c r="J357" s="14">
        <v>356</v>
      </c>
      <c r="K357" s="14">
        <f>VLOOKUP(B357,weights!A:G,5,FALSE)</f>
        <v>1.56</v>
      </c>
      <c r="L357" s="14">
        <f>VLOOKUP(B357,weights!A:G,6,FALSE)</f>
        <v>7</v>
      </c>
      <c r="M357" s="14">
        <f>VLOOKUP(B357,weights!A:G,7,FALSE)</f>
        <v>10</v>
      </c>
      <c r="N357" t="s">
        <v>4123</v>
      </c>
      <c r="O357">
        <v>141</v>
      </c>
      <c r="P357">
        <v>48.906094050199997</v>
      </c>
      <c r="Q357">
        <v>2.3318308379600001</v>
      </c>
      <c r="R357" s="22"/>
      <c r="S357" s="22"/>
      <c r="T357" s="22"/>
      <c r="U357" s="24">
        <f>R357+S357/60+T357/3600</f>
        <v>0</v>
      </c>
      <c r="V357" s="28">
        <f>ABS(U357-P357)/P357</f>
        <v>1</v>
      </c>
      <c r="W357" s="22"/>
      <c r="X357" s="22"/>
      <c r="Y357" s="22"/>
      <c r="Z357" s="14">
        <f>W357+X357/60+Y357/3600</f>
        <v>0</v>
      </c>
      <c r="AA357" s="26">
        <f>ABS(Z357-Q357)/Q357</f>
        <v>1</v>
      </c>
      <c r="AB357" s="26"/>
      <c r="AC357" s="14">
        <f>P357</f>
        <v>48.906094050199997</v>
      </c>
      <c r="AD357" s="14">
        <f>Q357</f>
        <v>2.3318308379600001</v>
      </c>
    </row>
    <row r="358" spans="1:30" s="14" customFormat="1">
      <c r="A358" s="12">
        <v>12</v>
      </c>
      <c r="B358" s="12" t="s">
        <v>72</v>
      </c>
      <c r="C358" s="14" t="str">
        <f>VLOOKUP(B358,weights!A:B,2,FALSE)</f>
        <v>M</v>
      </c>
      <c r="D358" s="13">
        <v>356</v>
      </c>
      <c r="E358" s="14" t="s">
        <v>503</v>
      </c>
      <c r="G358" s="14" t="s">
        <v>143</v>
      </c>
      <c r="H358" s="18"/>
      <c r="I358" s="18" t="s">
        <v>1761</v>
      </c>
      <c r="J358" s="14">
        <v>357</v>
      </c>
      <c r="K358" s="14">
        <f>VLOOKUP(B358,weights!A:G,5,FALSE)</f>
        <v>1.56</v>
      </c>
      <c r="L358" s="14">
        <f>VLOOKUP(B358,weights!A:G,6,FALSE)</f>
        <v>7</v>
      </c>
      <c r="M358" s="14">
        <f>VLOOKUP(B358,weights!A:G,7,FALSE)</f>
        <v>10</v>
      </c>
      <c r="N358" t="s">
        <v>5349</v>
      </c>
      <c r="O358">
        <v>140</v>
      </c>
      <c r="P358">
        <v>48.897374795499999</v>
      </c>
      <c r="Q358">
        <v>2.3289428127799998</v>
      </c>
      <c r="R358" s="22"/>
      <c r="S358" s="22"/>
      <c r="T358" s="22"/>
      <c r="U358" s="24">
        <f>R358+S358/60+T358/3600</f>
        <v>0</v>
      </c>
      <c r="V358" s="28">
        <f>ABS(U358-P358)/P358</f>
        <v>1</v>
      </c>
      <c r="W358" s="22"/>
      <c r="X358" s="22"/>
      <c r="Y358" s="22"/>
      <c r="Z358" s="14">
        <f>W358+X358/60+Y358/3600</f>
        <v>0</v>
      </c>
      <c r="AA358" s="26">
        <f>ABS(Z358-Q358)/Q358</f>
        <v>1</v>
      </c>
      <c r="AB358" s="26"/>
      <c r="AC358" s="14">
        <f>P358</f>
        <v>48.897374795499999</v>
      </c>
      <c r="AD358" s="14">
        <f>Q358</f>
        <v>2.3289428127799998</v>
      </c>
    </row>
    <row r="359" spans="1:30" s="14" customFormat="1">
      <c r="A359" s="12">
        <v>13</v>
      </c>
      <c r="B359" s="12" t="s">
        <v>72</v>
      </c>
      <c r="C359" s="14" t="str">
        <f>VLOOKUP(B359,weights!A:B,2,FALSE)</f>
        <v>M</v>
      </c>
      <c r="D359" s="13">
        <v>357</v>
      </c>
      <c r="E359" s="14" t="s">
        <v>504</v>
      </c>
      <c r="H359" s="18"/>
      <c r="I359" s="18"/>
      <c r="J359" s="14">
        <v>358</v>
      </c>
      <c r="K359" s="14">
        <f>VLOOKUP(B359,weights!A:G,5,FALSE)</f>
        <v>1.56</v>
      </c>
      <c r="L359" s="14">
        <f>VLOOKUP(B359,weights!A:G,6,FALSE)</f>
        <v>7</v>
      </c>
      <c r="M359" s="14">
        <f>VLOOKUP(B359,weights!A:G,7,FALSE)</f>
        <v>10</v>
      </c>
      <c r="N359" t="s">
        <v>4199</v>
      </c>
      <c r="O359">
        <v>868</v>
      </c>
      <c r="P359">
        <v>48.892828853399998</v>
      </c>
      <c r="Q359">
        <v>2.3274284585</v>
      </c>
      <c r="R359" s="22"/>
      <c r="S359" s="22"/>
      <c r="T359" s="22"/>
      <c r="U359" s="24">
        <f>R359+S359/60+T359/3600</f>
        <v>0</v>
      </c>
      <c r="V359" s="28">
        <f>ABS(U359-P359)/P359</f>
        <v>1</v>
      </c>
      <c r="W359" s="22"/>
      <c r="X359" s="22"/>
      <c r="Y359" s="22"/>
      <c r="Z359" s="14">
        <f>W359+X359/60+Y359/3600</f>
        <v>0</v>
      </c>
      <c r="AA359" s="26">
        <f>ABS(Z359-Q359)/Q359</f>
        <v>1</v>
      </c>
      <c r="AB359" s="26"/>
      <c r="AC359" s="14">
        <f>P359</f>
        <v>48.892828853399998</v>
      </c>
      <c r="AD359" s="14">
        <f>Q359</f>
        <v>2.3274284585</v>
      </c>
    </row>
    <row r="360" spans="1:30" s="14" customFormat="1">
      <c r="A360" s="12">
        <v>14</v>
      </c>
      <c r="B360" s="12" t="s">
        <v>72</v>
      </c>
      <c r="C360" s="14" t="str">
        <f>VLOOKUP(B360,weights!A:B,2,FALSE)</f>
        <v>M</v>
      </c>
      <c r="D360" s="13">
        <v>358</v>
      </c>
      <c r="E360" s="14" t="s">
        <v>505</v>
      </c>
      <c r="H360" s="18"/>
      <c r="I360" s="18"/>
      <c r="J360" s="14">
        <v>359</v>
      </c>
      <c r="K360" s="14">
        <f>VLOOKUP(B360,weights!A:G,5,FALSE)</f>
        <v>1.56</v>
      </c>
      <c r="L360" s="14">
        <f>VLOOKUP(B360,weights!A:G,6,FALSE)</f>
        <v>7</v>
      </c>
      <c r="M360" s="14">
        <f>VLOOKUP(B360,weights!A:G,7,FALSE)</f>
        <v>10</v>
      </c>
      <c r="N360" t="s">
        <v>4404</v>
      </c>
      <c r="O360">
        <v>48</v>
      </c>
      <c r="P360">
        <v>48.887183946900002</v>
      </c>
      <c r="Q360">
        <v>2.3257796748100001</v>
      </c>
      <c r="R360" s="22"/>
      <c r="S360" s="22"/>
      <c r="T360" s="22"/>
      <c r="U360" s="24">
        <f>R360+S360/60+T360/3600</f>
        <v>0</v>
      </c>
      <c r="V360" s="28">
        <f>ABS(U360-P360)/P360</f>
        <v>1</v>
      </c>
      <c r="W360" s="22"/>
      <c r="X360" s="22"/>
      <c r="Y360" s="22"/>
      <c r="Z360" s="14">
        <f>W360+X360/60+Y360/3600</f>
        <v>0</v>
      </c>
      <c r="AA360" s="26">
        <f>ABS(Z360-Q360)/Q360</f>
        <v>1</v>
      </c>
      <c r="AB360" s="26"/>
      <c r="AC360" s="14">
        <f>P360</f>
        <v>48.887183946900002</v>
      </c>
      <c r="AD360" s="14">
        <f>Q360</f>
        <v>2.3257796748100001</v>
      </c>
    </row>
    <row r="361" spans="1:30" s="14" customFormat="1">
      <c r="A361" s="12">
        <v>15</v>
      </c>
      <c r="B361" s="12" t="s">
        <v>72</v>
      </c>
      <c r="C361" s="14" t="str">
        <f>VLOOKUP(B361,weights!A:B,2,FALSE)</f>
        <v>M</v>
      </c>
      <c r="D361" s="13">
        <v>359</v>
      </c>
      <c r="E361" s="14" t="s">
        <v>90</v>
      </c>
      <c r="G361" s="14" t="s">
        <v>116</v>
      </c>
      <c r="H361" s="18" t="s">
        <v>1762</v>
      </c>
      <c r="I361" s="18"/>
      <c r="J361" s="14">
        <v>360</v>
      </c>
      <c r="K361" s="14">
        <f>VLOOKUP(B361,weights!A:G,5,FALSE)</f>
        <v>1.56</v>
      </c>
      <c r="L361" s="14">
        <f>VLOOKUP(B361,weights!A:G,6,FALSE)</f>
        <v>7</v>
      </c>
      <c r="M361" s="14">
        <f>VLOOKUP(B361,weights!A:G,7,FALSE)</f>
        <v>10</v>
      </c>
      <c r="N361" t="s">
        <v>5192</v>
      </c>
      <c r="O361">
        <v>47</v>
      </c>
      <c r="P361">
        <v>48.883430013800002</v>
      </c>
      <c r="Q361">
        <v>2.3272283357200001</v>
      </c>
      <c r="R361" s="22"/>
      <c r="S361" s="22"/>
      <c r="T361" s="22"/>
      <c r="U361" s="24">
        <f>R361+S361/60+T361/3600</f>
        <v>0</v>
      </c>
      <c r="V361" s="28">
        <f>ABS(U361-P361)/P361</f>
        <v>1</v>
      </c>
      <c r="W361" s="22"/>
      <c r="X361" s="22"/>
      <c r="Y361" s="22"/>
      <c r="Z361" s="14">
        <f>W361+X361/60+Y361/3600</f>
        <v>0</v>
      </c>
      <c r="AA361" s="26">
        <f>ABS(Z361-Q361)/Q361</f>
        <v>1</v>
      </c>
      <c r="AB361" s="26"/>
      <c r="AC361" s="14">
        <f>P361</f>
        <v>48.883430013800002</v>
      </c>
      <c r="AD361" s="14">
        <f>Q361</f>
        <v>2.3272283357200001</v>
      </c>
    </row>
    <row r="362" spans="1:30" s="14" customFormat="1">
      <c r="A362" s="12">
        <v>16</v>
      </c>
      <c r="B362" s="12" t="s">
        <v>72</v>
      </c>
      <c r="C362" s="14" t="str">
        <f>VLOOKUP(B362,weights!A:B,2,FALSE)</f>
        <v>M</v>
      </c>
      <c r="D362" s="13">
        <v>360</v>
      </c>
      <c r="E362" s="14" t="s">
        <v>506</v>
      </c>
      <c r="H362" s="18"/>
      <c r="I362" s="18"/>
      <c r="J362" s="14">
        <v>361</v>
      </c>
      <c r="K362" s="14">
        <f>VLOOKUP(B362,weights!A:G,5,FALSE)</f>
        <v>1.56</v>
      </c>
      <c r="L362" s="14">
        <f>VLOOKUP(B362,weights!A:G,6,FALSE)</f>
        <v>7</v>
      </c>
      <c r="M362" s="14">
        <f>VLOOKUP(B362,weights!A:G,7,FALSE)</f>
        <v>10</v>
      </c>
      <c r="N362" t="s">
        <v>4629</v>
      </c>
      <c r="O362">
        <v>228</v>
      </c>
      <c r="P362">
        <v>48.8796347607</v>
      </c>
      <c r="Q362">
        <v>2.3270222008900001</v>
      </c>
      <c r="R362" s="22"/>
      <c r="S362" s="22"/>
      <c r="T362" s="22"/>
      <c r="U362" s="24">
        <f>R362+S362/60+T362/3600</f>
        <v>0</v>
      </c>
      <c r="V362" s="28">
        <f>ABS(U362-P362)/P362</f>
        <v>1</v>
      </c>
      <c r="W362" s="22"/>
      <c r="X362" s="22"/>
      <c r="Y362" s="22"/>
      <c r="Z362" s="14">
        <f>W362+X362/60+Y362/3600</f>
        <v>0</v>
      </c>
      <c r="AA362" s="26">
        <f>ABS(Z362-Q362)/Q362</f>
        <v>1</v>
      </c>
      <c r="AB362" s="26"/>
      <c r="AC362" s="14">
        <f>P362</f>
        <v>48.8796347607</v>
      </c>
      <c r="AD362" s="14">
        <f>Q362</f>
        <v>2.3270222008900001</v>
      </c>
    </row>
    <row r="363" spans="1:30" s="14" customFormat="1">
      <c r="A363" s="12">
        <v>17</v>
      </c>
      <c r="B363" s="12" t="s">
        <v>72</v>
      </c>
      <c r="C363" s="14" t="str">
        <f>VLOOKUP(B363,weights!A:B,2,FALSE)</f>
        <v>M</v>
      </c>
      <c r="D363" s="13">
        <v>361</v>
      </c>
      <c r="E363" s="14" t="s">
        <v>123</v>
      </c>
      <c r="G363" s="14" t="s">
        <v>1479</v>
      </c>
      <c r="H363" s="18" t="s">
        <v>1763</v>
      </c>
      <c r="I363" s="18" t="s">
        <v>1623</v>
      </c>
      <c r="J363" s="14">
        <v>362</v>
      </c>
      <c r="K363" s="14">
        <f>VLOOKUP(B363,weights!A:G,5,FALSE)</f>
        <v>1.56</v>
      </c>
      <c r="L363" s="14">
        <f>VLOOKUP(B363,weights!A:G,6,FALSE)</f>
        <v>7</v>
      </c>
      <c r="M363" s="14">
        <f>VLOOKUP(B363,weights!A:G,7,FALSE)</f>
        <v>10</v>
      </c>
      <c r="N363" t="s">
        <v>5572</v>
      </c>
      <c r="O363">
        <v>818</v>
      </c>
      <c r="P363">
        <v>48.875933152400002</v>
      </c>
      <c r="Q363">
        <v>2.3257279613900002</v>
      </c>
      <c r="R363" s="22"/>
      <c r="S363" s="22"/>
      <c r="T363" s="22"/>
      <c r="U363" s="24">
        <f>R363+S363/60+T363/3600</f>
        <v>0</v>
      </c>
      <c r="V363" s="28">
        <f>ABS(U363-P363)/P363</f>
        <v>1</v>
      </c>
      <c r="W363" s="22"/>
      <c r="X363" s="22"/>
      <c r="Y363" s="22"/>
      <c r="Z363" s="14">
        <f>W363+X363/60+Y363/3600</f>
        <v>0</v>
      </c>
      <c r="AA363" s="26">
        <f>ABS(Z363-Q363)/Q363</f>
        <v>1</v>
      </c>
      <c r="AB363" s="26"/>
      <c r="AC363" s="14">
        <f>P363</f>
        <v>48.875933152400002</v>
      </c>
      <c r="AD363" s="14">
        <f>Q363</f>
        <v>2.3257279613900002</v>
      </c>
    </row>
    <row r="364" spans="1:30" s="14" customFormat="1">
      <c r="A364" s="12">
        <v>18</v>
      </c>
      <c r="B364" s="12" t="s">
        <v>72</v>
      </c>
      <c r="C364" s="14" t="str">
        <f>VLOOKUP(B364,weights!A:B,2,FALSE)</f>
        <v>M</v>
      </c>
      <c r="D364" s="13">
        <v>362</v>
      </c>
      <c r="E364" s="14" t="s">
        <v>396</v>
      </c>
      <c r="G364" s="14" t="s">
        <v>71</v>
      </c>
      <c r="H364" s="18" t="s">
        <v>1764</v>
      </c>
      <c r="I364" s="18"/>
      <c r="J364" s="14">
        <v>363</v>
      </c>
      <c r="K364" s="14">
        <f>VLOOKUP(B364,weights!A:G,5,FALSE)</f>
        <v>1.56</v>
      </c>
      <c r="L364" s="14">
        <f>VLOOKUP(B364,weights!A:G,6,FALSE)</f>
        <v>7</v>
      </c>
      <c r="M364" s="14">
        <f>VLOOKUP(B364,weights!A:G,7,FALSE)</f>
        <v>10</v>
      </c>
      <c r="N364" t="s">
        <v>4878</v>
      </c>
      <c r="O364">
        <v>139</v>
      </c>
      <c r="P364">
        <v>48.873685210600001</v>
      </c>
      <c r="Q364">
        <v>2.3144679895700002</v>
      </c>
      <c r="R364" s="22"/>
      <c r="S364" s="22"/>
      <c r="T364" s="22"/>
      <c r="U364" s="24">
        <f>R364+S364/60+T364/3600</f>
        <v>0</v>
      </c>
      <c r="V364" s="28">
        <f>ABS(U364-P364)/P364</f>
        <v>1</v>
      </c>
      <c r="W364" s="22"/>
      <c r="X364" s="22"/>
      <c r="Y364" s="22"/>
      <c r="Z364" s="14">
        <f>W364+X364/60+Y364/3600</f>
        <v>0</v>
      </c>
      <c r="AA364" s="26">
        <f>ABS(Z364-Q364)/Q364</f>
        <v>1</v>
      </c>
      <c r="AB364" s="26"/>
      <c r="AC364" s="14">
        <f>P364</f>
        <v>48.873685210600001</v>
      </c>
      <c r="AD364" s="14">
        <f>Q364</f>
        <v>2.3144679895700002</v>
      </c>
    </row>
    <row r="365" spans="1:30" s="14" customFormat="1">
      <c r="A365" s="12">
        <v>19</v>
      </c>
      <c r="B365" s="12" t="s">
        <v>72</v>
      </c>
      <c r="C365" s="14" t="str">
        <f>VLOOKUP(B365,weights!A:B,2,FALSE)</f>
        <v>M</v>
      </c>
      <c r="D365" s="13">
        <v>363</v>
      </c>
      <c r="E365" s="14" t="s">
        <v>507</v>
      </c>
      <c r="G365" s="14" t="s">
        <v>115</v>
      </c>
      <c r="H365" s="18" t="s">
        <v>1765</v>
      </c>
      <c r="I365" s="18"/>
      <c r="J365" s="14">
        <v>364</v>
      </c>
      <c r="K365" s="14">
        <f>VLOOKUP(B365,weights!A:G,5,FALSE)</f>
        <v>1.56</v>
      </c>
      <c r="L365" s="14">
        <f>VLOOKUP(B365,weights!A:G,6,FALSE)</f>
        <v>7</v>
      </c>
      <c r="M365" s="14">
        <f>VLOOKUP(B365,weights!A:G,7,FALSE)</f>
        <v>10</v>
      </c>
      <c r="N365" t="s">
        <v>3572</v>
      </c>
      <c r="O365">
        <v>499</v>
      </c>
      <c r="P365">
        <v>48.867799734499997</v>
      </c>
      <c r="Q365">
        <v>2.3138819376800002</v>
      </c>
      <c r="R365" s="22"/>
      <c r="S365" s="22"/>
      <c r="T365" s="22"/>
      <c r="U365" s="24">
        <f>R365+S365/60+T365/3600</f>
        <v>0</v>
      </c>
      <c r="V365" s="28">
        <f>ABS(U365-P365)/P365</f>
        <v>1</v>
      </c>
      <c r="W365" s="22"/>
      <c r="X365" s="22"/>
      <c r="Y365" s="22"/>
      <c r="Z365" s="14">
        <f>W365+X365/60+Y365/3600</f>
        <v>0</v>
      </c>
      <c r="AA365" s="26">
        <f>ABS(Z365-Q365)/Q365</f>
        <v>1</v>
      </c>
      <c r="AB365" s="26"/>
      <c r="AC365" s="14">
        <f>P365</f>
        <v>48.867799734499997</v>
      </c>
      <c r="AD365" s="14">
        <f>Q365</f>
        <v>2.3138819376800002</v>
      </c>
    </row>
    <row r="366" spans="1:30" s="14" customFormat="1">
      <c r="A366" s="12">
        <v>20</v>
      </c>
      <c r="B366" s="12" t="s">
        <v>72</v>
      </c>
      <c r="C366" s="14" t="str">
        <f>VLOOKUP(B366,weights!A:B,2,FALSE)</f>
        <v>M</v>
      </c>
      <c r="D366" s="13">
        <v>364</v>
      </c>
      <c r="E366" s="14" t="s">
        <v>352</v>
      </c>
      <c r="G366" s="14" t="s">
        <v>520</v>
      </c>
      <c r="H366" s="18" t="s">
        <v>1766</v>
      </c>
      <c r="I366" s="18" t="s">
        <v>1698</v>
      </c>
      <c r="J366" s="14">
        <v>365</v>
      </c>
      <c r="K366" s="14">
        <f>VLOOKUP(B366,weights!A:G,5,FALSE)</f>
        <v>1.56</v>
      </c>
      <c r="L366" s="14">
        <f>VLOOKUP(B366,weights!A:G,6,FALSE)</f>
        <v>7</v>
      </c>
      <c r="M366" s="14">
        <f>VLOOKUP(B366,weights!A:G,7,FALSE)</f>
        <v>10</v>
      </c>
      <c r="N366" t="s">
        <v>4264</v>
      </c>
      <c r="O366">
        <v>479</v>
      </c>
      <c r="P366">
        <v>48.862901844200003</v>
      </c>
      <c r="Q366">
        <v>2.31390890638</v>
      </c>
      <c r="R366" s="22"/>
      <c r="S366" s="22"/>
      <c r="T366" s="22"/>
      <c r="U366" s="24">
        <f>R366+S366/60+T366/3600</f>
        <v>0</v>
      </c>
      <c r="V366" s="28">
        <f>ABS(U366-P366)/P366</f>
        <v>1</v>
      </c>
      <c r="W366" s="22"/>
      <c r="X366" s="22"/>
      <c r="Y366" s="22"/>
      <c r="Z366" s="14">
        <f>W366+X366/60+Y366/3600</f>
        <v>0</v>
      </c>
      <c r="AA366" s="26">
        <f>ABS(Z366-Q366)/Q366</f>
        <v>1</v>
      </c>
      <c r="AB366" s="26"/>
      <c r="AC366" s="14">
        <f>P366</f>
        <v>48.862901844200003</v>
      </c>
      <c r="AD366" s="14">
        <f>Q366</f>
        <v>2.31390890638</v>
      </c>
    </row>
    <row r="367" spans="1:30" s="14" customFormat="1">
      <c r="A367" s="12">
        <v>21</v>
      </c>
      <c r="B367" s="12" t="s">
        <v>72</v>
      </c>
      <c r="C367" s="14" t="str">
        <f>VLOOKUP(B367,weights!A:B,2,FALSE)</f>
        <v>M</v>
      </c>
      <c r="D367" s="13">
        <v>365</v>
      </c>
      <c r="E367" s="14" t="s">
        <v>508</v>
      </c>
      <c r="H367" s="18"/>
      <c r="I367" s="18"/>
      <c r="J367" s="14">
        <v>366</v>
      </c>
      <c r="K367" s="14">
        <f>VLOOKUP(B367,weights!A:G,5,FALSE)</f>
        <v>1.56</v>
      </c>
      <c r="L367" s="14">
        <f>VLOOKUP(B367,weights!A:G,6,FALSE)</f>
        <v>7</v>
      </c>
      <c r="M367" s="14">
        <f>VLOOKUP(B367,weights!A:G,7,FALSE)</f>
        <v>10</v>
      </c>
      <c r="N367" t="s">
        <v>5855</v>
      </c>
      <c r="O367">
        <v>46</v>
      </c>
      <c r="P367">
        <v>48.856871379200001</v>
      </c>
      <c r="Q367">
        <v>2.3150566373200001</v>
      </c>
      <c r="R367" s="22"/>
      <c r="S367" s="22"/>
      <c r="T367" s="22"/>
      <c r="U367" s="24">
        <f>R367+S367/60+T367/3600</f>
        <v>0</v>
      </c>
      <c r="V367" s="28">
        <f>ABS(U367-P367)/P367</f>
        <v>1</v>
      </c>
      <c r="W367" s="22"/>
      <c r="X367" s="22"/>
      <c r="Y367" s="22"/>
      <c r="Z367" s="14">
        <f>W367+X367/60+Y367/3600</f>
        <v>0</v>
      </c>
      <c r="AA367" s="26">
        <f>ABS(Z367-Q367)/Q367</f>
        <v>1</v>
      </c>
      <c r="AB367" s="26"/>
      <c r="AC367" s="14">
        <f>P367</f>
        <v>48.856871379200001</v>
      </c>
      <c r="AD367" s="14">
        <f>Q367</f>
        <v>2.3150566373200001</v>
      </c>
    </row>
    <row r="368" spans="1:30" s="14" customFormat="1">
      <c r="A368" s="12">
        <v>22</v>
      </c>
      <c r="B368" s="12" t="s">
        <v>72</v>
      </c>
      <c r="C368" s="14" t="str">
        <f>VLOOKUP(B368,weights!A:B,2,FALSE)</f>
        <v>M</v>
      </c>
      <c r="D368" s="13">
        <v>366</v>
      </c>
      <c r="E368" s="14" t="s">
        <v>509</v>
      </c>
      <c r="H368" s="18"/>
      <c r="I368" s="18"/>
      <c r="J368" s="14">
        <v>367</v>
      </c>
      <c r="K368" s="14">
        <f>VLOOKUP(B368,weights!A:G,5,FALSE)</f>
        <v>1.56</v>
      </c>
      <c r="L368" s="14">
        <f>VLOOKUP(B368,weights!A:G,6,FALSE)</f>
        <v>7</v>
      </c>
      <c r="M368" s="14">
        <f>VLOOKUP(B368,weights!A:G,7,FALSE)</f>
        <v>10</v>
      </c>
      <c r="N368" t="s">
        <v>5545</v>
      </c>
      <c r="O368">
        <v>867</v>
      </c>
      <c r="P368">
        <v>48.851441709200003</v>
      </c>
      <c r="Q368">
        <v>2.3144081214500001</v>
      </c>
      <c r="R368" s="22"/>
      <c r="S368" s="22"/>
      <c r="T368" s="22"/>
      <c r="U368" s="24">
        <f>R368+S368/60+T368/3600</f>
        <v>0</v>
      </c>
      <c r="V368" s="28">
        <f>ABS(U368-P368)/P368</f>
        <v>1</v>
      </c>
      <c r="W368" s="22"/>
      <c r="X368" s="22"/>
      <c r="Y368" s="22"/>
      <c r="Z368" s="14">
        <f>W368+X368/60+Y368/3600</f>
        <v>0</v>
      </c>
      <c r="AA368" s="26">
        <f>ABS(Z368-Q368)/Q368</f>
        <v>1</v>
      </c>
      <c r="AB368" s="26"/>
      <c r="AC368" s="14">
        <f>P368</f>
        <v>48.851441709200003</v>
      </c>
      <c r="AD368" s="14">
        <f>Q368</f>
        <v>2.3144081214500001</v>
      </c>
    </row>
    <row r="369" spans="1:30" s="14" customFormat="1">
      <c r="A369" s="12">
        <v>23</v>
      </c>
      <c r="B369" s="12" t="s">
        <v>72</v>
      </c>
      <c r="C369" s="14" t="str">
        <f>VLOOKUP(B369,weights!A:B,2,FALSE)</f>
        <v>M</v>
      </c>
      <c r="D369" s="13">
        <v>367</v>
      </c>
      <c r="E369" s="14" t="s">
        <v>423</v>
      </c>
      <c r="H369" s="18"/>
      <c r="I369" s="18"/>
      <c r="J369" s="14">
        <v>368</v>
      </c>
      <c r="K369" s="14">
        <f>VLOOKUP(B369,weights!A:G,5,FALSE)</f>
        <v>1.56</v>
      </c>
      <c r="L369" s="14">
        <f>VLOOKUP(B369,weights!A:G,6,FALSE)</f>
        <v>7</v>
      </c>
      <c r="M369" s="14">
        <f>VLOOKUP(B369,weights!A:G,7,FALSE)</f>
        <v>10</v>
      </c>
      <c r="N369" t="s">
        <v>3898</v>
      </c>
      <c r="O369">
        <v>45</v>
      </c>
      <c r="P369">
        <v>48.846854854900002</v>
      </c>
      <c r="Q369">
        <v>2.3166346711100001</v>
      </c>
      <c r="R369" s="22"/>
      <c r="S369" s="22"/>
      <c r="T369" s="22"/>
      <c r="U369" s="24">
        <f>R369+S369/60+T369/3600</f>
        <v>0</v>
      </c>
      <c r="V369" s="28">
        <f>ABS(U369-P369)/P369</f>
        <v>1</v>
      </c>
      <c r="W369" s="22"/>
      <c r="X369" s="22"/>
      <c r="Y369" s="22"/>
      <c r="Z369" s="14">
        <f>W369+X369/60+Y369/3600</f>
        <v>0</v>
      </c>
      <c r="AA369" s="26">
        <f>ABS(Z369-Q369)/Q369</f>
        <v>1</v>
      </c>
      <c r="AB369" s="26"/>
      <c r="AC369" s="14">
        <f>P369</f>
        <v>48.846854854900002</v>
      </c>
      <c r="AD369" s="14">
        <f>Q369</f>
        <v>2.3166346711100001</v>
      </c>
    </row>
    <row r="370" spans="1:30" s="14" customFormat="1">
      <c r="A370" s="12">
        <v>24</v>
      </c>
      <c r="B370" s="12" t="s">
        <v>72</v>
      </c>
      <c r="C370" s="14" t="str">
        <f>VLOOKUP(B370,weights!A:B,2,FALSE)</f>
        <v>M</v>
      </c>
      <c r="D370" s="13">
        <v>368</v>
      </c>
      <c r="E370" s="14" t="s">
        <v>179</v>
      </c>
      <c r="G370" s="14" t="s">
        <v>752</v>
      </c>
      <c r="H370" s="18" t="s">
        <v>1767</v>
      </c>
      <c r="I370" s="18" t="s">
        <v>1649</v>
      </c>
      <c r="J370" s="14">
        <v>369</v>
      </c>
      <c r="K370" s="14">
        <f>VLOOKUP(B370,weights!A:G,5,FALSE)</f>
        <v>1.56</v>
      </c>
      <c r="L370" s="14">
        <f>VLOOKUP(B370,weights!A:G,6,FALSE)</f>
        <v>7</v>
      </c>
      <c r="M370" s="14">
        <f>VLOOKUP(B370,weights!A:G,7,FALSE)</f>
        <v>10</v>
      </c>
      <c r="N370" t="s">
        <v>4919</v>
      </c>
      <c r="O370">
        <v>477</v>
      </c>
      <c r="P370">
        <v>48.841186921099997</v>
      </c>
      <c r="Q370">
        <v>2.3205092275300001</v>
      </c>
      <c r="R370" s="22"/>
      <c r="S370" s="22"/>
      <c r="T370" s="22"/>
      <c r="U370" s="24">
        <f>R370+S370/60+T370/3600</f>
        <v>0</v>
      </c>
      <c r="V370" s="28">
        <f>ABS(U370-P370)/P370</f>
        <v>1</v>
      </c>
      <c r="W370" s="22"/>
      <c r="X370" s="22"/>
      <c r="Y370" s="22"/>
      <c r="Z370" s="14">
        <f>W370+X370/60+Y370/3600</f>
        <v>0</v>
      </c>
      <c r="AA370" s="26">
        <f>ABS(Z370-Q370)/Q370</f>
        <v>1</v>
      </c>
      <c r="AB370" s="26"/>
      <c r="AC370" s="14">
        <f>P370</f>
        <v>48.841186921099997</v>
      </c>
      <c r="AD370" s="14">
        <f>Q370</f>
        <v>2.3205092275300001</v>
      </c>
    </row>
    <row r="371" spans="1:30" s="14" customFormat="1">
      <c r="A371" s="12">
        <v>25</v>
      </c>
      <c r="B371" s="12" t="s">
        <v>72</v>
      </c>
      <c r="C371" s="14" t="str">
        <f>VLOOKUP(B371,weights!A:B,2,FALSE)</f>
        <v>M</v>
      </c>
      <c r="D371" s="13">
        <v>369</v>
      </c>
      <c r="E371" s="14" t="s">
        <v>510</v>
      </c>
      <c r="H371" s="18"/>
      <c r="I371" s="18"/>
      <c r="J371" s="14">
        <v>370</v>
      </c>
      <c r="K371" s="14">
        <f>VLOOKUP(B371,weights!A:G,5,FALSE)</f>
        <v>1.56</v>
      </c>
      <c r="L371" s="14">
        <f>VLOOKUP(B371,weights!A:G,6,FALSE)</f>
        <v>7</v>
      </c>
      <c r="M371" s="14">
        <f>VLOOKUP(B371,weights!A:G,7,FALSE)</f>
        <v>10</v>
      </c>
      <c r="N371" t="s">
        <v>4082</v>
      </c>
      <c r="O371">
        <v>351</v>
      </c>
      <c r="P371">
        <v>48.838631647100001</v>
      </c>
      <c r="Q371">
        <v>2.3224917484500001</v>
      </c>
      <c r="R371" s="22"/>
      <c r="S371" s="22"/>
      <c r="T371" s="22"/>
      <c r="U371" s="24">
        <f>R371+S371/60+T371/3600</f>
        <v>0</v>
      </c>
      <c r="V371" s="28">
        <f>ABS(U371-P371)/P371</f>
        <v>1</v>
      </c>
      <c r="W371" s="22"/>
      <c r="X371" s="22"/>
      <c r="Y371" s="22"/>
      <c r="Z371" s="14">
        <f>W371+X371/60+Y371/3600</f>
        <v>0</v>
      </c>
      <c r="AA371" s="26">
        <f>ABS(Z371-Q371)/Q371</f>
        <v>1</v>
      </c>
      <c r="AB371" s="26"/>
      <c r="AC371" s="14">
        <f>P371</f>
        <v>48.838631647100001</v>
      </c>
      <c r="AD371" s="14">
        <f>Q371</f>
        <v>2.3224917484500001</v>
      </c>
    </row>
    <row r="372" spans="1:30" s="14" customFormat="1">
      <c r="A372" s="12">
        <v>26</v>
      </c>
      <c r="B372" s="12" t="s">
        <v>72</v>
      </c>
      <c r="C372" s="14" t="str">
        <f>VLOOKUP(B372,weights!A:B,2,FALSE)</f>
        <v>M</v>
      </c>
      <c r="D372" s="13">
        <v>370</v>
      </c>
      <c r="E372" s="14" t="s">
        <v>511</v>
      </c>
      <c r="H372" s="18"/>
      <c r="I372" s="18"/>
      <c r="J372" s="14">
        <v>371</v>
      </c>
      <c r="K372" s="14">
        <f>VLOOKUP(B372,weights!A:G,5,FALSE)</f>
        <v>1.56</v>
      </c>
      <c r="L372" s="14">
        <f>VLOOKUP(B372,weights!A:G,6,FALSE)</f>
        <v>7</v>
      </c>
      <c r="M372" s="14">
        <f>VLOOKUP(B372,weights!A:G,7,FALSE)</f>
        <v>10</v>
      </c>
      <c r="N372" t="s">
        <v>5147</v>
      </c>
      <c r="O372">
        <v>350</v>
      </c>
      <c r="P372">
        <v>48.833936392600002</v>
      </c>
      <c r="Q372">
        <v>2.3180782841299998</v>
      </c>
      <c r="R372" s="22"/>
      <c r="S372" s="22"/>
      <c r="T372" s="22"/>
      <c r="U372" s="24">
        <f>R372+S372/60+T372/3600</f>
        <v>0</v>
      </c>
      <c r="V372" s="28">
        <f>ABS(U372-P372)/P372</f>
        <v>1</v>
      </c>
      <c r="W372" s="22"/>
      <c r="X372" s="22"/>
      <c r="Y372" s="22"/>
      <c r="Z372" s="14">
        <f>W372+X372/60+Y372/3600</f>
        <v>0</v>
      </c>
      <c r="AA372" s="26">
        <f>ABS(Z372-Q372)/Q372</f>
        <v>1</v>
      </c>
      <c r="AB372" s="26"/>
      <c r="AC372" s="14">
        <f>P372</f>
        <v>48.833936392600002</v>
      </c>
      <c r="AD372" s="14">
        <f>Q372</f>
        <v>2.3180782841299998</v>
      </c>
    </row>
    <row r="373" spans="1:30" s="14" customFormat="1">
      <c r="A373" s="12">
        <v>27</v>
      </c>
      <c r="B373" s="12" t="s">
        <v>72</v>
      </c>
      <c r="C373" s="14" t="str">
        <f>VLOOKUP(B373,weights!A:B,2,FALSE)</f>
        <v>M</v>
      </c>
      <c r="D373" s="13">
        <v>371</v>
      </c>
      <c r="E373" s="14" t="s">
        <v>512</v>
      </c>
      <c r="H373" s="18"/>
      <c r="I373" s="18"/>
      <c r="J373" s="14">
        <v>372</v>
      </c>
      <c r="K373" s="14">
        <f>VLOOKUP(B373,weights!A:G,5,FALSE)</f>
        <v>1.56</v>
      </c>
      <c r="L373" s="14">
        <f>VLOOKUP(B373,weights!A:G,6,FALSE)</f>
        <v>7</v>
      </c>
      <c r="M373" s="14">
        <f>VLOOKUP(B373,weights!A:G,7,FALSE)</f>
        <v>10</v>
      </c>
      <c r="N373" t="s">
        <v>5206</v>
      </c>
      <c r="O373">
        <v>349</v>
      </c>
      <c r="P373">
        <v>48.831825649599999</v>
      </c>
      <c r="Q373">
        <v>2.3141223234699999</v>
      </c>
      <c r="R373" s="22"/>
      <c r="S373" s="22"/>
      <c r="T373" s="22"/>
      <c r="U373" s="24">
        <f>R373+S373/60+T373/3600</f>
        <v>0</v>
      </c>
      <c r="V373" s="28">
        <f>ABS(U373-P373)/P373</f>
        <v>1</v>
      </c>
      <c r="W373" s="22"/>
      <c r="X373" s="22"/>
      <c r="Y373" s="22"/>
      <c r="Z373" s="14">
        <f>W373+X373/60+Y373/3600</f>
        <v>0</v>
      </c>
      <c r="AA373" s="26">
        <f>ABS(Z373-Q373)/Q373</f>
        <v>1</v>
      </c>
      <c r="AB373" s="26"/>
      <c r="AC373" s="14">
        <f>P373</f>
        <v>48.831825649599999</v>
      </c>
      <c r="AD373" s="14">
        <f>Q373</f>
        <v>2.3141223234699999</v>
      </c>
    </row>
    <row r="374" spans="1:30" s="14" customFormat="1">
      <c r="A374" s="12">
        <v>28</v>
      </c>
      <c r="B374" s="12" t="s">
        <v>72</v>
      </c>
      <c r="C374" s="14" t="str">
        <f>VLOOKUP(B374,weights!A:B,2,FALSE)</f>
        <v>M</v>
      </c>
      <c r="D374" s="13">
        <v>372</v>
      </c>
      <c r="E374" s="14" t="s">
        <v>513</v>
      </c>
      <c r="G374" s="14" t="s">
        <v>198</v>
      </c>
      <c r="H374" s="18"/>
      <c r="I374" s="18" t="s">
        <v>1768</v>
      </c>
      <c r="J374" s="14">
        <v>373</v>
      </c>
      <c r="K374" s="14">
        <f>VLOOKUP(B374,weights!A:G,5,FALSE)</f>
        <v>1.56</v>
      </c>
      <c r="L374" s="14">
        <f>VLOOKUP(B374,weights!A:G,6,FALSE)</f>
        <v>7</v>
      </c>
      <c r="M374" s="14">
        <f>VLOOKUP(B374,weights!A:G,7,FALSE)</f>
        <v>10</v>
      </c>
      <c r="N374" t="s">
        <v>5355</v>
      </c>
      <c r="O374">
        <v>716</v>
      </c>
      <c r="P374">
        <v>48.8277046117</v>
      </c>
      <c r="Q374">
        <v>2.3053409308099999</v>
      </c>
      <c r="R374" s="22"/>
      <c r="S374" s="22"/>
      <c r="T374" s="22"/>
      <c r="U374" s="24">
        <f>R374+S374/60+T374/3600</f>
        <v>0</v>
      </c>
      <c r="V374" s="28">
        <f>ABS(U374-P374)/P374</f>
        <v>1</v>
      </c>
      <c r="W374" s="22"/>
      <c r="X374" s="22"/>
      <c r="Y374" s="22"/>
      <c r="Z374" s="14">
        <f>W374+X374/60+Y374/3600</f>
        <v>0</v>
      </c>
      <c r="AA374" s="26">
        <f>ABS(Z374-Q374)/Q374</f>
        <v>1</v>
      </c>
      <c r="AB374" s="26"/>
      <c r="AC374" s="14">
        <f>P374</f>
        <v>48.8277046117</v>
      </c>
      <c r="AD374" s="14">
        <f>Q374</f>
        <v>2.3053409308099999</v>
      </c>
    </row>
    <row r="375" spans="1:30" s="14" customFormat="1">
      <c r="A375" s="12">
        <v>29</v>
      </c>
      <c r="B375" s="12" t="s">
        <v>72</v>
      </c>
      <c r="C375" s="14" t="str">
        <f>VLOOKUP(B375,weights!A:B,2,FALSE)</f>
        <v>M</v>
      </c>
      <c r="D375" s="13">
        <v>373</v>
      </c>
      <c r="E375" s="14" t="s">
        <v>514</v>
      </c>
      <c r="H375" s="18"/>
      <c r="I375" s="18"/>
      <c r="J375" s="14">
        <v>374</v>
      </c>
      <c r="K375" s="14">
        <f>VLOOKUP(B375,weights!A:G,5,FALSE)</f>
        <v>1.56</v>
      </c>
      <c r="L375" s="14">
        <f>VLOOKUP(B375,weights!A:G,6,FALSE)</f>
        <v>7</v>
      </c>
      <c r="M375" s="14">
        <f>VLOOKUP(B375,weights!A:G,7,FALSE)</f>
        <v>10</v>
      </c>
      <c r="N375" t="s">
        <v>4751</v>
      </c>
      <c r="O375">
        <v>866</v>
      </c>
      <c r="P375">
        <v>48.822583708700002</v>
      </c>
      <c r="Q375">
        <v>2.2984641946700002</v>
      </c>
      <c r="R375" s="22"/>
      <c r="S375" s="22"/>
      <c r="T375" s="22"/>
      <c r="U375" s="24">
        <f>R375+S375/60+T375/3600</f>
        <v>0</v>
      </c>
      <c r="V375" s="28">
        <f>ABS(U375-P375)/P375</f>
        <v>1</v>
      </c>
      <c r="W375" s="22"/>
      <c r="X375" s="22"/>
      <c r="Y375" s="22"/>
      <c r="Z375" s="14">
        <f>W375+X375/60+Y375/3600</f>
        <v>0</v>
      </c>
      <c r="AA375" s="26">
        <f>ABS(Z375-Q375)/Q375</f>
        <v>1</v>
      </c>
      <c r="AB375" s="26"/>
      <c r="AC375" s="14">
        <f>P375</f>
        <v>48.822583708700002</v>
      </c>
      <c r="AD375" s="14">
        <f>Q375</f>
        <v>2.2984641946700002</v>
      </c>
    </row>
    <row r="376" spans="1:30" s="14" customFormat="1">
      <c r="A376" s="12">
        <v>30</v>
      </c>
      <c r="B376" s="12" t="s">
        <v>72</v>
      </c>
      <c r="C376" s="14" t="str">
        <f>VLOOKUP(B376,weights!A:B,2,FALSE)</f>
        <v>M</v>
      </c>
      <c r="D376" s="13">
        <v>374</v>
      </c>
      <c r="E376" s="14" t="s">
        <v>515</v>
      </c>
      <c r="H376" s="18"/>
      <c r="I376" s="18"/>
      <c r="J376" s="14">
        <v>375</v>
      </c>
      <c r="K376" s="14">
        <f>VLOOKUP(B376,weights!A:G,5,FALSE)</f>
        <v>1.56</v>
      </c>
      <c r="L376" s="14">
        <f>VLOOKUP(B376,weights!A:G,6,FALSE)</f>
        <v>7</v>
      </c>
      <c r="M376" s="14">
        <f>VLOOKUP(B376,weights!A:G,7,FALSE)</f>
        <v>10</v>
      </c>
      <c r="N376" t="s">
        <v>4754</v>
      </c>
      <c r="O376">
        <v>227</v>
      </c>
      <c r="P376">
        <v>48.8153075321</v>
      </c>
      <c r="Q376">
        <v>2.29707779696</v>
      </c>
      <c r="R376" s="22"/>
      <c r="S376" s="22"/>
      <c r="T376" s="22"/>
      <c r="U376" s="24">
        <f>R376+S376/60+T376/3600</f>
        <v>0</v>
      </c>
      <c r="V376" s="28">
        <f>ABS(U376-P376)/P376</f>
        <v>1</v>
      </c>
      <c r="W376" s="22"/>
      <c r="X376" s="22"/>
      <c r="Y376" s="22"/>
      <c r="Z376" s="14">
        <f>W376+X376/60+Y376/3600</f>
        <v>0</v>
      </c>
      <c r="AA376" s="26">
        <f>ABS(Z376-Q376)/Q376</f>
        <v>1</v>
      </c>
      <c r="AB376" s="26"/>
      <c r="AC376" s="14">
        <f>P376</f>
        <v>48.8153075321</v>
      </c>
      <c r="AD376" s="14">
        <f>Q376</f>
        <v>2.29707779696</v>
      </c>
    </row>
    <row r="377" spans="1:30" s="14" customFormat="1">
      <c r="A377" s="12">
        <v>31</v>
      </c>
      <c r="B377" s="12" t="s">
        <v>72</v>
      </c>
      <c r="C377" s="14" t="str">
        <f>VLOOKUP(B377,weights!A:B,2,FALSE)</f>
        <v>M</v>
      </c>
      <c r="D377" s="13">
        <v>375</v>
      </c>
      <c r="E377" s="14" t="s">
        <v>516</v>
      </c>
      <c r="G377" s="14" t="s">
        <v>521</v>
      </c>
      <c r="H377" s="18"/>
      <c r="I377" s="18" t="s">
        <v>1769</v>
      </c>
      <c r="K377" s="14">
        <f>VLOOKUP(B377,weights!A:G,5,FALSE)</f>
        <v>1.56</v>
      </c>
      <c r="L377" s="14">
        <f>VLOOKUP(B377,weights!A:G,6,FALSE)</f>
        <v>7</v>
      </c>
      <c r="M377" s="14">
        <f>VLOOKUP(B377,weights!A:G,7,FALSE)</f>
        <v>10</v>
      </c>
      <c r="N377" t="s">
        <v>3642</v>
      </c>
      <c r="O377">
        <v>483</v>
      </c>
      <c r="P377">
        <v>48.810746487700001</v>
      </c>
      <c r="Q377">
        <v>2.3016785568300002</v>
      </c>
      <c r="R377" s="22"/>
      <c r="S377" s="22"/>
      <c r="T377" s="22"/>
      <c r="U377" s="24">
        <f>R377+S377/60+T377/3600</f>
        <v>0</v>
      </c>
      <c r="V377" s="28">
        <f>ABS(U377-P377)/P377</f>
        <v>1</v>
      </c>
      <c r="W377" s="22"/>
      <c r="X377" s="22"/>
      <c r="Y377" s="22"/>
      <c r="Z377" s="14">
        <f>W377+X377/60+Y377/3600</f>
        <v>0</v>
      </c>
      <c r="AA377" s="26">
        <f>ABS(Z377-Q377)/Q377</f>
        <v>1</v>
      </c>
      <c r="AB377" s="26"/>
      <c r="AC377" s="14">
        <f>P377</f>
        <v>48.810746487700001</v>
      </c>
      <c r="AD377" s="14">
        <f>Q377</f>
        <v>2.3016785568300002</v>
      </c>
    </row>
    <row r="378" spans="1:30" s="14" customFormat="1">
      <c r="A378" s="12">
        <v>0</v>
      </c>
      <c r="B378" s="12" t="s">
        <v>248</v>
      </c>
      <c r="C378" s="14" t="str">
        <f>VLOOKUP(B378,weights!A:B,2,FALSE)</f>
        <v>P</v>
      </c>
      <c r="D378" s="13">
        <v>376</v>
      </c>
      <c r="E378" s="14" t="s">
        <v>123</v>
      </c>
      <c r="F378" s="14" t="s">
        <v>466</v>
      </c>
      <c r="G378" s="15" t="s">
        <v>1481</v>
      </c>
      <c r="H378" s="18" t="s">
        <v>1770</v>
      </c>
      <c r="I378" s="18" t="s">
        <v>1623</v>
      </c>
      <c r="K378" s="14">
        <f>VLOOKUP(B378,weights!A:G,5,FALSE)</f>
        <v>1.67</v>
      </c>
      <c r="L378" s="14">
        <f>VLOOKUP(B378,weights!A:G,6,FALSE)</f>
        <v>7</v>
      </c>
      <c r="M378" s="14">
        <f>VLOOKUP(B378,weights!A:G,7,FALSE)</f>
        <v>10</v>
      </c>
      <c r="N378" t="s">
        <v>5572</v>
      </c>
      <c r="O378">
        <v>818</v>
      </c>
      <c r="P378">
        <v>48.875933152400002</v>
      </c>
      <c r="Q378">
        <v>2.3257279613900002</v>
      </c>
      <c r="R378" s="22">
        <v>48</v>
      </c>
      <c r="S378" s="22">
        <v>52</v>
      </c>
      <c r="T378" s="22">
        <v>32</v>
      </c>
      <c r="U378" s="24">
        <f>R378+S378/60+T378/3600</f>
        <v>48.875555555555557</v>
      </c>
      <c r="V378" s="28">
        <f>ABS(U378-P378)/P378</f>
        <v>7.7256191358433812E-6</v>
      </c>
      <c r="W378" s="22">
        <v>2</v>
      </c>
      <c r="X378" s="22">
        <v>19</v>
      </c>
      <c r="Y378" s="22">
        <v>34</v>
      </c>
      <c r="Z378" s="14">
        <f>W378+X378/60+Y378/3600</f>
        <v>2.326111111111111</v>
      </c>
      <c r="AA378" s="26">
        <f>ABS(Z378-Q378)/Q378</f>
        <v>1.647439973512081E-4</v>
      </c>
      <c r="AB378" s="26"/>
      <c r="AC378" s="24">
        <f>U378</f>
        <v>48.875555555555557</v>
      </c>
      <c r="AD378" s="14">
        <f>Z378</f>
        <v>2.326111111111111</v>
      </c>
    </row>
    <row r="379" spans="1:30" s="14" customFormat="1">
      <c r="A379" s="12">
        <v>1</v>
      </c>
      <c r="B379" s="12" t="s">
        <v>248</v>
      </c>
      <c r="C379" s="14" t="str">
        <f>VLOOKUP(B379,weights!A:B,2,FALSE)</f>
        <v>P</v>
      </c>
      <c r="D379" s="13">
        <v>377</v>
      </c>
      <c r="E379" s="14" t="s">
        <v>353</v>
      </c>
      <c r="F379" s="14" t="s">
        <v>524</v>
      </c>
      <c r="G379" s="15" t="s">
        <v>73</v>
      </c>
      <c r="H379" s="18" t="s">
        <v>1771</v>
      </c>
      <c r="I379" s="18"/>
      <c r="K379" s="14">
        <f>VLOOKUP(B379,weights!A:G,5,FALSE)</f>
        <v>1.67</v>
      </c>
      <c r="L379" s="14">
        <f>VLOOKUP(B379,weights!A:G,6,FALSE)</f>
        <v>7</v>
      </c>
      <c r="M379" s="14">
        <f>VLOOKUP(B379,weights!A:G,7,FALSE)</f>
        <v>10</v>
      </c>
      <c r="N379" t="s">
        <v>4690</v>
      </c>
      <c r="O379">
        <v>66</v>
      </c>
      <c r="P379">
        <v>48.8700997328</v>
      </c>
      <c r="Q379">
        <v>2.3251641095400002</v>
      </c>
      <c r="R379" s="22">
        <v>48</v>
      </c>
      <c r="S379" s="22">
        <v>52</v>
      </c>
      <c r="T379" s="22">
        <v>12</v>
      </c>
      <c r="U379" s="24">
        <f>R379+S379/60+T379/3600</f>
        <v>48.87</v>
      </c>
      <c r="V379" s="28">
        <f>ABS(U379-P379)/P379</f>
        <v>2.0407734084403831E-6</v>
      </c>
      <c r="W379" s="22">
        <v>2</v>
      </c>
      <c r="X379" s="22">
        <v>19</v>
      </c>
      <c r="Y379" s="22">
        <v>31</v>
      </c>
      <c r="Z379" s="14">
        <f>W379+X379/60+Y379/3600</f>
        <v>2.3252777777777776</v>
      </c>
      <c r="AA379" s="26">
        <f>ABS(Z379-Q379)/Q379</f>
        <v>4.8886114021367793E-5</v>
      </c>
      <c r="AB379" s="26"/>
      <c r="AC379" s="24">
        <f>U379</f>
        <v>48.87</v>
      </c>
      <c r="AD379" s="14">
        <f>Z379</f>
        <v>2.3252777777777776</v>
      </c>
    </row>
    <row r="380" spans="1:30" s="14" customFormat="1">
      <c r="A380" s="12">
        <v>2</v>
      </c>
      <c r="B380" s="12" t="s">
        <v>248</v>
      </c>
      <c r="C380" s="14" t="str">
        <f>VLOOKUP(B380,weights!A:B,2,FALSE)</f>
        <v>P</v>
      </c>
      <c r="D380" s="13">
        <v>378</v>
      </c>
      <c r="E380" s="14" t="s">
        <v>277</v>
      </c>
      <c r="F380" s="14" t="s">
        <v>525</v>
      </c>
      <c r="G380" s="15" t="s">
        <v>74</v>
      </c>
      <c r="H380" s="18" t="s">
        <v>1772</v>
      </c>
      <c r="I380" s="18"/>
      <c r="K380" s="14">
        <f>VLOOKUP(B380,weights!A:G,5,FALSE)</f>
        <v>1.67</v>
      </c>
      <c r="L380" s="14">
        <f>VLOOKUP(B380,weights!A:G,6,FALSE)</f>
        <v>7</v>
      </c>
      <c r="M380" s="14">
        <f>VLOOKUP(B380,weights!A:G,7,FALSE)</f>
        <v>10</v>
      </c>
      <c r="N380" t="s">
        <v>5397</v>
      </c>
      <c r="O380">
        <v>247</v>
      </c>
      <c r="P380">
        <v>48.865761102800001</v>
      </c>
      <c r="Q380">
        <v>2.33442748591</v>
      </c>
      <c r="R380" s="22">
        <v>48</v>
      </c>
      <c r="S380" s="22">
        <v>52</v>
      </c>
      <c r="T380" s="22">
        <v>1</v>
      </c>
      <c r="U380" s="24">
        <f>R380+S380/60+T380/3600</f>
        <v>48.866944444444442</v>
      </c>
      <c r="V380" s="28">
        <f>ABS(U380-P380)/P380</f>
        <v>2.4216171358763035E-5</v>
      </c>
      <c r="W380" s="22">
        <v>2</v>
      </c>
      <c r="X380" s="22">
        <v>20</v>
      </c>
      <c r="Y380" s="22">
        <v>1</v>
      </c>
      <c r="Z380" s="14">
        <f>W380+X380/60+Y380/3600</f>
        <v>2.3336111111111113</v>
      </c>
      <c r="AA380" s="26">
        <f>ABS(Z380-Q380)/Q380</f>
        <v>3.4971092647604967E-4</v>
      </c>
      <c r="AB380" s="26"/>
      <c r="AC380" s="24">
        <f>U380</f>
        <v>48.866944444444442</v>
      </c>
      <c r="AD380" s="14">
        <f>Z380</f>
        <v>2.3336111111111113</v>
      </c>
    </row>
    <row r="381" spans="1:30" s="14" customFormat="1">
      <c r="A381" s="12">
        <v>3</v>
      </c>
      <c r="B381" s="12" t="s">
        <v>248</v>
      </c>
      <c r="C381" s="14" t="str">
        <f>VLOOKUP(B381,weights!A:B,2,FALSE)</f>
        <v>P</v>
      </c>
      <c r="D381" s="13">
        <v>379</v>
      </c>
      <c r="E381" s="14" t="s">
        <v>46</v>
      </c>
      <c r="F381" s="14" t="s">
        <v>47</v>
      </c>
      <c r="G381" s="15" t="s">
        <v>748</v>
      </c>
      <c r="H381" s="18" t="s">
        <v>1574</v>
      </c>
      <c r="I381" s="18" t="s">
        <v>1592</v>
      </c>
      <c r="K381" s="14">
        <f>VLOOKUP(B381,weights!A:G,5,FALSE)</f>
        <v>1.67</v>
      </c>
      <c r="L381" s="14">
        <f>VLOOKUP(B381,weights!A:G,6,FALSE)</f>
        <v>7</v>
      </c>
      <c r="M381" s="14">
        <f>VLOOKUP(B381,weights!A:G,7,FALSE)</f>
        <v>10</v>
      </c>
      <c r="N381" t="s">
        <v>3634</v>
      </c>
      <c r="O381">
        <v>222</v>
      </c>
      <c r="P381">
        <v>48.858061862299998</v>
      </c>
      <c r="Q381">
        <v>2.3476251557199999</v>
      </c>
      <c r="R381" s="22">
        <v>48</v>
      </c>
      <c r="S381" s="22">
        <v>51</v>
      </c>
      <c r="T381" s="22">
        <v>31</v>
      </c>
      <c r="U381" s="24">
        <f>R381+S381/60+T381/3600</f>
        <v>48.858611111111109</v>
      </c>
      <c r="V381" s="28">
        <f>ABS(U381-P381)/P381</f>
        <v>1.1241723273010907E-5</v>
      </c>
      <c r="W381" s="22">
        <v>2</v>
      </c>
      <c r="X381" s="22">
        <v>20</v>
      </c>
      <c r="Y381" s="22">
        <v>50</v>
      </c>
      <c r="Z381" s="14">
        <f>W381+X381/60+Y381/3600</f>
        <v>2.3472222222222223</v>
      </c>
      <c r="AA381" s="26">
        <f>ABS(Z381-Q381)/Q381</f>
        <v>1.7163451192188251E-4</v>
      </c>
      <c r="AB381" s="26"/>
      <c r="AC381" s="24">
        <f>U381</f>
        <v>48.858611111111109</v>
      </c>
      <c r="AD381" s="14">
        <f>Z381</f>
        <v>2.3472222222222223</v>
      </c>
    </row>
    <row r="382" spans="1:30" s="14" customFormat="1">
      <c r="A382" s="12">
        <v>4</v>
      </c>
      <c r="B382" s="12" t="s">
        <v>248</v>
      </c>
      <c r="C382" s="14" t="str">
        <f>VLOOKUP(B382,weights!A:B,2,FALSE)</f>
        <v>P</v>
      </c>
      <c r="D382" s="13">
        <v>380</v>
      </c>
      <c r="E382" s="14" t="s">
        <v>53</v>
      </c>
      <c r="F382" s="14" t="s">
        <v>54</v>
      </c>
      <c r="G382" s="15" t="s">
        <v>1451</v>
      </c>
      <c r="H382" s="18" t="s">
        <v>1773</v>
      </c>
      <c r="I382" s="18" t="s">
        <v>1597</v>
      </c>
      <c r="K382" s="14">
        <f>VLOOKUP(B382,weights!A:G,5,FALSE)</f>
        <v>1.67</v>
      </c>
      <c r="L382" s="14">
        <f>VLOOKUP(B382,weights!A:G,6,FALSE)</f>
        <v>7</v>
      </c>
      <c r="M382" s="14">
        <f>VLOOKUP(B382,weights!A:G,7,FALSE)</f>
        <v>10</v>
      </c>
      <c r="N382" t="s">
        <v>4102</v>
      </c>
      <c r="O382">
        <v>638</v>
      </c>
      <c r="P382">
        <v>48.844139349899997</v>
      </c>
      <c r="Q382">
        <v>2.3732599780700001</v>
      </c>
      <c r="R382" s="22">
        <v>48</v>
      </c>
      <c r="S382" s="22">
        <v>50</v>
      </c>
      <c r="T382" s="22">
        <v>41</v>
      </c>
      <c r="U382" s="24">
        <f>R382+S382/60+T382/3600</f>
        <v>48.844722222222224</v>
      </c>
      <c r="V382" s="28">
        <f>ABS(U382-P382)/P382</f>
        <v>1.1933311344705445E-5</v>
      </c>
      <c r="W382" s="22">
        <v>2</v>
      </c>
      <c r="X382" s="22">
        <v>22</v>
      </c>
      <c r="Y382" s="22">
        <v>27</v>
      </c>
      <c r="Z382" s="14">
        <f>W382+X382/60+Y382/3600</f>
        <v>2.3741666666666665</v>
      </c>
      <c r="AA382" s="26">
        <f>ABS(Z382-Q382)/Q382</f>
        <v>3.8204352032421296E-4</v>
      </c>
      <c r="AB382" s="26"/>
      <c r="AC382" s="24">
        <f>U382</f>
        <v>48.844722222222224</v>
      </c>
      <c r="AD382" s="14">
        <f>Z382</f>
        <v>2.3741666666666665</v>
      </c>
    </row>
    <row r="383" spans="1:30" s="14" customFormat="1">
      <c r="A383" s="12">
        <v>5</v>
      </c>
      <c r="B383" s="12" t="s">
        <v>248</v>
      </c>
      <c r="C383" s="14" t="str">
        <f>VLOOKUP(B383,weights!A:B,2,FALSE)</f>
        <v>P</v>
      </c>
      <c r="D383" s="13">
        <v>381</v>
      </c>
      <c r="E383" s="14" t="s">
        <v>238</v>
      </c>
      <c r="F383" s="14" t="s">
        <v>526</v>
      </c>
      <c r="G383" s="15" t="s">
        <v>196</v>
      </c>
      <c r="H383" s="18" t="s">
        <v>1774</v>
      </c>
      <c r="I383" s="18"/>
      <c r="K383" s="14">
        <f>VLOOKUP(B383,weights!A:G,5,FALSE)</f>
        <v>1.67</v>
      </c>
      <c r="L383" s="14">
        <f>VLOOKUP(B383,weights!A:G,6,FALSE)</f>
        <v>7</v>
      </c>
      <c r="M383" s="14">
        <f>VLOOKUP(B383,weights!A:G,7,FALSE)</f>
        <v>10</v>
      </c>
      <c r="N383" t="s">
        <v>3321</v>
      </c>
      <c r="O383">
        <v>146</v>
      </c>
      <c r="P383">
        <v>48.840302093399998</v>
      </c>
      <c r="Q383">
        <v>2.3791217764399999</v>
      </c>
      <c r="R383" s="22">
        <v>48</v>
      </c>
      <c r="S383" s="22">
        <v>50</v>
      </c>
      <c r="T383" s="22">
        <v>26</v>
      </c>
      <c r="U383" s="24">
        <f>R383+S383/60+T383/3600</f>
        <v>48.840555555555561</v>
      </c>
      <c r="V383" s="28">
        <f>ABS(U383-P383)/P383</f>
        <v>5.1896107251309641E-6</v>
      </c>
      <c r="W383" s="22">
        <v>2</v>
      </c>
      <c r="X383" s="22">
        <v>22</v>
      </c>
      <c r="Y383" s="22">
        <v>46</v>
      </c>
      <c r="Z383" s="14">
        <f>W383+X383/60+Y383/3600</f>
        <v>2.3794444444444447</v>
      </c>
      <c r="AA383" s="26">
        <f>ABS(Z383-Q383)/Q383</f>
        <v>1.3562483755145491E-4</v>
      </c>
      <c r="AB383" s="26"/>
      <c r="AC383" s="24">
        <f>U383</f>
        <v>48.840555555555561</v>
      </c>
      <c r="AD383" s="14">
        <f>Z383</f>
        <v>2.3794444444444447</v>
      </c>
    </row>
    <row r="384" spans="1:30" s="14" customFormat="1">
      <c r="A384" s="12">
        <v>6</v>
      </c>
      <c r="B384" s="12" t="s">
        <v>248</v>
      </c>
      <c r="C384" s="14" t="str">
        <f>VLOOKUP(B384,weights!A:B,2,FALSE)</f>
        <v>P</v>
      </c>
      <c r="D384" s="13">
        <v>382</v>
      </c>
      <c r="E384" s="14" t="s">
        <v>769</v>
      </c>
      <c r="F384" s="14" t="s">
        <v>527</v>
      </c>
      <c r="G384" s="15"/>
      <c r="H384" s="18"/>
      <c r="I384" s="18"/>
      <c r="K384" s="14">
        <f>VLOOKUP(B384,weights!A:G,5,FALSE)</f>
        <v>1.67</v>
      </c>
      <c r="L384" s="14">
        <f>VLOOKUP(B384,weights!A:G,6,FALSE)</f>
        <v>7</v>
      </c>
      <c r="M384" s="14">
        <f>VLOOKUP(B384,weights!A:G,7,FALSE)</f>
        <v>10</v>
      </c>
      <c r="N384" t="s">
        <v>3778</v>
      </c>
      <c r="O384">
        <v>226</v>
      </c>
      <c r="P384">
        <v>48.833338559300003</v>
      </c>
      <c r="Q384">
        <v>2.38663240207</v>
      </c>
      <c r="R384" s="22">
        <v>48</v>
      </c>
      <c r="S384" s="22">
        <v>50</v>
      </c>
      <c r="T384" s="22">
        <v>1</v>
      </c>
      <c r="U384" s="24">
        <f>R384+S384/60+T384/3600</f>
        <v>48.833611111111111</v>
      </c>
      <c r="V384" s="28">
        <f>ABS(U384-P384)/P384</f>
        <v>5.5812651591858142E-6</v>
      </c>
      <c r="W384" s="22">
        <v>2</v>
      </c>
      <c r="X384" s="22">
        <v>23</v>
      </c>
      <c r="Y384" s="22">
        <v>15</v>
      </c>
      <c r="Z384" s="14">
        <f>W384+X384/60+Y384/3600</f>
        <v>2.3875000000000002</v>
      </c>
      <c r="AA384" s="26">
        <f>ABS(Z384-Q384)/Q384</f>
        <v>3.635239047486474E-4</v>
      </c>
      <c r="AB384" s="26"/>
      <c r="AC384" s="24">
        <f>U384</f>
        <v>48.833611111111111</v>
      </c>
      <c r="AD384" s="14">
        <f>Z384</f>
        <v>2.3875000000000002</v>
      </c>
    </row>
    <row r="385" spans="1:30" s="14" customFormat="1">
      <c r="A385" s="12">
        <v>7</v>
      </c>
      <c r="B385" s="12" t="s">
        <v>248</v>
      </c>
      <c r="C385" s="14" t="str">
        <f>VLOOKUP(B385,weights!A:B,2,FALSE)</f>
        <v>P</v>
      </c>
      <c r="D385" s="13">
        <v>383</v>
      </c>
      <c r="E385" s="14" t="s">
        <v>606</v>
      </c>
      <c r="F385" s="14" t="s">
        <v>528</v>
      </c>
      <c r="G385" s="15" t="s">
        <v>530</v>
      </c>
      <c r="H385" s="18"/>
      <c r="I385" s="18" t="s">
        <v>1775</v>
      </c>
      <c r="K385" s="14">
        <f>VLOOKUP(B385,weights!A:G,5,FALSE)</f>
        <v>1.67</v>
      </c>
      <c r="L385" s="14">
        <f>VLOOKUP(B385,weights!A:G,6,FALSE)</f>
        <v>7</v>
      </c>
      <c r="M385" s="14">
        <f>VLOOKUP(B385,weights!A:G,7,FALSE)</f>
        <v>10</v>
      </c>
      <c r="N385" t="s">
        <v>3331</v>
      </c>
      <c r="O385">
        <v>718</v>
      </c>
      <c r="P385">
        <v>48.830258457299998</v>
      </c>
      <c r="Q385">
        <v>2.3763107213899999</v>
      </c>
      <c r="R385" s="22">
        <v>48</v>
      </c>
      <c r="S385" s="22">
        <v>49</v>
      </c>
      <c r="T385" s="22">
        <v>47</v>
      </c>
      <c r="U385" s="24">
        <f>R385+S385/60+T385/3600</f>
        <v>48.829722222222223</v>
      </c>
      <c r="V385" s="28">
        <f>ABS(U385-P385)/P385</f>
        <v>1.0981614570878517E-5</v>
      </c>
      <c r="W385" s="22">
        <v>2</v>
      </c>
      <c r="X385" s="22">
        <v>22</v>
      </c>
      <c r="Y385" s="22">
        <v>34</v>
      </c>
      <c r="Z385" s="14">
        <f>W385+X385/60+Y385/3600</f>
        <v>2.3761111111111113</v>
      </c>
      <c r="AA385" s="26">
        <f>ABS(Z385-Q385)/Q385</f>
        <v>8.400007502883946E-5</v>
      </c>
      <c r="AB385" s="26"/>
      <c r="AC385" s="24">
        <f>U385</f>
        <v>48.829722222222223</v>
      </c>
      <c r="AD385" s="14">
        <f>Z385</f>
        <v>2.3761111111111113</v>
      </c>
    </row>
    <row r="386" spans="1:30" s="14" customFormat="1">
      <c r="A386" s="12">
        <v>8</v>
      </c>
      <c r="B386" s="12" t="s">
        <v>248</v>
      </c>
      <c r="C386" s="14" t="str">
        <f>VLOOKUP(B386,weights!A:B,2,FALSE)</f>
        <v>P</v>
      </c>
      <c r="D386" s="13">
        <v>384</v>
      </c>
      <c r="E386" s="14" t="s">
        <v>770</v>
      </c>
      <c r="F386" s="14" t="s">
        <v>529</v>
      </c>
      <c r="G386" s="15"/>
      <c r="H386" s="18"/>
      <c r="I386" s="18"/>
      <c r="K386" s="14">
        <f>VLOOKUP(B386,weights!A:G,5,FALSE)</f>
        <v>1.67</v>
      </c>
      <c r="L386" s="14">
        <f>VLOOKUP(B386,weights!A:G,6,FALSE)</f>
        <v>7</v>
      </c>
      <c r="M386" s="14">
        <f>VLOOKUP(B386,weights!A:G,7,FALSE)</f>
        <v>10</v>
      </c>
      <c r="N386" t="s">
        <v>5041</v>
      </c>
      <c r="O386">
        <v>513</v>
      </c>
      <c r="P386">
        <v>48.827270835999997</v>
      </c>
      <c r="Q386">
        <v>2.3680326477600002</v>
      </c>
      <c r="R386" s="22">
        <v>48</v>
      </c>
      <c r="S386" s="22">
        <v>49</v>
      </c>
      <c r="T386" s="22">
        <v>37</v>
      </c>
      <c r="U386" s="24">
        <f>R386+S386/60+T386/3600</f>
        <v>48.82694444444445</v>
      </c>
      <c r="V386" s="28">
        <f>ABS(U386-P386)/P386</f>
        <v>6.6846159934426029E-6</v>
      </c>
      <c r="W386" s="22">
        <v>2</v>
      </c>
      <c r="X386" s="22">
        <v>22</v>
      </c>
      <c r="Y386" s="22">
        <v>2</v>
      </c>
      <c r="Z386" s="14">
        <f>W386+X386/60+Y386/3600</f>
        <v>2.3672222222222223</v>
      </c>
      <c r="AA386" s="26">
        <f>ABS(Z386-Q386)/Q386</f>
        <v>3.422357958385791E-4</v>
      </c>
      <c r="AB386" s="26"/>
      <c r="AC386" s="24">
        <f>U386</f>
        <v>48.82694444444445</v>
      </c>
      <c r="AD386" s="14">
        <f>Z386</f>
        <v>2.3672222222222223</v>
      </c>
    </row>
    <row r="387" spans="1:30" s="14" customFormat="1">
      <c r="A387" s="12">
        <v>0</v>
      </c>
      <c r="B387" s="12" t="s">
        <v>557</v>
      </c>
      <c r="C387" s="14" t="str">
        <f>VLOOKUP(B387,weights!A:B,2,FALSE)</f>
        <v>M</v>
      </c>
      <c r="D387" s="13">
        <v>385</v>
      </c>
      <c r="E387" s="14" t="s">
        <v>1092</v>
      </c>
      <c r="G387" s="14" t="s">
        <v>545</v>
      </c>
      <c r="H387" s="18"/>
      <c r="I387" s="18" t="s">
        <v>1776</v>
      </c>
      <c r="J387" s="14">
        <v>386</v>
      </c>
      <c r="K387" s="14">
        <f>VLOOKUP(B387,weights!A:G,5,FALSE)</f>
        <v>2.9</v>
      </c>
      <c r="L387" s="14">
        <f>VLOOKUP(B387,weights!A:G,6,FALSE)</f>
        <v>7</v>
      </c>
      <c r="M387" s="14">
        <f>VLOOKUP(B387,weights!A:G,7,FALSE)</f>
        <v>10</v>
      </c>
      <c r="N387" t="s">
        <v>3525</v>
      </c>
      <c r="O387">
        <v>582</v>
      </c>
      <c r="P387">
        <v>49.047876203400001</v>
      </c>
      <c r="Q387">
        <v>2.0109997599999998</v>
      </c>
      <c r="R387" s="22"/>
      <c r="S387" s="22"/>
      <c r="T387" s="22"/>
      <c r="U387" s="24">
        <f>R387+S387/60+T387/3600</f>
        <v>0</v>
      </c>
      <c r="V387" s="28">
        <f>ABS(U387-P387)/P387</f>
        <v>1</v>
      </c>
      <c r="W387" s="22"/>
      <c r="X387" s="22"/>
      <c r="Y387" s="22"/>
      <c r="Z387" s="14">
        <f>W387+X387/60+Y387/3600</f>
        <v>0</v>
      </c>
      <c r="AA387" s="26">
        <f>ABS(Z387-Q387)/Q387</f>
        <v>1</v>
      </c>
      <c r="AB387" s="26"/>
      <c r="AC387" s="14">
        <f>P387</f>
        <v>49.047876203400001</v>
      </c>
      <c r="AD387" s="14">
        <f>Q387</f>
        <v>2.0109997599999998</v>
      </c>
    </row>
    <row r="388" spans="1:30" s="14" customFormat="1">
      <c r="A388" s="12">
        <v>1</v>
      </c>
      <c r="B388" s="12" t="s">
        <v>557</v>
      </c>
      <c r="C388" s="14" t="str">
        <f>VLOOKUP(B388,weights!A:B,2,FALSE)</f>
        <v>M</v>
      </c>
      <c r="D388" s="13">
        <v>386</v>
      </c>
      <c r="E388" s="14" t="s">
        <v>1093</v>
      </c>
      <c r="G388" s="14" t="s">
        <v>545</v>
      </c>
      <c r="H388" s="18"/>
      <c r="I388" s="18" t="s">
        <v>1777</v>
      </c>
      <c r="J388" s="14">
        <v>387</v>
      </c>
      <c r="K388" s="14">
        <f>VLOOKUP(B388,weights!A:G,5,FALSE)</f>
        <v>2.9</v>
      </c>
      <c r="L388" s="14">
        <f>VLOOKUP(B388,weights!A:G,6,FALSE)</f>
        <v>7</v>
      </c>
      <c r="M388" s="14">
        <f>VLOOKUP(B388,weights!A:G,7,FALSE)</f>
        <v>10</v>
      </c>
      <c r="N388" t="s">
        <v>3531</v>
      </c>
      <c r="O388">
        <v>722</v>
      </c>
      <c r="P388">
        <v>49.049647005300002</v>
      </c>
      <c r="Q388">
        <v>2.0342944632200002</v>
      </c>
      <c r="R388" s="22"/>
      <c r="S388" s="22"/>
      <c r="T388" s="22"/>
      <c r="U388" s="24">
        <f>R388+S388/60+T388/3600</f>
        <v>0</v>
      </c>
      <c r="V388" s="28">
        <f>ABS(U388-P388)/P388</f>
        <v>1</v>
      </c>
      <c r="W388" s="22"/>
      <c r="X388" s="22"/>
      <c r="Y388" s="22"/>
      <c r="Z388" s="14">
        <f>W388+X388/60+Y388/3600</f>
        <v>0</v>
      </c>
      <c r="AA388" s="26">
        <f>ABS(Z388-Q388)/Q388</f>
        <v>1</v>
      </c>
      <c r="AB388" s="26"/>
      <c r="AC388" s="14">
        <f>P388</f>
        <v>49.049647005300002</v>
      </c>
      <c r="AD388" s="14">
        <f>Q388</f>
        <v>2.0342944632200002</v>
      </c>
    </row>
    <row r="389" spans="1:30" s="14" customFormat="1">
      <c r="A389" s="12">
        <v>2</v>
      </c>
      <c r="B389" s="12" t="s">
        <v>557</v>
      </c>
      <c r="C389" s="14" t="str">
        <f>VLOOKUP(B389,weights!A:B,2,FALSE)</f>
        <v>M</v>
      </c>
      <c r="D389" s="13">
        <v>387</v>
      </c>
      <c r="E389" s="14" t="s">
        <v>1094</v>
      </c>
      <c r="G389" s="14" t="s">
        <v>545</v>
      </c>
      <c r="H389" s="18"/>
      <c r="I389" s="18" t="s">
        <v>1778</v>
      </c>
      <c r="J389" s="14">
        <v>388</v>
      </c>
      <c r="K389" s="14">
        <f>VLOOKUP(B389,weights!A:G,5,FALSE)</f>
        <v>2.9</v>
      </c>
      <c r="L389" s="14">
        <f>VLOOKUP(B389,weights!A:G,6,FALSE)</f>
        <v>7</v>
      </c>
      <c r="M389" s="14">
        <f>VLOOKUP(B389,weights!A:G,7,FALSE)</f>
        <v>10</v>
      </c>
      <c r="N389" t="s">
        <v>3528</v>
      </c>
      <c r="O389">
        <v>489</v>
      </c>
      <c r="P389">
        <v>49.036463979799997</v>
      </c>
      <c r="Q389">
        <v>2.0795349413799999</v>
      </c>
      <c r="R389" s="22"/>
      <c r="S389" s="22"/>
      <c r="T389" s="22"/>
      <c r="U389" s="24">
        <f>R389+S389/60+T389/3600</f>
        <v>0</v>
      </c>
      <c r="V389" s="28">
        <f>ABS(U389-P389)/P389</f>
        <v>1</v>
      </c>
      <c r="W389" s="22"/>
      <c r="X389" s="22"/>
      <c r="Y389" s="22"/>
      <c r="Z389" s="14">
        <f>W389+X389/60+Y389/3600</f>
        <v>0</v>
      </c>
      <c r="AA389" s="26">
        <f>ABS(Z389-Q389)/Q389</f>
        <v>1</v>
      </c>
      <c r="AB389" s="26"/>
      <c r="AC389" s="14">
        <f>P389</f>
        <v>49.036463979799997</v>
      </c>
      <c r="AD389" s="14">
        <f>Q389</f>
        <v>2.0795349413799999</v>
      </c>
    </row>
    <row r="390" spans="1:30" s="14" customFormat="1">
      <c r="A390" s="12">
        <v>3</v>
      </c>
      <c r="B390" s="12" t="s">
        <v>557</v>
      </c>
      <c r="C390" s="14" t="str">
        <f>VLOOKUP(B390,weights!A:B,2,FALSE)</f>
        <v>M</v>
      </c>
      <c r="D390" s="13">
        <v>388</v>
      </c>
      <c r="E390" s="14" t="s">
        <v>1095</v>
      </c>
      <c r="G390" s="14" t="s">
        <v>545</v>
      </c>
      <c r="H390" s="18"/>
      <c r="I390" s="18" t="s">
        <v>1779</v>
      </c>
      <c r="J390" s="14">
        <v>389</v>
      </c>
      <c r="K390" s="14">
        <f>VLOOKUP(B390,weights!A:G,5,FALSE)</f>
        <v>2.9</v>
      </c>
      <c r="L390" s="14">
        <f>VLOOKUP(B390,weights!A:G,6,FALSE)</f>
        <v>7</v>
      </c>
      <c r="M390" s="14">
        <f>VLOOKUP(B390,weights!A:G,7,FALSE)</f>
        <v>10</v>
      </c>
      <c r="N390" t="s">
        <v>4993</v>
      </c>
      <c r="O390">
        <v>581</v>
      </c>
      <c r="P390">
        <v>49.014133689499999</v>
      </c>
      <c r="Q390">
        <v>2.0783065913300001</v>
      </c>
      <c r="R390" s="22"/>
      <c r="S390" s="22"/>
      <c r="T390" s="22"/>
      <c r="U390" s="24">
        <f>R390+S390/60+T390/3600</f>
        <v>0</v>
      </c>
      <c r="V390" s="28">
        <f>ABS(U390-P390)/P390</f>
        <v>1</v>
      </c>
      <c r="W390" s="22"/>
      <c r="X390" s="22"/>
      <c r="Y390" s="22"/>
      <c r="Z390" s="14">
        <f>W390+X390/60+Y390/3600</f>
        <v>0</v>
      </c>
      <c r="AA390" s="26">
        <f>ABS(Z390-Q390)/Q390</f>
        <v>1</v>
      </c>
      <c r="AB390" s="26"/>
      <c r="AC390" s="14">
        <f>P390</f>
        <v>49.014133689499999</v>
      </c>
      <c r="AD390" s="14">
        <f>Q390</f>
        <v>2.0783065913300001</v>
      </c>
    </row>
    <row r="391" spans="1:30" s="14" customFormat="1">
      <c r="A391" s="12">
        <v>4</v>
      </c>
      <c r="B391" s="12" t="s">
        <v>557</v>
      </c>
      <c r="C391" s="14" t="str">
        <f>VLOOKUP(B391,weights!A:B,2,FALSE)</f>
        <v>M</v>
      </c>
      <c r="D391" s="13">
        <v>389</v>
      </c>
      <c r="E391" s="14" t="s">
        <v>1048</v>
      </c>
      <c r="G391" s="14" t="s">
        <v>546</v>
      </c>
      <c r="H391" s="18"/>
      <c r="I391" s="18" t="s">
        <v>1781</v>
      </c>
      <c r="J391" s="14">
        <v>390</v>
      </c>
      <c r="K391" s="14">
        <f>VLOOKUP(B391,weights!A:G,5,FALSE)</f>
        <v>2.9</v>
      </c>
      <c r="L391" s="14">
        <f>VLOOKUP(B391,weights!A:G,6,FALSE)</f>
        <v>7</v>
      </c>
      <c r="M391" s="14">
        <f>VLOOKUP(B391,weights!A:G,7,FALSE)</f>
        <v>10</v>
      </c>
      <c r="N391" t="s">
        <v>3744</v>
      </c>
      <c r="O391">
        <v>486</v>
      </c>
      <c r="P391">
        <v>48.991898372400001</v>
      </c>
      <c r="Q391">
        <v>2.0736206204699998</v>
      </c>
      <c r="R391" s="22"/>
      <c r="S391" s="22"/>
      <c r="T391" s="22"/>
      <c r="U391" s="24">
        <f>R391+S391/60+T391/3600</f>
        <v>0</v>
      </c>
      <c r="V391" s="28">
        <f>ABS(U391-P391)/P391</f>
        <v>1</v>
      </c>
      <c r="W391" s="22"/>
      <c r="X391" s="22"/>
      <c r="Y391" s="22"/>
      <c r="Z391" s="14">
        <f>W391+X391/60+Y391/3600</f>
        <v>0</v>
      </c>
      <c r="AA391" s="26">
        <f>ABS(Z391-Q391)/Q391</f>
        <v>1</v>
      </c>
      <c r="AB391" s="26"/>
      <c r="AC391" s="14">
        <f>P391</f>
        <v>48.991898372400001</v>
      </c>
      <c r="AD391" s="14">
        <f>Q391</f>
        <v>2.0736206204699998</v>
      </c>
    </row>
    <row r="392" spans="1:30" s="14" customFormat="1">
      <c r="A392" s="12">
        <v>5</v>
      </c>
      <c r="B392" s="12" t="s">
        <v>557</v>
      </c>
      <c r="C392" s="14" t="str">
        <f>VLOOKUP(B392,weights!A:B,2,FALSE)</f>
        <v>M</v>
      </c>
      <c r="D392" s="13">
        <v>390</v>
      </c>
      <c r="E392" s="14" t="s">
        <v>1096</v>
      </c>
      <c r="G392" s="14" t="s">
        <v>545</v>
      </c>
      <c r="H392" s="18"/>
      <c r="I392" s="18" t="s">
        <v>1782</v>
      </c>
      <c r="J392" s="14">
        <v>394</v>
      </c>
      <c r="K392" s="14">
        <f>VLOOKUP(B392,weights!A:G,5,FALSE)</f>
        <v>2.9</v>
      </c>
      <c r="L392" s="14">
        <f>VLOOKUP(B392,weights!A:G,6,FALSE)</f>
        <v>7</v>
      </c>
      <c r="M392" s="14">
        <f>VLOOKUP(B392,weights!A:G,7,FALSE)</f>
        <v>10</v>
      </c>
      <c r="N392" t="s">
        <v>3128</v>
      </c>
      <c r="O392">
        <v>579</v>
      </c>
      <c r="P392">
        <v>48.970665046500002</v>
      </c>
      <c r="Q392">
        <v>2.0777317659599999</v>
      </c>
      <c r="R392" s="22"/>
      <c r="S392" s="22"/>
      <c r="T392" s="22"/>
      <c r="U392" s="24">
        <f>R392+S392/60+T392/3600</f>
        <v>0</v>
      </c>
      <c r="V392" s="28">
        <f>ABS(U392-P392)/P392</f>
        <v>1</v>
      </c>
      <c r="W392" s="22"/>
      <c r="X392" s="22"/>
      <c r="Y392" s="22"/>
      <c r="Z392" s="14">
        <f>W392+X392/60+Y392/3600</f>
        <v>0</v>
      </c>
      <c r="AA392" s="26">
        <f>ABS(Z392-Q392)/Q392</f>
        <v>1</v>
      </c>
      <c r="AB392" s="26"/>
      <c r="AC392" s="14">
        <f>P392</f>
        <v>48.970665046500002</v>
      </c>
      <c r="AD392" s="14">
        <f>Q392</f>
        <v>2.0777317659599999</v>
      </c>
    </row>
    <row r="393" spans="1:30" s="14" customFormat="1">
      <c r="A393" s="12">
        <v>6</v>
      </c>
      <c r="B393" s="12" t="s">
        <v>557</v>
      </c>
      <c r="C393" s="14" t="str">
        <f>VLOOKUP(B393,weights!A:B,2,FALSE)</f>
        <v>M</v>
      </c>
      <c r="D393" s="13">
        <v>391</v>
      </c>
      <c r="E393" s="14" t="s">
        <v>531</v>
      </c>
      <c r="G393" s="14" t="s">
        <v>547</v>
      </c>
      <c r="H393" s="18"/>
      <c r="I393" s="18" t="s">
        <v>1783</v>
      </c>
      <c r="J393" s="14">
        <v>392</v>
      </c>
      <c r="K393" s="14">
        <f>VLOOKUP(B393,weights!A:G,5,FALSE)</f>
        <v>2.9</v>
      </c>
      <c r="L393" s="14">
        <f>VLOOKUP(B393,weights!A:G,6,FALSE)</f>
        <v>7</v>
      </c>
      <c r="M393" s="14">
        <f>VLOOKUP(B393,weights!A:G,7,FALSE)</f>
        <v>10</v>
      </c>
      <c r="N393" t="s">
        <v>5218</v>
      </c>
      <c r="O393">
        <v>578</v>
      </c>
      <c r="P393">
        <v>48.933265406099999</v>
      </c>
      <c r="Q393">
        <v>2.0410722896800002</v>
      </c>
      <c r="R393" s="22"/>
      <c r="S393" s="22"/>
      <c r="T393" s="22"/>
      <c r="U393" s="24">
        <f>R393+S393/60+T393/3600</f>
        <v>0</v>
      </c>
      <c r="V393" s="28">
        <f>ABS(U393-P393)/P393</f>
        <v>1</v>
      </c>
      <c r="W393" s="22"/>
      <c r="X393" s="22"/>
      <c r="Y393" s="22"/>
      <c r="Z393" s="14">
        <f>W393+X393/60+Y393/3600</f>
        <v>0</v>
      </c>
      <c r="AA393" s="26">
        <f>ABS(Z393-Q393)/Q393</f>
        <v>1</v>
      </c>
      <c r="AB393" s="26"/>
      <c r="AC393" s="14">
        <f>P393</f>
        <v>48.933265406099999</v>
      </c>
      <c r="AD393" s="14">
        <f>Q393</f>
        <v>2.0410722896800002</v>
      </c>
    </row>
    <row r="394" spans="1:30" s="14" customFormat="1">
      <c r="A394" s="12">
        <v>7</v>
      </c>
      <c r="B394" s="12" t="s">
        <v>557</v>
      </c>
      <c r="C394" s="14" t="str">
        <f>VLOOKUP(B394,weights!A:B,2,FALSE)</f>
        <v>M</v>
      </c>
      <c r="D394" s="13">
        <v>392</v>
      </c>
      <c r="E394" s="14" t="s">
        <v>532</v>
      </c>
      <c r="G394" s="14" t="s">
        <v>1437</v>
      </c>
      <c r="H394" s="18"/>
      <c r="I394" s="18" t="s">
        <v>1782</v>
      </c>
      <c r="J394" s="14">
        <v>394</v>
      </c>
      <c r="K394" s="14">
        <f>VLOOKUP(B394,weights!A:G,5,FALSE)</f>
        <v>2.9</v>
      </c>
      <c r="L394" s="14">
        <f>VLOOKUP(B394,weights!A:G,6,FALSE)</f>
        <v>7</v>
      </c>
      <c r="M394" s="14">
        <f>VLOOKUP(B394,weights!A:G,7,FALSE)</f>
        <v>10</v>
      </c>
      <c r="N394" t="s">
        <v>3125</v>
      </c>
      <c r="O394">
        <v>280</v>
      </c>
      <c r="P394">
        <v>48.9554022445</v>
      </c>
      <c r="Q394">
        <v>2.0935219029500001</v>
      </c>
      <c r="R394" s="22"/>
      <c r="S394" s="22"/>
      <c r="T394" s="22"/>
      <c r="U394" s="24">
        <f>R394+S394/60+T394/3600</f>
        <v>0</v>
      </c>
      <c r="V394" s="28">
        <f>ABS(U394-P394)/P394</f>
        <v>1</v>
      </c>
      <c r="W394" s="22"/>
      <c r="X394" s="22"/>
      <c r="Y394" s="22"/>
      <c r="Z394" s="14">
        <f>W394+X394/60+Y394/3600</f>
        <v>0</v>
      </c>
      <c r="AA394" s="26">
        <f>ABS(Z394-Q394)/Q394</f>
        <v>1</v>
      </c>
      <c r="AB394" s="26"/>
      <c r="AC394" s="14">
        <f>P394</f>
        <v>48.9554022445</v>
      </c>
      <c r="AD394" s="14">
        <f>Q394</f>
        <v>2.0935219029500001</v>
      </c>
    </row>
    <row r="395" spans="1:30" s="14" customFormat="1">
      <c r="A395" s="12">
        <v>8</v>
      </c>
      <c r="B395" s="12" t="s">
        <v>557</v>
      </c>
      <c r="C395" s="14" t="str">
        <f>VLOOKUP(B395,weights!A:B,2,FALSE)</f>
        <v>M</v>
      </c>
      <c r="D395" s="13">
        <v>393</v>
      </c>
      <c r="E395" s="14" t="s">
        <v>1097</v>
      </c>
      <c r="G395" s="14" t="s">
        <v>545</v>
      </c>
      <c r="H395" s="18"/>
      <c r="I395" s="18" t="s">
        <v>1784</v>
      </c>
      <c r="J395" s="14">
        <v>395</v>
      </c>
      <c r="K395" s="14">
        <f>VLOOKUP(B395,weights!A:G,5,FALSE)</f>
        <v>2.9</v>
      </c>
      <c r="L395" s="14">
        <f>VLOOKUP(B395,weights!A:G,6,FALSE)</f>
        <v>7</v>
      </c>
      <c r="M395" s="14">
        <f>VLOOKUP(B395,weights!A:G,7,FALSE)</f>
        <v>10</v>
      </c>
      <c r="N395" t="s">
        <v>4745</v>
      </c>
      <c r="O395">
        <v>577</v>
      </c>
      <c r="P395">
        <v>48.945795934499998</v>
      </c>
      <c r="Q395">
        <v>2.1445587568</v>
      </c>
      <c r="R395" s="22"/>
      <c r="S395" s="22"/>
      <c r="T395" s="22"/>
      <c r="U395" s="24">
        <f>R395+S395/60+T395/3600</f>
        <v>0</v>
      </c>
      <c r="V395" s="28">
        <f>ABS(U395-P395)/P395</f>
        <v>1</v>
      </c>
      <c r="W395" s="22"/>
      <c r="X395" s="22"/>
      <c r="Y395" s="22"/>
      <c r="Z395" s="14">
        <f>W395+X395/60+Y395/3600</f>
        <v>0</v>
      </c>
      <c r="AA395" s="26">
        <f>ABS(Z395-Q395)/Q395</f>
        <v>1</v>
      </c>
      <c r="AB395" s="26"/>
      <c r="AC395" s="14">
        <f>P395</f>
        <v>48.945795934499998</v>
      </c>
      <c r="AD395" s="14">
        <f>Q395</f>
        <v>2.1445587568</v>
      </c>
    </row>
    <row r="396" spans="1:30" s="14" customFormat="1">
      <c r="A396" s="12">
        <v>9</v>
      </c>
      <c r="B396" s="12" t="s">
        <v>557</v>
      </c>
      <c r="C396" s="14" t="str">
        <f>VLOOKUP(B396,weights!A:B,2,FALSE)</f>
        <v>M</v>
      </c>
      <c r="D396" s="13">
        <v>394</v>
      </c>
      <c r="E396" s="14" t="s">
        <v>1098</v>
      </c>
      <c r="G396" s="14" t="s">
        <v>545</v>
      </c>
      <c r="H396" s="18"/>
      <c r="I396" s="18" t="s">
        <v>1785</v>
      </c>
      <c r="J396" s="14">
        <v>393</v>
      </c>
      <c r="K396" s="14">
        <f>VLOOKUP(B396,weights!A:G,5,FALSE)</f>
        <v>2.9</v>
      </c>
      <c r="L396" s="14">
        <f>VLOOKUP(B396,weights!A:G,6,FALSE)</f>
        <v>7</v>
      </c>
      <c r="M396" s="14">
        <f>VLOOKUP(B396,weights!A:G,7,FALSE)</f>
        <v>10</v>
      </c>
      <c r="N396" t="s">
        <v>5661</v>
      </c>
      <c r="O396">
        <v>576</v>
      </c>
      <c r="P396">
        <v>48.937736063400003</v>
      </c>
      <c r="Q396">
        <v>2.1570864951000002</v>
      </c>
      <c r="R396" s="22"/>
      <c r="S396" s="22"/>
      <c r="T396" s="22"/>
      <c r="U396" s="24">
        <f>R396+S396/60+T396/3600</f>
        <v>0</v>
      </c>
      <c r="V396" s="28">
        <f>ABS(U396-P396)/P396</f>
        <v>1</v>
      </c>
      <c r="W396" s="22"/>
      <c r="X396" s="22"/>
      <c r="Y396" s="22"/>
      <c r="Z396" s="14">
        <f>W396+X396/60+Y396/3600</f>
        <v>0</v>
      </c>
      <c r="AA396" s="26">
        <f>ABS(Z396-Q396)/Q396</f>
        <v>1</v>
      </c>
      <c r="AB396" s="26"/>
      <c r="AC396" s="14">
        <f>P396</f>
        <v>48.937736063400003</v>
      </c>
      <c r="AD396" s="14">
        <f>Q396</f>
        <v>2.1570864951000002</v>
      </c>
    </row>
    <row r="397" spans="1:30" s="14" customFormat="1">
      <c r="A397" s="12">
        <v>10</v>
      </c>
      <c r="B397" s="12" t="s">
        <v>557</v>
      </c>
      <c r="C397" s="14" t="str">
        <f>VLOOKUP(B397,weights!A:B,2,FALSE)</f>
        <v>M</v>
      </c>
      <c r="D397" s="13">
        <v>395</v>
      </c>
      <c r="E397" s="14" t="s">
        <v>533</v>
      </c>
      <c r="G397" s="14" t="s">
        <v>546</v>
      </c>
      <c r="H397" s="18"/>
      <c r="I397" s="18" t="s">
        <v>1787</v>
      </c>
      <c r="J397" s="14">
        <v>403</v>
      </c>
      <c r="K397" s="14">
        <f>VLOOKUP(B397,weights!A:G,5,FALSE)</f>
        <v>2.9</v>
      </c>
      <c r="L397" s="14">
        <f>VLOOKUP(B397,weights!A:G,6,FALSE)</f>
        <v>7</v>
      </c>
      <c r="M397" s="14">
        <f>VLOOKUP(B397,weights!A:G,7,FALSE)</f>
        <v>10</v>
      </c>
      <c r="N397" t="s">
        <v>4252</v>
      </c>
      <c r="O397">
        <v>720</v>
      </c>
      <c r="P397">
        <v>48.9203793748</v>
      </c>
      <c r="Q397">
        <v>2.1853533762900001</v>
      </c>
      <c r="R397" s="22"/>
      <c r="S397" s="22"/>
      <c r="T397" s="22"/>
      <c r="U397" s="24">
        <f>R397+S397/60+T397/3600</f>
        <v>0</v>
      </c>
      <c r="V397" s="28">
        <f>ABS(U397-P397)/P397</f>
        <v>1</v>
      </c>
      <c r="W397" s="22"/>
      <c r="X397" s="22"/>
      <c r="Y397" s="22"/>
      <c r="Z397" s="14">
        <f>W397+X397/60+Y397/3600</f>
        <v>0</v>
      </c>
      <c r="AA397" s="26">
        <f>ABS(Z397-Q397)/Q397</f>
        <v>1</v>
      </c>
      <c r="AB397" s="26"/>
      <c r="AC397" s="14">
        <f>P397</f>
        <v>48.9203793748</v>
      </c>
      <c r="AD397" s="14">
        <f>Q397</f>
        <v>2.1853533762900001</v>
      </c>
    </row>
    <row r="398" spans="1:30" s="14" customFormat="1">
      <c r="A398" s="12">
        <v>11</v>
      </c>
      <c r="B398" s="12" t="s">
        <v>557</v>
      </c>
      <c r="C398" s="14" t="str">
        <f>VLOOKUP(B398,weights!A:B,2,FALSE)</f>
        <v>M</v>
      </c>
      <c r="D398" s="13">
        <v>396</v>
      </c>
      <c r="E398" s="14" t="s">
        <v>1130</v>
      </c>
      <c r="H398" s="18"/>
      <c r="I398" s="18"/>
      <c r="J398" s="14">
        <v>397</v>
      </c>
      <c r="K398" s="14">
        <f>VLOOKUP(B398,weights!A:G,5,FALSE)</f>
        <v>2.9</v>
      </c>
      <c r="L398" s="14">
        <f>VLOOKUP(B398,weights!A:G,6,FALSE)</f>
        <v>7</v>
      </c>
      <c r="M398" s="14">
        <f>VLOOKUP(B398,weights!A:G,7,FALSE)</f>
        <v>10</v>
      </c>
      <c r="N398" t="s">
        <v>5557</v>
      </c>
      <c r="O398">
        <v>183</v>
      </c>
      <c r="P398">
        <v>48.8980764111</v>
      </c>
      <c r="Q398">
        <v>2.0948366282999999</v>
      </c>
      <c r="R398" s="22"/>
      <c r="S398" s="22"/>
      <c r="T398" s="22"/>
      <c r="U398" s="24">
        <f>R398+S398/60+T398/3600</f>
        <v>0</v>
      </c>
      <c r="V398" s="28">
        <f>ABS(U398-P398)/P398</f>
        <v>1</v>
      </c>
      <c r="W398" s="22"/>
      <c r="X398" s="22"/>
      <c r="Y398" s="22"/>
      <c r="Z398" s="14">
        <f>W398+X398/60+Y398/3600</f>
        <v>0</v>
      </c>
      <c r="AA398" s="26">
        <f>ABS(Z398-Q398)/Q398</f>
        <v>1</v>
      </c>
      <c r="AB398" s="26"/>
      <c r="AC398" s="14">
        <f>P398</f>
        <v>48.8980764111</v>
      </c>
      <c r="AD398" s="14">
        <f>Q398</f>
        <v>2.0948366282999999</v>
      </c>
    </row>
    <row r="399" spans="1:30" s="14" customFormat="1">
      <c r="A399" s="12">
        <v>12</v>
      </c>
      <c r="B399" s="12" t="s">
        <v>557</v>
      </c>
      <c r="C399" s="14" t="str">
        <f>VLOOKUP(B399,weights!A:B,2,FALSE)</f>
        <v>M</v>
      </c>
      <c r="D399" s="13">
        <v>397</v>
      </c>
      <c r="E399" s="14" t="s">
        <v>534</v>
      </c>
      <c r="H399" s="18"/>
      <c r="I399" s="18"/>
      <c r="J399" s="14">
        <v>398</v>
      </c>
      <c r="K399" s="14">
        <f>VLOOKUP(B399,weights!A:G,5,FALSE)</f>
        <v>2.9</v>
      </c>
      <c r="L399" s="14">
        <f>VLOOKUP(B399,weights!A:G,6,FALSE)</f>
        <v>7</v>
      </c>
      <c r="M399" s="14">
        <f>VLOOKUP(B399,weights!A:G,7,FALSE)</f>
        <v>10</v>
      </c>
      <c r="N399" t="s">
        <v>4533</v>
      </c>
      <c r="O399">
        <v>270</v>
      </c>
      <c r="P399">
        <v>48.897973448999998</v>
      </c>
      <c r="Q399">
        <v>2.1221174460599999</v>
      </c>
      <c r="R399" s="22"/>
      <c r="S399" s="22"/>
      <c r="T399" s="22"/>
      <c r="U399" s="24">
        <f>R399+S399/60+T399/3600</f>
        <v>0</v>
      </c>
      <c r="V399" s="28">
        <f>ABS(U399-P399)/P399</f>
        <v>1</v>
      </c>
      <c r="W399" s="22"/>
      <c r="X399" s="22"/>
      <c r="Y399" s="22"/>
      <c r="Z399" s="14">
        <f>W399+X399/60+Y399/3600</f>
        <v>0</v>
      </c>
      <c r="AA399" s="26">
        <f>ABS(Z399-Q399)/Q399</f>
        <v>1</v>
      </c>
      <c r="AB399" s="26"/>
      <c r="AC399" s="14">
        <f>P399</f>
        <v>48.897973448999998</v>
      </c>
      <c r="AD399" s="14">
        <f>Q399</f>
        <v>2.1221174460599999</v>
      </c>
    </row>
    <row r="400" spans="1:30" s="14" customFormat="1">
      <c r="A400" s="12">
        <v>13</v>
      </c>
      <c r="B400" s="12" t="s">
        <v>557</v>
      </c>
      <c r="C400" s="14" t="str">
        <f>VLOOKUP(B400,weights!A:B,2,FALSE)</f>
        <v>M</v>
      </c>
      <c r="D400" s="13">
        <v>398</v>
      </c>
      <c r="E400" s="14" t="s">
        <v>535</v>
      </c>
      <c r="H400" s="18"/>
      <c r="I400" s="18"/>
      <c r="J400" s="14">
        <v>399</v>
      </c>
      <c r="K400" s="14">
        <f>VLOOKUP(B400,weights!A:G,5,FALSE)</f>
        <v>2.9</v>
      </c>
      <c r="L400" s="14">
        <f>VLOOKUP(B400,weights!A:G,6,FALSE)</f>
        <v>7</v>
      </c>
      <c r="M400" s="14">
        <f>VLOOKUP(B400,weights!A:G,7,FALSE)</f>
        <v>10</v>
      </c>
      <c r="N400" t="s">
        <v>4530</v>
      </c>
      <c r="O400">
        <v>912</v>
      </c>
      <c r="P400">
        <v>48.8900862355</v>
      </c>
      <c r="Q400">
        <v>2.1346008738700002</v>
      </c>
      <c r="R400" s="22"/>
      <c r="S400" s="22"/>
      <c r="T400" s="22"/>
      <c r="U400" s="24">
        <f>R400+S400/60+T400/3600</f>
        <v>0</v>
      </c>
      <c r="V400" s="28">
        <f>ABS(U400-P400)/P400</f>
        <v>1</v>
      </c>
      <c r="W400" s="22"/>
      <c r="X400" s="22"/>
      <c r="Y400" s="22"/>
      <c r="Z400" s="14">
        <f>W400+X400/60+Y400/3600</f>
        <v>0</v>
      </c>
      <c r="AA400" s="26">
        <f>ABS(Z400-Q400)/Q400</f>
        <v>1</v>
      </c>
      <c r="AB400" s="26"/>
      <c r="AC400" s="14">
        <f>P400</f>
        <v>48.8900862355</v>
      </c>
      <c r="AD400" s="14">
        <f>Q400</f>
        <v>2.1346008738700002</v>
      </c>
    </row>
    <row r="401" spans="1:30" s="14" customFormat="1">
      <c r="A401" s="12">
        <v>14</v>
      </c>
      <c r="B401" s="12" t="s">
        <v>557</v>
      </c>
      <c r="C401" s="14" t="str">
        <f>VLOOKUP(B401,weights!A:B,2,FALSE)</f>
        <v>M</v>
      </c>
      <c r="D401" s="13">
        <v>399</v>
      </c>
      <c r="E401" s="14" t="s">
        <v>536</v>
      </c>
      <c r="H401" s="18"/>
      <c r="I401" s="18"/>
      <c r="J401" s="14">
        <v>400</v>
      </c>
      <c r="K401" s="14">
        <f>VLOOKUP(B401,weights!A:G,5,FALSE)</f>
        <v>2.9</v>
      </c>
      <c r="L401" s="14">
        <f>VLOOKUP(B401,weights!A:G,6,FALSE)</f>
        <v>7</v>
      </c>
      <c r="M401" s="14">
        <f>VLOOKUP(B401,weights!A:G,7,FALSE)</f>
        <v>10</v>
      </c>
      <c r="N401" t="s">
        <v>3646</v>
      </c>
      <c r="O401">
        <v>259</v>
      </c>
      <c r="P401">
        <v>48.885211218199998</v>
      </c>
      <c r="Q401">
        <v>2.1559034746200001</v>
      </c>
      <c r="R401" s="22"/>
      <c r="S401" s="22"/>
      <c r="T401" s="22"/>
      <c r="U401" s="24">
        <f>R401+S401/60+T401/3600</f>
        <v>0</v>
      </c>
      <c r="V401" s="28">
        <f>ABS(U401-P401)/P401</f>
        <v>1</v>
      </c>
      <c r="W401" s="22"/>
      <c r="X401" s="22"/>
      <c r="Y401" s="22"/>
      <c r="Z401" s="14">
        <f>W401+X401/60+Y401/3600</f>
        <v>0</v>
      </c>
      <c r="AA401" s="26">
        <f>ABS(Z401-Q401)/Q401</f>
        <v>1</v>
      </c>
      <c r="AB401" s="26"/>
      <c r="AC401" s="14">
        <f>P401</f>
        <v>48.885211218199998</v>
      </c>
      <c r="AD401" s="14">
        <f>Q401</f>
        <v>2.1559034746200001</v>
      </c>
    </row>
    <row r="402" spans="1:30" s="14" customFormat="1">
      <c r="A402" s="12">
        <v>15</v>
      </c>
      <c r="B402" s="12" t="s">
        <v>557</v>
      </c>
      <c r="C402" s="14" t="str">
        <f>VLOOKUP(B402,weights!A:B,2,FALSE)</f>
        <v>M</v>
      </c>
      <c r="D402" s="13">
        <v>400</v>
      </c>
      <c r="E402" s="14" t="s">
        <v>1408</v>
      </c>
      <c r="H402" s="18"/>
      <c r="I402" s="18"/>
      <c r="J402" s="14">
        <v>401</v>
      </c>
      <c r="K402" s="14">
        <f>VLOOKUP(B402,weights!A:G,5,FALSE)</f>
        <v>2.9</v>
      </c>
      <c r="L402" s="14">
        <f>VLOOKUP(B402,weights!A:G,6,FALSE)</f>
        <v>7</v>
      </c>
      <c r="M402" s="14">
        <f>VLOOKUP(B402,weights!A:G,7,FALSE)</f>
        <v>10</v>
      </c>
      <c r="N402" t="s">
        <v>5502</v>
      </c>
      <c r="O402">
        <v>410</v>
      </c>
      <c r="P402">
        <v>48.887573618600001</v>
      </c>
      <c r="Q402">
        <v>2.1725794490800001</v>
      </c>
      <c r="R402" s="22"/>
      <c r="S402" s="22"/>
      <c r="T402" s="22"/>
      <c r="U402" s="24">
        <f>R402+S402/60+T402/3600</f>
        <v>0</v>
      </c>
      <c r="V402" s="28">
        <f>ABS(U402-P402)/P402</f>
        <v>1</v>
      </c>
      <c r="W402" s="22"/>
      <c r="X402" s="22"/>
      <c r="Y402" s="22"/>
      <c r="Z402" s="14">
        <f>W402+X402/60+Y402/3600</f>
        <v>0</v>
      </c>
      <c r="AA402" s="26">
        <f>ABS(Z402-Q402)/Q402</f>
        <v>1</v>
      </c>
      <c r="AB402" s="26"/>
      <c r="AC402" s="14">
        <f>P402</f>
        <v>48.887573618600001</v>
      </c>
      <c r="AD402" s="14">
        <f>Q402</f>
        <v>2.1725794490800001</v>
      </c>
    </row>
    <row r="403" spans="1:30" s="14" customFormat="1">
      <c r="A403" s="12">
        <v>16</v>
      </c>
      <c r="B403" s="12" t="s">
        <v>557</v>
      </c>
      <c r="C403" s="14" t="str">
        <f>VLOOKUP(B403,weights!A:B,2,FALSE)</f>
        <v>M</v>
      </c>
      <c r="D403" s="13">
        <v>401</v>
      </c>
      <c r="E403" s="14" t="s">
        <v>1370</v>
      </c>
      <c r="H403" s="18"/>
      <c r="I403" s="18"/>
      <c r="J403" s="14">
        <v>402</v>
      </c>
      <c r="K403" s="14">
        <f>VLOOKUP(B403,weights!A:G,5,FALSE)</f>
        <v>2.9</v>
      </c>
      <c r="L403" s="14">
        <f>VLOOKUP(B403,weights!A:G,6,FALSE)</f>
        <v>7</v>
      </c>
      <c r="M403" s="14">
        <f>VLOOKUP(B403,weights!A:G,7,FALSE)</f>
        <v>10</v>
      </c>
      <c r="N403" t="s">
        <v>4971</v>
      </c>
      <c r="O403">
        <v>298</v>
      </c>
      <c r="P403">
        <v>48.895125891299998</v>
      </c>
      <c r="Q403">
        <v>2.1953639869099999</v>
      </c>
      <c r="R403" s="22"/>
      <c r="S403" s="22"/>
      <c r="T403" s="22"/>
      <c r="U403" s="24">
        <f>R403+S403/60+T403/3600</f>
        <v>0</v>
      </c>
      <c r="V403" s="28">
        <f>ABS(U403-P403)/P403</f>
        <v>1</v>
      </c>
      <c r="W403" s="22"/>
      <c r="X403" s="22"/>
      <c r="Y403" s="22"/>
      <c r="Z403" s="14">
        <f>W403+X403/60+Y403/3600</f>
        <v>0</v>
      </c>
      <c r="AA403" s="26">
        <f>ABS(Z403-Q403)/Q403</f>
        <v>1</v>
      </c>
      <c r="AB403" s="26"/>
      <c r="AC403" s="14">
        <f>P403</f>
        <v>48.895125891299998</v>
      </c>
      <c r="AD403" s="14">
        <f>Q403</f>
        <v>2.1953639869099999</v>
      </c>
    </row>
    <row r="404" spans="1:30" s="14" customFormat="1">
      <c r="A404" s="12">
        <v>17</v>
      </c>
      <c r="B404" s="12" t="s">
        <v>557</v>
      </c>
      <c r="C404" s="14" t="str">
        <f>VLOOKUP(B404,weights!A:B,2,FALSE)</f>
        <v>M</v>
      </c>
      <c r="D404" s="13">
        <v>402</v>
      </c>
      <c r="E404" s="14" t="s">
        <v>1099</v>
      </c>
      <c r="G404" s="14" t="s">
        <v>545</v>
      </c>
      <c r="H404" s="18"/>
      <c r="I404" s="18" t="s">
        <v>1788</v>
      </c>
      <c r="J404" s="14">
        <v>403</v>
      </c>
      <c r="K404" s="14">
        <f>VLOOKUP(B404,weights!A:G,5,FALSE)</f>
        <v>2.9</v>
      </c>
      <c r="L404" s="14">
        <f>VLOOKUP(B404,weights!A:G,6,FALSE)</f>
        <v>7</v>
      </c>
      <c r="M404" s="14">
        <f>VLOOKUP(B404,weights!A:G,7,FALSE)</f>
        <v>10</v>
      </c>
      <c r="N404" t="s">
        <v>4968</v>
      </c>
      <c r="O404">
        <v>574</v>
      </c>
      <c r="P404">
        <v>48.901655065500002</v>
      </c>
      <c r="Q404">
        <v>2.2151558730300001</v>
      </c>
      <c r="R404" s="22"/>
      <c r="S404" s="22"/>
      <c r="T404" s="22"/>
      <c r="U404" s="24">
        <f>R404+S404/60+T404/3600</f>
        <v>0</v>
      </c>
      <c r="V404" s="28">
        <f>ABS(U404-P404)/P404</f>
        <v>1</v>
      </c>
      <c r="W404" s="22"/>
      <c r="X404" s="22"/>
      <c r="Y404" s="22"/>
      <c r="Z404" s="14">
        <f>W404+X404/60+Y404/3600</f>
        <v>0</v>
      </c>
      <c r="AA404" s="26">
        <f>ABS(Z404-Q404)/Q404</f>
        <v>1</v>
      </c>
      <c r="AB404" s="26"/>
      <c r="AC404" s="14">
        <f>P404</f>
        <v>48.901655065500002</v>
      </c>
      <c r="AD404" s="14">
        <f>Q404</f>
        <v>2.2151558730300001</v>
      </c>
    </row>
    <row r="405" spans="1:30" s="14" customFormat="1">
      <c r="A405" s="12">
        <v>18</v>
      </c>
      <c r="B405" s="12" t="s">
        <v>557</v>
      </c>
      <c r="C405" s="14" t="str">
        <f>VLOOKUP(B405,weights!A:B,2,FALSE)</f>
        <v>M</v>
      </c>
      <c r="D405" s="13">
        <v>403</v>
      </c>
      <c r="E405" s="14" t="s">
        <v>1369</v>
      </c>
      <c r="H405" s="18"/>
      <c r="I405" s="18"/>
      <c r="J405" s="14">
        <v>404</v>
      </c>
      <c r="K405" s="14">
        <f>VLOOKUP(B405,weights!A:G,5,FALSE)</f>
        <v>2.9</v>
      </c>
      <c r="L405" s="14">
        <f>VLOOKUP(B405,weights!A:G,6,FALSE)</f>
        <v>7</v>
      </c>
      <c r="M405" s="14">
        <f>VLOOKUP(B405,weights!A:G,7,FALSE)</f>
        <v>10</v>
      </c>
      <c r="N405" t="s">
        <v>4965</v>
      </c>
      <c r="O405">
        <v>768</v>
      </c>
      <c r="P405">
        <v>48.895745312099997</v>
      </c>
      <c r="Q405">
        <v>2.2232129670299998</v>
      </c>
      <c r="R405" s="22"/>
      <c r="S405" s="22"/>
      <c r="T405" s="22"/>
      <c r="U405" s="24">
        <f>R405+S405/60+T405/3600</f>
        <v>0</v>
      </c>
      <c r="V405" s="28">
        <f>ABS(U405-P405)/P405</f>
        <v>1</v>
      </c>
      <c r="W405" s="22"/>
      <c r="X405" s="22"/>
      <c r="Y405" s="22"/>
      <c r="Z405" s="14">
        <f>W405+X405/60+Y405/3600</f>
        <v>0</v>
      </c>
      <c r="AA405" s="26">
        <f>ABS(Z405-Q405)/Q405</f>
        <v>1</v>
      </c>
      <c r="AB405" s="26"/>
      <c r="AC405" s="14">
        <f>P405</f>
        <v>48.895745312099997</v>
      </c>
      <c r="AD405" s="14">
        <f>Q405</f>
        <v>2.2232129670299998</v>
      </c>
    </row>
    <row r="406" spans="1:30" s="14" customFormat="1">
      <c r="A406" s="12">
        <v>19</v>
      </c>
      <c r="B406" s="12" t="s">
        <v>557</v>
      </c>
      <c r="C406" s="14" t="str">
        <f>VLOOKUP(B406,weights!A:B,2,FALSE)</f>
        <v>M</v>
      </c>
      <c r="D406" s="13">
        <v>404</v>
      </c>
      <c r="E406" s="14" t="s">
        <v>68</v>
      </c>
      <c r="G406" s="14" t="s">
        <v>548</v>
      </c>
      <c r="H406" s="18"/>
      <c r="I406" s="18" t="s">
        <v>1575</v>
      </c>
      <c r="J406" s="14">
        <v>405</v>
      </c>
      <c r="K406" s="14">
        <f>VLOOKUP(B406,weights!A:G,5,FALSE)</f>
        <v>2.9</v>
      </c>
      <c r="L406" s="14">
        <f>VLOOKUP(B406,weights!A:G,6,FALSE)</f>
        <v>7</v>
      </c>
      <c r="M406" s="14">
        <f>VLOOKUP(B406,weights!A:G,7,FALSE)</f>
        <v>10</v>
      </c>
      <c r="N406" t="s">
        <v>4391</v>
      </c>
      <c r="O406">
        <v>719</v>
      </c>
      <c r="P406">
        <v>48.892187076399999</v>
      </c>
      <c r="Q406">
        <v>2.2370180564000002</v>
      </c>
      <c r="R406" s="22"/>
      <c r="S406" s="22"/>
      <c r="T406" s="22"/>
      <c r="U406" s="24">
        <f>R406+S406/60+T406/3600</f>
        <v>0</v>
      </c>
      <c r="V406" s="28">
        <f>ABS(U406-P406)/P406</f>
        <v>1</v>
      </c>
      <c r="W406" s="22"/>
      <c r="X406" s="22"/>
      <c r="Y406" s="22"/>
      <c r="Z406" s="14">
        <f>W406+X406/60+Y406/3600</f>
        <v>0</v>
      </c>
      <c r="AA406" s="26">
        <f>ABS(Z406-Q406)/Q406</f>
        <v>1</v>
      </c>
      <c r="AB406" s="26"/>
      <c r="AC406" s="14">
        <f>P406</f>
        <v>48.892187076399999</v>
      </c>
      <c r="AD406" s="14">
        <f>Q406</f>
        <v>2.2370180564000002</v>
      </c>
    </row>
    <row r="407" spans="1:30" s="14" customFormat="1">
      <c r="A407" s="12">
        <v>20</v>
      </c>
      <c r="B407" s="12" t="s">
        <v>557</v>
      </c>
      <c r="C407" s="14" t="str">
        <f>VLOOKUP(B407,weights!A:B,2,FALSE)</f>
        <v>M</v>
      </c>
      <c r="D407" s="13">
        <v>405</v>
      </c>
      <c r="E407" s="14" t="s">
        <v>31</v>
      </c>
      <c r="G407" s="14" t="s">
        <v>549</v>
      </c>
      <c r="H407" s="18"/>
      <c r="I407" s="18" t="s">
        <v>1576</v>
      </c>
      <c r="J407" s="14">
        <v>406</v>
      </c>
      <c r="K407" s="14">
        <f>VLOOKUP(B407,weights!A:G,5,FALSE)</f>
        <v>2.9</v>
      </c>
      <c r="L407" s="14">
        <f>VLOOKUP(B407,weights!A:G,6,FALSE)</f>
        <v>7</v>
      </c>
      <c r="M407" s="14">
        <f>VLOOKUP(B407,weights!A:G,7,FALSE)</f>
        <v>10</v>
      </c>
      <c r="N407" t="s">
        <v>3597</v>
      </c>
      <c r="O407">
        <v>485</v>
      </c>
      <c r="P407">
        <v>48.874238476599999</v>
      </c>
      <c r="Q407">
        <v>2.2944905914699998</v>
      </c>
      <c r="R407" s="22"/>
      <c r="S407" s="22"/>
      <c r="T407" s="22"/>
      <c r="U407" s="24">
        <f>R407+S407/60+T407/3600</f>
        <v>0</v>
      </c>
      <c r="V407" s="28">
        <f>ABS(U407-P407)/P407</f>
        <v>1</v>
      </c>
      <c r="W407" s="22"/>
      <c r="X407" s="22"/>
      <c r="Y407" s="22"/>
      <c r="Z407" s="14">
        <f>W407+X407/60+Y407/3600</f>
        <v>0</v>
      </c>
      <c r="AA407" s="26">
        <f>ABS(Z407-Q407)/Q407</f>
        <v>1</v>
      </c>
      <c r="AB407" s="26"/>
      <c r="AC407" s="14">
        <f>P407</f>
        <v>48.874238476599999</v>
      </c>
      <c r="AD407" s="14">
        <f>Q407</f>
        <v>2.2944905914699998</v>
      </c>
    </row>
    <row r="408" spans="1:30" s="14" customFormat="1">
      <c r="A408" s="12">
        <v>21</v>
      </c>
      <c r="B408" s="12" t="s">
        <v>557</v>
      </c>
      <c r="C408" s="14" t="str">
        <f>VLOOKUP(B408,weights!A:B,2,FALSE)</f>
        <v>M</v>
      </c>
      <c r="D408" s="13">
        <v>406</v>
      </c>
      <c r="E408" s="14" t="s">
        <v>761</v>
      </c>
      <c r="G408" s="14" t="s">
        <v>750</v>
      </c>
      <c r="H408" s="18" t="s">
        <v>1622</v>
      </c>
      <c r="I408" s="18" t="s">
        <v>1789</v>
      </c>
      <c r="J408" s="14">
        <v>407</v>
      </c>
      <c r="K408" s="14">
        <f>VLOOKUP(B408,weights!A:G,5,FALSE)</f>
        <v>2.9</v>
      </c>
      <c r="L408" s="14">
        <f>VLOOKUP(B408,weights!A:G,6,FALSE)</f>
        <v>7</v>
      </c>
      <c r="M408" s="14">
        <f>VLOOKUP(B408,weights!A:G,7,FALSE)</f>
        <v>10</v>
      </c>
      <c r="N408" t="s">
        <v>3214</v>
      </c>
      <c r="O408">
        <v>439</v>
      </c>
      <c r="P408">
        <v>48.872157494900001</v>
      </c>
      <c r="Q408">
        <v>2.32992717061</v>
      </c>
      <c r="R408" s="22"/>
      <c r="S408" s="22"/>
      <c r="T408" s="22"/>
      <c r="U408" s="24">
        <f>R408+S408/60+T408/3600</f>
        <v>0</v>
      </c>
      <c r="V408" s="28">
        <f>ABS(U408-P408)/P408</f>
        <v>1</v>
      </c>
      <c r="W408" s="22"/>
      <c r="X408" s="22"/>
      <c r="Y408" s="22"/>
      <c r="Z408" s="14">
        <f>W408+X408/60+Y408/3600</f>
        <v>0</v>
      </c>
      <c r="AA408" s="26">
        <f>ABS(Z408-Q408)/Q408</f>
        <v>1</v>
      </c>
      <c r="AB408" s="26"/>
      <c r="AC408" s="14">
        <f>P408</f>
        <v>48.872157494900001</v>
      </c>
      <c r="AD408" s="14">
        <f>Q408</f>
        <v>2.32992717061</v>
      </c>
    </row>
    <row r="409" spans="1:30" s="14" customFormat="1">
      <c r="A409" s="12">
        <v>22</v>
      </c>
      <c r="B409" s="12" t="s">
        <v>557</v>
      </c>
      <c r="C409" s="14" t="str">
        <f>VLOOKUP(B409,weights!A:B,2,FALSE)</f>
        <v>M</v>
      </c>
      <c r="D409" s="13">
        <v>407</v>
      </c>
      <c r="E409" s="14" t="s">
        <v>680</v>
      </c>
      <c r="G409" s="14" t="s">
        <v>1442</v>
      </c>
      <c r="H409" s="18" t="s">
        <v>1790</v>
      </c>
      <c r="I409" s="18" t="s">
        <v>1577</v>
      </c>
      <c r="J409" s="14">
        <v>408</v>
      </c>
      <c r="K409" s="14">
        <f>VLOOKUP(B409,weights!A:G,5,FALSE)</f>
        <v>2.9</v>
      </c>
      <c r="L409" s="14">
        <f>VLOOKUP(B409,weights!A:G,6,FALSE)</f>
        <v>7</v>
      </c>
      <c r="M409" s="14">
        <f>VLOOKUP(B409,weights!A:G,7,FALSE)</f>
        <v>10</v>
      </c>
      <c r="N409" t="s">
        <v>3638</v>
      </c>
      <c r="O409">
        <v>616</v>
      </c>
      <c r="P409">
        <v>48.861822271900003</v>
      </c>
      <c r="Q409">
        <v>2.34701268861</v>
      </c>
      <c r="R409" s="22"/>
      <c r="S409" s="22"/>
      <c r="T409" s="22"/>
      <c r="U409" s="24">
        <f>R409+S409/60+T409/3600</f>
        <v>0</v>
      </c>
      <c r="V409" s="28">
        <f>ABS(U409-P409)/P409</f>
        <v>1</v>
      </c>
      <c r="W409" s="22"/>
      <c r="X409" s="22"/>
      <c r="Y409" s="22"/>
      <c r="Z409" s="14">
        <f>W409+X409/60+Y409/3600</f>
        <v>0</v>
      </c>
      <c r="AA409" s="26">
        <f>ABS(Z409-Q409)/Q409</f>
        <v>1</v>
      </c>
      <c r="AB409" s="26"/>
      <c r="AC409" s="14">
        <f>P409</f>
        <v>48.861822271900003</v>
      </c>
      <c r="AD409" s="14">
        <f>Q409</f>
        <v>2.34701268861</v>
      </c>
    </row>
    <row r="410" spans="1:30" s="14" customFormat="1">
      <c r="A410" s="12">
        <v>23</v>
      </c>
      <c r="B410" s="12" t="s">
        <v>557</v>
      </c>
      <c r="C410" s="14" t="str">
        <f>VLOOKUP(B410,weights!A:B,2,FALSE)</f>
        <v>M</v>
      </c>
      <c r="D410" s="13">
        <v>408</v>
      </c>
      <c r="E410" s="14" t="s">
        <v>53</v>
      </c>
      <c r="G410" s="14" t="s">
        <v>1453</v>
      </c>
      <c r="H410" s="18" t="s">
        <v>1791</v>
      </c>
      <c r="I410" s="18" t="s">
        <v>1792</v>
      </c>
      <c r="J410" s="14">
        <v>409</v>
      </c>
      <c r="K410" s="14">
        <f>VLOOKUP(B410,weights!A:G,5,FALSE)</f>
        <v>2.9</v>
      </c>
      <c r="L410" s="14">
        <f>VLOOKUP(B410,weights!A:G,6,FALSE)</f>
        <v>7</v>
      </c>
      <c r="M410" s="14">
        <f>VLOOKUP(B410,weights!A:G,7,FALSE)</f>
        <v>10</v>
      </c>
      <c r="N410" t="s">
        <v>4102</v>
      </c>
      <c r="O410">
        <v>638</v>
      </c>
      <c r="P410">
        <v>48.844139349899997</v>
      </c>
      <c r="Q410">
        <v>2.3732599780700001</v>
      </c>
      <c r="R410" s="22"/>
      <c r="S410" s="22"/>
      <c r="T410" s="22"/>
      <c r="U410" s="24">
        <f>R410+S410/60+T410/3600</f>
        <v>0</v>
      </c>
      <c r="V410" s="28">
        <f>ABS(U410-P410)/P410</f>
        <v>1</v>
      </c>
      <c r="W410" s="22"/>
      <c r="X410" s="22"/>
      <c r="Y410" s="22"/>
      <c r="Z410" s="14">
        <f>W410+X410/60+Y410/3600</f>
        <v>0</v>
      </c>
      <c r="AA410" s="26">
        <f>ABS(Z410-Q410)/Q410</f>
        <v>1</v>
      </c>
      <c r="AB410" s="26"/>
      <c r="AC410" s="14">
        <f>P410</f>
        <v>48.844139349899997</v>
      </c>
      <c r="AD410" s="14">
        <f>Q410</f>
        <v>2.3732599780700001</v>
      </c>
    </row>
    <row r="411" spans="1:30" s="14" customFormat="1">
      <c r="A411" s="12">
        <v>24</v>
      </c>
      <c r="B411" s="12" t="s">
        <v>557</v>
      </c>
      <c r="C411" s="14" t="str">
        <f>VLOOKUP(B411,weights!A:B,2,FALSE)</f>
        <v>M</v>
      </c>
      <c r="D411" s="13">
        <v>409</v>
      </c>
      <c r="E411" s="14" t="s">
        <v>57</v>
      </c>
      <c r="G411" s="14" t="s">
        <v>1450</v>
      </c>
      <c r="H411" s="18"/>
      <c r="I411" s="18" t="s">
        <v>1578</v>
      </c>
      <c r="J411" s="14">
        <v>410</v>
      </c>
      <c r="K411" s="14">
        <f>VLOOKUP(B411,weights!A:G,5,FALSE)</f>
        <v>2.9</v>
      </c>
      <c r="L411" s="14">
        <f>VLOOKUP(B411,weights!A:G,6,FALSE)</f>
        <v>7</v>
      </c>
      <c r="M411" s="14">
        <f>VLOOKUP(B411,weights!A:G,7,FALSE)</f>
        <v>10</v>
      </c>
      <c r="N411" t="s">
        <v>4980</v>
      </c>
      <c r="O411">
        <v>475</v>
      </c>
      <c r="P411">
        <v>48.848237110399999</v>
      </c>
      <c r="Q411">
        <v>2.3958235888299999</v>
      </c>
      <c r="R411" s="22"/>
      <c r="S411" s="22"/>
      <c r="T411" s="22"/>
      <c r="U411" s="24">
        <f>R411+S411/60+T411/3600</f>
        <v>0</v>
      </c>
      <c r="V411" s="28">
        <f>ABS(U411-P411)/P411</f>
        <v>1</v>
      </c>
      <c r="W411" s="22"/>
      <c r="X411" s="22"/>
      <c r="Y411" s="22"/>
      <c r="Z411" s="14">
        <f>W411+X411/60+Y411/3600</f>
        <v>0</v>
      </c>
      <c r="AA411" s="26">
        <f>ABS(Z411-Q411)/Q411</f>
        <v>1</v>
      </c>
      <c r="AB411" s="26"/>
      <c r="AC411" s="14">
        <f>P411</f>
        <v>48.848237110399999</v>
      </c>
      <c r="AD411" s="14">
        <f>Q411</f>
        <v>2.3958235888299999</v>
      </c>
    </row>
    <row r="412" spans="1:30" s="14" customFormat="1">
      <c r="A412" s="12">
        <v>25</v>
      </c>
      <c r="B412" s="12" t="s">
        <v>557</v>
      </c>
      <c r="C412" s="14" t="str">
        <f>VLOOKUP(B412,weights!A:B,2,FALSE)</f>
        <v>M</v>
      </c>
      <c r="D412" s="13">
        <v>410</v>
      </c>
      <c r="E412" s="14" t="s">
        <v>1436</v>
      </c>
      <c r="G412" s="14" t="s">
        <v>550</v>
      </c>
      <c r="H412" s="18"/>
      <c r="I412" s="18" t="s">
        <v>1793</v>
      </c>
      <c r="J412" s="14">
        <v>411.42</v>
      </c>
      <c r="K412" s="14">
        <f>VLOOKUP(B412,weights!A:G,5,FALSE)</f>
        <v>2.9</v>
      </c>
      <c r="L412" s="14">
        <f>VLOOKUP(B412,weights!A:G,6,FALSE)</f>
        <v>7</v>
      </c>
      <c r="M412" s="14">
        <f>VLOOKUP(B412,weights!A:G,7,FALSE)</f>
        <v>10</v>
      </c>
      <c r="N412" t="s">
        <v>5980</v>
      </c>
      <c r="O412">
        <v>797</v>
      </c>
      <c r="P412">
        <v>48.847308358600003</v>
      </c>
      <c r="Q412">
        <v>2.4332997217400001</v>
      </c>
      <c r="R412" s="22"/>
      <c r="S412" s="22"/>
      <c r="T412" s="22"/>
      <c r="U412" s="24">
        <f>R412+S412/60+T412/3600</f>
        <v>0</v>
      </c>
      <c r="V412" s="28">
        <f>ABS(U412-P412)/P412</f>
        <v>1</v>
      </c>
      <c r="W412" s="22"/>
      <c r="X412" s="22"/>
      <c r="Y412" s="22"/>
      <c r="Z412" s="14">
        <f>W412+X412/60+Y412/3600</f>
        <v>0</v>
      </c>
      <c r="AA412" s="26">
        <f>ABS(Z412-Q412)/Q412</f>
        <v>1</v>
      </c>
      <c r="AB412" s="26"/>
      <c r="AC412" s="14">
        <f>P412</f>
        <v>48.847308358600003</v>
      </c>
      <c r="AD412" s="14">
        <f>Q412</f>
        <v>2.4332997217400001</v>
      </c>
    </row>
    <row r="413" spans="1:30" s="14" customFormat="1">
      <c r="A413" s="12">
        <v>26</v>
      </c>
      <c r="B413" s="12" t="s">
        <v>557</v>
      </c>
      <c r="C413" s="14" t="str">
        <f>VLOOKUP(B413,weights!A:B,2,FALSE)</f>
        <v>M</v>
      </c>
      <c r="D413" s="13">
        <v>411</v>
      </c>
      <c r="E413" s="14" t="s">
        <v>537</v>
      </c>
      <c r="H413" s="18"/>
      <c r="I413" s="18"/>
      <c r="J413" s="14">
        <v>412</v>
      </c>
      <c r="K413" s="14">
        <f>VLOOKUP(B413,weights!A:G,5,FALSE)</f>
        <v>2.9</v>
      </c>
      <c r="L413" s="14">
        <f>VLOOKUP(B413,weights!A:G,6,FALSE)</f>
        <v>7</v>
      </c>
      <c r="M413" s="14">
        <f>VLOOKUP(B413,weights!A:G,7,FALSE)</f>
        <v>10</v>
      </c>
      <c r="N413" t="s">
        <v>4047</v>
      </c>
      <c r="O413">
        <v>529</v>
      </c>
      <c r="P413">
        <v>48.843720261599998</v>
      </c>
      <c r="Q413">
        <v>2.46370803804</v>
      </c>
      <c r="R413" s="22"/>
      <c r="S413" s="22"/>
      <c r="T413" s="22"/>
      <c r="U413" s="24">
        <f>R413+S413/60+T413/3600</f>
        <v>0</v>
      </c>
      <c r="V413" s="28">
        <f>ABS(U413-P413)/P413</f>
        <v>1</v>
      </c>
      <c r="W413" s="22"/>
      <c r="X413" s="22"/>
      <c r="Y413" s="22"/>
      <c r="Z413" s="14">
        <f>W413+X413/60+Y413/3600</f>
        <v>0</v>
      </c>
      <c r="AA413" s="26">
        <f>ABS(Z413-Q413)/Q413</f>
        <v>1</v>
      </c>
      <c r="AB413" s="26"/>
      <c r="AC413" s="14">
        <f>P413</f>
        <v>48.843720261599998</v>
      </c>
      <c r="AD413" s="14">
        <f>Q413</f>
        <v>2.46370803804</v>
      </c>
    </row>
    <row r="414" spans="1:30" s="14" customFormat="1">
      <c r="A414" s="12">
        <v>27</v>
      </c>
      <c r="B414" s="12" t="s">
        <v>557</v>
      </c>
      <c r="C414" s="14" t="str">
        <f>VLOOKUP(B414,weights!A:B,2,FALSE)</f>
        <v>M</v>
      </c>
      <c r="D414" s="13">
        <v>412</v>
      </c>
      <c r="E414" s="14" t="s">
        <v>1371</v>
      </c>
      <c r="H414" s="18"/>
      <c r="I414" s="18"/>
      <c r="J414" s="14">
        <v>413</v>
      </c>
      <c r="K414" s="14">
        <f>VLOOKUP(B414,weights!A:G,5,FALSE)</f>
        <v>2.9</v>
      </c>
      <c r="L414" s="14">
        <f>VLOOKUP(B414,weights!A:G,6,FALSE)</f>
        <v>7</v>
      </c>
      <c r="M414" s="14">
        <f>VLOOKUP(B414,weights!A:G,7,FALSE)</f>
        <v>10</v>
      </c>
      <c r="N414" t="s">
        <v>5005</v>
      </c>
      <c r="O414">
        <v>758</v>
      </c>
      <c r="P414">
        <v>48.834288897999997</v>
      </c>
      <c r="Q414">
        <v>2.4716812412200002</v>
      </c>
      <c r="R414" s="22"/>
      <c r="S414" s="22"/>
      <c r="T414" s="22"/>
      <c r="U414" s="24">
        <f>R414+S414/60+T414/3600</f>
        <v>0</v>
      </c>
      <c r="V414" s="28">
        <f>ABS(U414-P414)/P414</f>
        <v>1</v>
      </c>
      <c r="W414" s="22"/>
      <c r="X414" s="22"/>
      <c r="Y414" s="22"/>
      <c r="Z414" s="14">
        <f>W414+X414/60+Y414/3600</f>
        <v>0</v>
      </c>
      <c r="AA414" s="26">
        <f>ABS(Z414-Q414)/Q414</f>
        <v>1</v>
      </c>
      <c r="AB414" s="26"/>
      <c r="AC414" s="14">
        <f>P414</f>
        <v>48.834288897999997</v>
      </c>
      <c r="AD414" s="14">
        <f>Q414</f>
        <v>2.4716812412200002</v>
      </c>
    </row>
    <row r="415" spans="1:30" s="14" customFormat="1">
      <c r="A415" s="12">
        <v>28</v>
      </c>
      <c r="B415" s="12" t="s">
        <v>557</v>
      </c>
      <c r="C415" s="14" t="str">
        <f>VLOOKUP(B415,weights!A:B,2,FALSE)</f>
        <v>M</v>
      </c>
      <c r="D415" s="13">
        <v>413</v>
      </c>
      <c r="E415" s="14" t="s">
        <v>1320</v>
      </c>
      <c r="H415" s="18"/>
      <c r="I415" s="18"/>
      <c r="J415" s="14">
        <v>414</v>
      </c>
      <c r="K415" s="14">
        <f>VLOOKUP(B415,weights!A:G,5,FALSE)</f>
        <v>2.9</v>
      </c>
      <c r="L415" s="14">
        <f>VLOOKUP(B415,weights!A:G,6,FALSE)</f>
        <v>7</v>
      </c>
      <c r="M415" s="14">
        <f>VLOOKUP(B415,weights!A:G,7,FALSE)</f>
        <v>10</v>
      </c>
      <c r="N415" t="s">
        <v>4319</v>
      </c>
      <c r="O415">
        <v>759</v>
      </c>
      <c r="P415">
        <v>48.821038817800002</v>
      </c>
      <c r="Q415">
        <v>2.4638567967</v>
      </c>
      <c r="R415" s="22"/>
      <c r="S415" s="22"/>
      <c r="T415" s="22"/>
      <c r="U415" s="24">
        <f>R415+S415/60+T415/3600</f>
        <v>0</v>
      </c>
      <c r="V415" s="28">
        <f>ABS(U415-P415)/P415</f>
        <v>1</v>
      </c>
      <c r="W415" s="22"/>
      <c r="X415" s="22"/>
      <c r="Y415" s="22"/>
      <c r="Z415" s="14">
        <f>W415+X415/60+Y415/3600</f>
        <v>0</v>
      </c>
      <c r="AA415" s="26">
        <f>ABS(Z415-Q415)/Q415</f>
        <v>1</v>
      </c>
      <c r="AB415" s="26"/>
      <c r="AC415" s="14">
        <f>P415</f>
        <v>48.821038817800002</v>
      </c>
      <c r="AD415" s="14">
        <f>Q415</f>
        <v>2.4638567967</v>
      </c>
    </row>
    <row r="416" spans="1:30" s="14" customFormat="1">
      <c r="A416" s="12">
        <v>29</v>
      </c>
      <c r="B416" s="12" t="s">
        <v>557</v>
      </c>
      <c r="C416" s="14" t="str">
        <f>VLOOKUP(B416,weights!A:B,2,FALSE)</f>
        <v>M</v>
      </c>
      <c r="D416" s="13">
        <v>414</v>
      </c>
      <c r="E416" s="14" t="s">
        <v>1412</v>
      </c>
      <c r="H416" s="18"/>
      <c r="I416" s="18"/>
      <c r="J416" s="14">
        <v>415</v>
      </c>
      <c r="K416" s="14">
        <f>VLOOKUP(B416,weights!A:G,5,FALSE)</f>
        <v>2.9</v>
      </c>
      <c r="L416" s="14">
        <f>VLOOKUP(B416,weights!A:G,6,FALSE)</f>
        <v>7</v>
      </c>
      <c r="M416" s="14">
        <f>VLOOKUP(B416,weights!A:G,7,FALSE)</f>
        <v>10</v>
      </c>
      <c r="N416" t="s">
        <v>5597</v>
      </c>
      <c r="O416">
        <v>760</v>
      </c>
      <c r="P416">
        <v>48.806200024799999</v>
      </c>
      <c r="Q416">
        <v>2.4727204037999999</v>
      </c>
      <c r="R416" s="22"/>
      <c r="S416" s="22"/>
      <c r="T416" s="22"/>
      <c r="U416" s="24">
        <f>R416+S416/60+T416/3600</f>
        <v>0</v>
      </c>
      <c r="V416" s="28">
        <f>ABS(U416-P416)/P416</f>
        <v>1</v>
      </c>
      <c r="W416" s="22"/>
      <c r="X416" s="22"/>
      <c r="Y416" s="22"/>
      <c r="Z416" s="14">
        <f>W416+X416/60+Y416/3600</f>
        <v>0</v>
      </c>
      <c r="AA416" s="26">
        <f>ABS(Z416-Q416)/Q416</f>
        <v>1</v>
      </c>
      <c r="AB416" s="26"/>
      <c r="AC416" s="14">
        <f>P416</f>
        <v>48.806200024799999</v>
      </c>
      <c r="AD416" s="14">
        <f>Q416</f>
        <v>2.4727204037999999</v>
      </c>
    </row>
    <row r="417" spans="1:30" s="14" customFormat="1">
      <c r="A417" s="12">
        <v>30</v>
      </c>
      <c r="B417" s="12" t="s">
        <v>557</v>
      </c>
      <c r="C417" s="14" t="str">
        <f>VLOOKUP(B417,weights!A:B,2,FALSE)</f>
        <v>M</v>
      </c>
      <c r="D417" s="13">
        <v>415</v>
      </c>
      <c r="E417" s="14" t="s">
        <v>538</v>
      </c>
      <c r="H417" s="18"/>
      <c r="I417" s="18"/>
      <c r="J417" s="14">
        <v>416</v>
      </c>
      <c r="K417" s="14">
        <f>VLOOKUP(B417,weights!A:G,5,FALSE)</f>
        <v>2.9</v>
      </c>
      <c r="L417" s="14">
        <f>VLOOKUP(B417,weights!A:G,6,FALSE)</f>
        <v>7</v>
      </c>
      <c r="M417" s="14">
        <f>VLOOKUP(B417,weights!A:G,7,FALSE)</f>
        <v>10</v>
      </c>
      <c r="N417" t="s">
        <v>4503</v>
      </c>
      <c r="O417">
        <v>195</v>
      </c>
      <c r="P417">
        <v>48.805377663100003</v>
      </c>
      <c r="Q417">
        <v>2.4863497528499998</v>
      </c>
      <c r="R417" s="22"/>
      <c r="S417" s="22"/>
      <c r="T417" s="22"/>
      <c r="U417" s="24">
        <f>R417+S417/60+T417/3600</f>
        <v>0</v>
      </c>
      <c r="V417" s="28">
        <f>ABS(U417-P417)/P417</f>
        <v>1</v>
      </c>
      <c r="W417" s="22"/>
      <c r="X417" s="22"/>
      <c r="Y417" s="22"/>
      <c r="Z417" s="14">
        <f>W417+X417/60+Y417/3600</f>
        <v>0</v>
      </c>
      <c r="AA417" s="26">
        <f>ABS(Z417-Q417)/Q417</f>
        <v>1</v>
      </c>
      <c r="AB417" s="26"/>
      <c r="AC417" s="14">
        <f>P417</f>
        <v>48.805377663100003</v>
      </c>
      <c r="AD417" s="14">
        <f>Q417</f>
        <v>2.4863497528499998</v>
      </c>
    </row>
    <row r="418" spans="1:30" s="14" customFormat="1">
      <c r="A418" s="12">
        <v>31</v>
      </c>
      <c r="B418" s="12" t="s">
        <v>557</v>
      </c>
      <c r="C418" s="14" t="str">
        <f>VLOOKUP(B418,weights!A:B,2,FALSE)</f>
        <v>M</v>
      </c>
      <c r="D418" s="13">
        <v>416</v>
      </c>
      <c r="E418" s="14" t="s">
        <v>551</v>
      </c>
      <c r="H418" s="18"/>
      <c r="I418" s="18"/>
      <c r="J418" s="14">
        <v>417</v>
      </c>
      <c r="K418" s="14">
        <f>VLOOKUP(B418,weights!A:G,5,FALSE)</f>
        <v>2.9</v>
      </c>
      <c r="L418" s="14">
        <f>VLOOKUP(B418,weights!A:G,6,FALSE)</f>
        <v>7</v>
      </c>
      <c r="M418" s="14">
        <f>VLOOKUP(B418,weights!A:G,7,FALSE)</f>
        <v>10</v>
      </c>
      <c r="N418" t="s">
        <v>3566</v>
      </c>
      <c r="O418">
        <v>761</v>
      </c>
      <c r="P418">
        <v>48.806985072499998</v>
      </c>
      <c r="Q418">
        <v>2.51030723575</v>
      </c>
      <c r="R418" s="22"/>
      <c r="S418" s="22"/>
      <c r="T418" s="22"/>
      <c r="U418" s="24">
        <f>R418+S418/60+T418/3600</f>
        <v>0</v>
      </c>
      <c r="V418" s="28">
        <f>ABS(U418-P418)/P418</f>
        <v>1</v>
      </c>
      <c r="W418" s="22"/>
      <c r="X418" s="22"/>
      <c r="Y418" s="22"/>
      <c r="Z418" s="14">
        <f>W418+X418/60+Y418/3600</f>
        <v>0</v>
      </c>
      <c r="AA418" s="26">
        <f>ABS(Z418-Q418)/Q418</f>
        <v>1</v>
      </c>
      <c r="AB418" s="26"/>
      <c r="AC418" s="14">
        <f>P418</f>
        <v>48.806985072499998</v>
      </c>
      <c r="AD418" s="14">
        <f>Q418</f>
        <v>2.51030723575</v>
      </c>
    </row>
    <row r="419" spans="1:30" s="14" customFormat="1">
      <c r="A419" s="12">
        <v>32</v>
      </c>
      <c r="B419" s="12" t="s">
        <v>557</v>
      </c>
      <c r="C419" s="14" t="str">
        <f>VLOOKUP(B419,weights!A:B,2,FALSE)</f>
        <v>M</v>
      </c>
      <c r="D419" s="13">
        <v>417</v>
      </c>
      <c r="E419" s="14" t="s">
        <v>539</v>
      </c>
      <c r="H419" s="18"/>
      <c r="I419" s="18"/>
      <c r="J419" s="14">
        <v>418</v>
      </c>
      <c r="K419" s="14">
        <f>VLOOKUP(B419,weights!A:G,5,FALSE)</f>
        <v>2.9</v>
      </c>
      <c r="L419" s="14">
        <f>VLOOKUP(B419,weights!A:G,6,FALSE)</f>
        <v>7</v>
      </c>
      <c r="M419" s="14">
        <f>VLOOKUP(B419,weights!A:G,7,FALSE)</f>
        <v>10</v>
      </c>
      <c r="N419" t="s">
        <v>4441</v>
      </c>
      <c r="O419">
        <v>502</v>
      </c>
      <c r="P419">
        <v>48.795383837400003</v>
      </c>
      <c r="Q419">
        <v>2.51342330089</v>
      </c>
      <c r="R419" s="22"/>
      <c r="S419" s="22"/>
      <c r="T419" s="22"/>
      <c r="U419" s="24">
        <f>R419+S419/60+T419/3600</f>
        <v>0</v>
      </c>
      <c r="V419" s="28">
        <f>ABS(U419-P419)/P419</f>
        <v>1</v>
      </c>
      <c r="W419" s="22"/>
      <c r="X419" s="22"/>
      <c r="Y419" s="22"/>
      <c r="Z419" s="14">
        <f>W419+X419/60+Y419/3600</f>
        <v>0</v>
      </c>
      <c r="AA419" s="26">
        <f>ABS(Z419-Q419)/Q419</f>
        <v>1</v>
      </c>
      <c r="AB419" s="26"/>
      <c r="AC419" s="14">
        <f>P419</f>
        <v>48.795383837400003</v>
      </c>
      <c r="AD419" s="14">
        <f>Q419</f>
        <v>2.51342330089</v>
      </c>
    </row>
    <row r="420" spans="1:30" s="14" customFormat="1">
      <c r="A420" s="12">
        <v>33</v>
      </c>
      <c r="B420" s="12" t="s">
        <v>557</v>
      </c>
      <c r="C420" s="14" t="str">
        <f>VLOOKUP(B420,weights!A:B,2,FALSE)</f>
        <v>M</v>
      </c>
      <c r="D420" s="13">
        <v>418</v>
      </c>
      <c r="E420" s="14" t="s">
        <v>1422</v>
      </c>
      <c r="H420" s="18"/>
      <c r="I420" s="18"/>
      <c r="J420" s="14">
        <v>419</v>
      </c>
      <c r="K420" s="14">
        <f>VLOOKUP(B420,weights!A:G,5,FALSE)</f>
        <v>2.9</v>
      </c>
      <c r="L420" s="14">
        <f>VLOOKUP(B420,weights!A:G,6,FALSE)</f>
        <v>7</v>
      </c>
      <c r="M420" s="14">
        <f>VLOOKUP(B420,weights!A:G,7,FALSE)</f>
        <v>10</v>
      </c>
      <c r="N420" t="s">
        <v>5745</v>
      </c>
      <c r="O420">
        <v>415</v>
      </c>
      <c r="P420">
        <v>48.771707908800003</v>
      </c>
      <c r="Q420">
        <v>2.5074826457000001</v>
      </c>
      <c r="R420" s="22"/>
      <c r="S420" s="22"/>
      <c r="T420" s="22"/>
      <c r="U420" s="24">
        <f>R420+S420/60+T420/3600</f>
        <v>0</v>
      </c>
      <c r="V420" s="28">
        <f>ABS(U420-P420)/P420</f>
        <v>1</v>
      </c>
      <c r="W420" s="22"/>
      <c r="X420" s="22"/>
      <c r="Y420" s="22"/>
      <c r="Z420" s="14">
        <f>W420+X420/60+Y420/3600</f>
        <v>0</v>
      </c>
      <c r="AA420" s="26">
        <f>ABS(Z420-Q420)/Q420</f>
        <v>1</v>
      </c>
      <c r="AB420" s="26"/>
      <c r="AC420" s="14">
        <f>P420</f>
        <v>48.771707908800003</v>
      </c>
      <c r="AD420" s="14">
        <f>Q420</f>
        <v>2.5074826457000001</v>
      </c>
    </row>
    <row r="421" spans="1:30" s="14" customFormat="1">
      <c r="A421" s="12">
        <v>34</v>
      </c>
      <c r="B421" s="12" t="s">
        <v>557</v>
      </c>
      <c r="C421" s="14" t="str">
        <f>VLOOKUP(B421,weights!A:B,2,FALSE)</f>
        <v>M</v>
      </c>
      <c r="D421" s="13">
        <v>419</v>
      </c>
      <c r="E421" s="14" t="s">
        <v>540</v>
      </c>
      <c r="H421" s="18"/>
      <c r="I421" s="18"/>
      <c r="K421" s="14">
        <f>VLOOKUP(B421,weights!A:G,5,FALSE)</f>
        <v>2.9</v>
      </c>
      <c r="L421" s="14">
        <f>VLOOKUP(B421,weights!A:G,6,FALSE)</f>
        <v>7</v>
      </c>
      <c r="M421" s="14">
        <f>VLOOKUP(B421,weights!A:G,7,FALSE)</f>
        <v>10</v>
      </c>
      <c r="N421" t="s">
        <v>3378</v>
      </c>
      <c r="O421">
        <v>292</v>
      </c>
      <c r="P421">
        <v>48.752185721700002</v>
      </c>
      <c r="Q421">
        <v>2.50455983697</v>
      </c>
      <c r="R421" s="22"/>
      <c r="S421" s="22"/>
      <c r="T421" s="22"/>
      <c r="U421" s="24">
        <f>R421+S421/60+T421/3600</f>
        <v>0</v>
      </c>
      <c r="V421" s="28">
        <f>ABS(U421-P421)/P421</f>
        <v>1</v>
      </c>
      <c r="W421" s="22"/>
      <c r="X421" s="22"/>
      <c r="Y421" s="22"/>
      <c r="Z421" s="14">
        <f>W421+X421/60+Y421/3600</f>
        <v>0</v>
      </c>
      <c r="AA421" s="26">
        <f>ABS(Z421-Q421)/Q421</f>
        <v>1</v>
      </c>
      <c r="AB421" s="26"/>
      <c r="AC421" s="14">
        <f>P421</f>
        <v>48.752185721700002</v>
      </c>
      <c r="AD421" s="14">
        <f>Q421</f>
        <v>2.50455983697</v>
      </c>
    </row>
    <row r="422" spans="1:30" s="14" customFormat="1">
      <c r="A422" s="12">
        <v>35</v>
      </c>
      <c r="B422" s="12" t="s">
        <v>557</v>
      </c>
      <c r="C422" s="14" t="str">
        <f>VLOOKUP(B422,weights!A:B,2,FALSE)</f>
        <v>M</v>
      </c>
      <c r="D422" s="13">
        <v>420</v>
      </c>
      <c r="E422" s="14" t="s">
        <v>541</v>
      </c>
      <c r="G422" s="14" t="s">
        <v>558</v>
      </c>
      <c r="H422" s="18" t="s">
        <v>1794</v>
      </c>
      <c r="I422" s="18"/>
      <c r="J422" s="14">
        <v>421</v>
      </c>
      <c r="K422" s="14">
        <f>VLOOKUP(B422,weights!A:G,5,FALSE)</f>
        <v>2.9</v>
      </c>
      <c r="L422" s="14">
        <f>VLOOKUP(B422,weights!A:G,6,FALSE)</f>
        <v>7</v>
      </c>
      <c r="M422" s="14">
        <f>VLOOKUP(B422,weights!A:G,7,FALSE)</f>
        <v>10</v>
      </c>
      <c r="N422" t="s">
        <v>5842</v>
      </c>
      <c r="O422">
        <v>404</v>
      </c>
      <c r="P422">
        <v>48.854353097199997</v>
      </c>
      <c r="Q422">
        <v>2.48913730642</v>
      </c>
      <c r="R422" s="22"/>
      <c r="S422" s="22"/>
      <c r="T422" s="22"/>
      <c r="U422" s="24">
        <f>R422+S422/60+T422/3600</f>
        <v>0</v>
      </c>
      <c r="V422" s="28">
        <f>ABS(U422-P422)/P422</f>
        <v>1</v>
      </c>
      <c r="W422" s="22"/>
      <c r="X422" s="22"/>
      <c r="Y422" s="22"/>
      <c r="Z422" s="14">
        <f>W422+X422/60+Y422/3600</f>
        <v>0</v>
      </c>
      <c r="AA422" s="26">
        <f>ABS(Z422-Q422)/Q422</f>
        <v>1</v>
      </c>
      <c r="AB422" s="26"/>
      <c r="AC422" s="14">
        <f>P422</f>
        <v>48.854353097199997</v>
      </c>
      <c r="AD422" s="14">
        <f>Q422</f>
        <v>2.48913730642</v>
      </c>
    </row>
    <row r="423" spans="1:30" s="14" customFormat="1">
      <c r="A423" s="12">
        <v>36</v>
      </c>
      <c r="B423" s="12" t="s">
        <v>557</v>
      </c>
      <c r="C423" s="14" t="str">
        <f>VLOOKUP(B423,weights!A:B,2,FALSE)</f>
        <v>M</v>
      </c>
      <c r="D423" s="13">
        <v>421</v>
      </c>
      <c r="E423" s="14" t="s">
        <v>542</v>
      </c>
      <c r="H423" s="18"/>
      <c r="I423" s="18"/>
      <c r="J423" s="14">
        <v>422</v>
      </c>
      <c r="K423" s="14">
        <f>VLOOKUP(B423,weights!A:G,5,FALSE)</f>
        <v>2.9</v>
      </c>
      <c r="L423" s="14">
        <f>VLOOKUP(B423,weights!A:G,6,FALSE)</f>
        <v>7</v>
      </c>
      <c r="M423" s="14">
        <f>VLOOKUP(B423,weights!A:G,7,FALSE)</f>
        <v>10</v>
      </c>
      <c r="N423" t="s">
        <v>4990</v>
      </c>
      <c r="O423">
        <v>294</v>
      </c>
      <c r="P423">
        <v>48.853485712999998</v>
      </c>
      <c r="Q423">
        <v>2.5138252910299999</v>
      </c>
      <c r="R423" s="22"/>
      <c r="S423" s="22"/>
      <c r="T423" s="22"/>
      <c r="U423" s="24">
        <f>R423+S423/60+T423/3600</f>
        <v>0</v>
      </c>
      <c r="V423" s="28">
        <f>ABS(U423-P423)/P423</f>
        <v>1</v>
      </c>
      <c r="W423" s="22"/>
      <c r="X423" s="22"/>
      <c r="Y423" s="22"/>
      <c r="Z423" s="14">
        <f>W423+X423/60+Y423/3600</f>
        <v>0</v>
      </c>
      <c r="AA423" s="26">
        <f>ABS(Z423-Q423)/Q423</f>
        <v>1</v>
      </c>
      <c r="AB423" s="26"/>
      <c r="AC423" s="14">
        <f>P423</f>
        <v>48.853485712999998</v>
      </c>
      <c r="AD423" s="14">
        <f>Q423</f>
        <v>2.5138252910299999</v>
      </c>
    </row>
    <row r="424" spans="1:30" s="14" customFormat="1">
      <c r="A424" s="12">
        <v>37</v>
      </c>
      <c r="B424" s="12" t="s">
        <v>557</v>
      </c>
      <c r="C424" s="14" t="str">
        <f>VLOOKUP(B424,weights!A:B,2,FALSE)</f>
        <v>M</v>
      </c>
      <c r="D424" s="13">
        <v>422</v>
      </c>
      <c r="E424" s="14" t="s">
        <v>543</v>
      </c>
      <c r="H424" s="18"/>
      <c r="I424" s="18"/>
      <c r="J424" s="14">
        <v>423</v>
      </c>
      <c r="K424" s="14">
        <f>VLOOKUP(B424,weights!A:G,5,FALSE)</f>
        <v>2.9</v>
      </c>
      <c r="L424" s="14">
        <f>VLOOKUP(B424,weights!A:G,6,FALSE)</f>
        <v>7</v>
      </c>
      <c r="M424" s="14">
        <f>VLOOKUP(B424,weights!A:G,7,FALSE)</f>
        <v>10</v>
      </c>
      <c r="N424" t="s">
        <v>3471</v>
      </c>
      <c r="O424">
        <v>196</v>
      </c>
      <c r="P424">
        <v>48.844901139599997</v>
      </c>
      <c r="Q424">
        <v>2.5259225451999998</v>
      </c>
      <c r="R424" s="22"/>
      <c r="S424" s="22"/>
      <c r="T424" s="22"/>
      <c r="U424" s="24">
        <f>R424+S424/60+T424/3600</f>
        <v>0</v>
      </c>
      <c r="V424" s="28">
        <f>ABS(U424-P424)/P424</f>
        <v>1</v>
      </c>
      <c r="W424" s="22"/>
      <c r="X424" s="22"/>
      <c r="Y424" s="22"/>
      <c r="Z424" s="14">
        <f>W424+X424/60+Y424/3600</f>
        <v>0</v>
      </c>
      <c r="AA424" s="26">
        <f>ABS(Z424-Q424)/Q424</f>
        <v>1</v>
      </c>
      <c r="AB424" s="26"/>
      <c r="AC424" s="14">
        <f>P424</f>
        <v>48.844901139599997</v>
      </c>
      <c r="AD424" s="14">
        <f>Q424</f>
        <v>2.5259225451999998</v>
      </c>
    </row>
    <row r="425" spans="1:30" s="14" customFormat="1">
      <c r="A425" s="12">
        <v>38</v>
      </c>
      <c r="B425" s="12" t="s">
        <v>557</v>
      </c>
      <c r="C425" s="14" t="str">
        <f>VLOOKUP(B425,weights!A:B,2,FALSE)</f>
        <v>M</v>
      </c>
      <c r="D425" s="13">
        <v>423</v>
      </c>
      <c r="E425" s="14" t="s">
        <v>544</v>
      </c>
      <c r="H425" s="18"/>
      <c r="I425" s="18"/>
      <c r="J425" s="14">
        <v>424</v>
      </c>
      <c r="K425" s="14">
        <f>VLOOKUP(B425,weights!A:G,5,FALSE)</f>
        <v>2.9</v>
      </c>
      <c r="L425" s="14">
        <f>VLOOKUP(B425,weights!A:G,6,FALSE)</f>
        <v>7</v>
      </c>
      <c r="M425" s="14">
        <f>VLOOKUP(B425,weights!A:G,7,FALSE)</f>
        <v>10</v>
      </c>
      <c r="N425" t="s">
        <v>5017</v>
      </c>
      <c r="O425">
        <v>652</v>
      </c>
      <c r="P425">
        <v>48.840843431899998</v>
      </c>
      <c r="Q425">
        <v>2.5477751892999998</v>
      </c>
      <c r="R425" s="22"/>
      <c r="S425" s="22"/>
      <c r="T425" s="22"/>
      <c r="U425" s="24">
        <f>R425+S425/60+T425/3600</f>
        <v>0</v>
      </c>
      <c r="V425" s="28">
        <f>ABS(U425-P425)/P425</f>
        <v>1</v>
      </c>
      <c r="W425" s="22"/>
      <c r="X425" s="22"/>
      <c r="Y425" s="22"/>
      <c r="Z425" s="14">
        <f>W425+X425/60+Y425/3600</f>
        <v>0</v>
      </c>
      <c r="AA425" s="26">
        <f>ABS(Z425-Q425)/Q425</f>
        <v>1</v>
      </c>
      <c r="AB425" s="26"/>
      <c r="AC425" s="14">
        <f>P425</f>
        <v>48.840843431899998</v>
      </c>
      <c r="AD425" s="14">
        <f>Q425</f>
        <v>2.5477751892999998</v>
      </c>
    </row>
    <row r="426" spans="1:30" s="14" customFormat="1">
      <c r="A426" s="12">
        <v>39</v>
      </c>
      <c r="B426" s="12" t="s">
        <v>557</v>
      </c>
      <c r="C426" s="14" t="str">
        <f>VLOOKUP(B426,weights!A:B,2,FALSE)</f>
        <v>M</v>
      </c>
      <c r="D426" s="13">
        <v>424</v>
      </c>
      <c r="E426" s="14" t="s">
        <v>552</v>
      </c>
      <c r="H426" s="18"/>
      <c r="I426" s="18"/>
      <c r="J426" s="14">
        <v>425</v>
      </c>
      <c r="K426" s="14">
        <f>VLOOKUP(B426,weights!A:G,5,FALSE)</f>
        <v>2.9</v>
      </c>
      <c r="L426" s="14">
        <f>VLOOKUP(B426,weights!A:G,6,FALSE)</f>
        <v>7</v>
      </c>
      <c r="M426" s="14">
        <f>VLOOKUP(B426,weights!A:G,7,FALSE)</f>
        <v>10</v>
      </c>
      <c r="N426" t="s">
        <v>5014</v>
      </c>
      <c r="O426">
        <v>653</v>
      </c>
      <c r="P426">
        <v>48.842884840799996</v>
      </c>
      <c r="Q426">
        <v>2.5800859174199999</v>
      </c>
      <c r="R426" s="22"/>
      <c r="S426" s="22"/>
      <c r="T426" s="22"/>
      <c r="U426" s="24">
        <f>R426+S426/60+T426/3600</f>
        <v>0</v>
      </c>
      <c r="V426" s="28">
        <f>ABS(U426-P426)/P426</f>
        <v>1</v>
      </c>
      <c r="W426" s="22"/>
      <c r="X426" s="22"/>
      <c r="Y426" s="22"/>
      <c r="Z426" s="14">
        <f>W426+X426/60+Y426/3600</f>
        <v>0</v>
      </c>
      <c r="AA426" s="26">
        <f>ABS(Z426-Q426)/Q426</f>
        <v>1</v>
      </c>
      <c r="AB426" s="26"/>
      <c r="AC426" s="14">
        <f>P426</f>
        <v>48.842884840799996</v>
      </c>
      <c r="AD426" s="14">
        <f>Q426</f>
        <v>2.5800859174199999</v>
      </c>
    </row>
    <row r="427" spans="1:30" s="14" customFormat="1">
      <c r="A427" s="12">
        <v>40</v>
      </c>
      <c r="B427" s="12" t="s">
        <v>557</v>
      </c>
      <c r="C427" s="14" t="str">
        <f>VLOOKUP(B427,weights!A:B,2,FALSE)</f>
        <v>M</v>
      </c>
      <c r="D427" s="13">
        <v>425</v>
      </c>
      <c r="E427" s="14" t="s">
        <v>553</v>
      </c>
      <c r="H427" s="18"/>
      <c r="I427" s="18"/>
      <c r="J427" s="14">
        <v>426</v>
      </c>
      <c r="K427" s="14">
        <f>VLOOKUP(B427,weights!A:G,5,FALSE)</f>
        <v>2.9</v>
      </c>
      <c r="L427" s="14">
        <f>VLOOKUP(B427,weights!A:G,6,FALSE)</f>
        <v>7</v>
      </c>
      <c r="M427" s="14">
        <f>VLOOKUP(B427,weights!A:G,7,FALSE)</f>
        <v>10</v>
      </c>
      <c r="N427" t="s">
        <v>5011</v>
      </c>
      <c r="O427">
        <v>355</v>
      </c>
      <c r="P427">
        <v>48.843491648700002</v>
      </c>
      <c r="Q427">
        <v>2.6159524830500001</v>
      </c>
      <c r="R427" s="22"/>
      <c r="S427" s="22"/>
      <c r="T427" s="22"/>
      <c r="U427" s="24">
        <f>R427+S427/60+T427/3600</f>
        <v>0</v>
      </c>
      <c r="V427" s="28">
        <f>ABS(U427-P427)/P427</f>
        <v>1</v>
      </c>
      <c r="W427" s="22"/>
      <c r="X427" s="22"/>
      <c r="Y427" s="22"/>
      <c r="Z427" s="14">
        <f>W427+X427/60+Y427/3600</f>
        <v>0</v>
      </c>
      <c r="AA427" s="26">
        <f>ABS(Z427-Q427)/Q427</f>
        <v>1</v>
      </c>
      <c r="AB427" s="26"/>
      <c r="AC427" s="14">
        <f>P427</f>
        <v>48.843491648700002</v>
      </c>
      <c r="AD427" s="14">
        <f>Q427</f>
        <v>2.6159524830500001</v>
      </c>
    </row>
    <row r="428" spans="1:30" s="14" customFormat="1">
      <c r="A428" s="12">
        <v>41</v>
      </c>
      <c r="B428" s="12" t="s">
        <v>557</v>
      </c>
      <c r="C428" s="14" t="str">
        <f>VLOOKUP(B428,weights!A:B,2,FALSE)</f>
        <v>M</v>
      </c>
      <c r="D428" s="13">
        <v>426</v>
      </c>
      <c r="E428" s="14" t="s">
        <v>554</v>
      </c>
      <c r="H428" s="18"/>
      <c r="I428" s="18"/>
      <c r="J428" s="14">
        <v>427</v>
      </c>
      <c r="K428" s="14">
        <f>VLOOKUP(B428,weights!A:G,5,FALSE)</f>
        <v>2.9</v>
      </c>
      <c r="L428" s="14">
        <f>VLOOKUP(B428,weights!A:G,6,FALSE)</f>
        <v>7</v>
      </c>
      <c r="M428" s="14">
        <f>VLOOKUP(B428,weights!A:G,7,FALSE)</f>
        <v>10</v>
      </c>
      <c r="N428" t="s">
        <v>4644</v>
      </c>
      <c r="O428">
        <v>232</v>
      </c>
      <c r="P428">
        <v>48.839219299100002</v>
      </c>
      <c r="Q428">
        <v>2.63321091751</v>
      </c>
      <c r="R428" s="22"/>
      <c r="S428" s="22"/>
      <c r="T428" s="22"/>
      <c r="U428" s="24">
        <f>R428+S428/60+T428/3600</f>
        <v>0</v>
      </c>
      <c r="V428" s="28">
        <f>ABS(U428-P428)/P428</f>
        <v>1</v>
      </c>
      <c r="W428" s="22"/>
      <c r="X428" s="22"/>
      <c r="Y428" s="22"/>
      <c r="Z428" s="14">
        <f>W428+X428/60+Y428/3600</f>
        <v>0</v>
      </c>
      <c r="AA428" s="26">
        <f>ABS(Z428-Q428)/Q428</f>
        <v>1</v>
      </c>
      <c r="AB428" s="26"/>
      <c r="AC428" s="14">
        <f>P428</f>
        <v>48.839219299100002</v>
      </c>
      <c r="AD428" s="14">
        <f>Q428</f>
        <v>2.63321091751</v>
      </c>
    </row>
    <row r="429" spans="1:30" s="14" customFormat="1">
      <c r="A429" s="12">
        <v>42</v>
      </c>
      <c r="B429" s="12" t="s">
        <v>557</v>
      </c>
      <c r="C429" s="14" t="str">
        <f>VLOOKUP(B429,weights!A:B,2,FALSE)</f>
        <v>M</v>
      </c>
      <c r="D429" s="13">
        <v>427</v>
      </c>
      <c r="E429" s="14" t="s">
        <v>1428</v>
      </c>
      <c r="H429" s="18"/>
      <c r="I429" s="18"/>
      <c r="J429" s="14">
        <v>428</v>
      </c>
      <c r="K429" s="14">
        <f>VLOOKUP(B429,weights!A:G,5,FALSE)</f>
        <v>2.9</v>
      </c>
      <c r="L429" s="14">
        <f>VLOOKUP(B429,weights!A:G,6,FALSE)</f>
        <v>7</v>
      </c>
      <c r="M429" s="14">
        <f>VLOOKUP(B429,weights!A:G,7,FALSE)</f>
        <v>10</v>
      </c>
      <c r="N429" t="s">
        <v>5802</v>
      </c>
      <c r="O429">
        <v>872</v>
      </c>
      <c r="P429">
        <v>48.839645517299999</v>
      </c>
      <c r="Q429">
        <v>2.6551300866399998</v>
      </c>
      <c r="R429" s="22"/>
      <c r="S429" s="22"/>
      <c r="T429" s="22"/>
      <c r="U429" s="24">
        <f>R429+S429/60+T429/3600</f>
        <v>0</v>
      </c>
      <c r="V429" s="28">
        <f>ABS(U429-P429)/P429</f>
        <v>1</v>
      </c>
      <c r="W429" s="22"/>
      <c r="X429" s="22"/>
      <c r="Y429" s="22"/>
      <c r="Z429" s="14">
        <f>W429+X429/60+Y429/3600</f>
        <v>0</v>
      </c>
      <c r="AA429" s="26">
        <f>ABS(Z429-Q429)/Q429</f>
        <v>1</v>
      </c>
      <c r="AB429" s="26"/>
      <c r="AC429" s="14">
        <f>P429</f>
        <v>48.839645517299999</v>
      </c>
      <c r="AD429" s="14">
        <f>Q429</f>
        <v>2.6551300866399998</v>
      </c>
    </row>
    <row r="430" spans="1:30" s="14" customFormat="1">
      <c r="A430" s="12">
        <v>43</v>
      </c>
      <c r="B430" s="12" t="s">
        <v>557</v>
      </c>
      <c r="C430" s="14" t="str">
        <f>VLOOKUP(B430,weights!A:B,2,FALSE)</f>
        <v>M</v>
      </c>
      <c r="D430" s="13">
        <v>428</v>
      </c>
      <c r="E430" s="14" t="s">
        <v>1257</v>
      </c>
      <c r="H430" s="18"/>
      <c r="I430" s="18"/>
      <c r="J430" s="14">
        <v>429</v>
      </c>
      <c r="K430" s="14">
        <f>VLOOKUP(B430,weights!A:G,5,FALSE)</f>
        <v>2.9</v>
      </c>
      <c r="L430" s="14">
        <f>VLOOKUP(B430,weights!A:G,6,FALSE)</f>
        <v>7</v>
      </c>
      <c r="M430" s="14">
        <f>VLOOKUP(B430,weights!A:G,7,FALSE)</f>
        <v>10</v>
      </c>
      <c r="N430" t="s">
        <v>3483</v>
      </c>
      <c r="O430">
        <v>658</v>
      </c>
      <c r="P430">
        <v>48.836536432899997</v>
      </c>
      <c r="Q430">
        <v>2.7089817409000001</v>
      </c>
      <c r="R430" s="22"/>
      <c r="S430" s="22"/>
      <c r="T430" s="22"/>
      <c r="U430" s="24">
        <f>R430+S430/60+T430/3600</f>
        <v>0</v>
      </c>
      <c r="V430" s="28">
        <f>ABS(U430-P430)/P430</f>
        <v>1</v>
      </c>
      <c r="W430" s="22"/>
      <c r="X430" s="22"/>
      <c r="Y430" s="22"/>
      <c r="Z430" s="14">
        <f>W430+X430/60+Y430/3600</f>
        <v>0</v>
      </c>
      <c r="AA430" s="26">
        <f>ABS(Z430-Q430)/Q430</f>
        <v>1</v>
      </c>
      <c r="AB430" s="26"/>
      <c r="AC430" s="14">
        <f>P430</f>
        <v>48.836536432899997</v>
      </c>
      <c r="AD430" s="14">
        <f>Q430</f>
        <v>2.7089817409000001</v>
      </c>
    </row>
    <row r="431" spans="1:30" s="14" customFormat="1">
      <c r="A431" s="12">
        <v>44</v>
      </c>
      <c r="B431" s="12" t="s">
        <v>557</v>
      </c>
      <c r="C431" s="14" t="str">
        <f>VLOOKUP(B431,weights!A:B,2,FALSE)</f>
        <v>M</v>
      </c>
      <c r="D431" s="13">
        <v>429</v>
      </c>
      <c r="E431" s="14" t="s">
        <v>555</v>
      </c>
      <c r="H431" s="18"/>
      <c r="I431" s="18"/>
      <c r="J431" s="14">
        <v>430</v>
      </c>
      <c r="K431" s="14">
        <f>VLOOKUP(B431,weights!A:G,5,FALSE)</f>
        <v>2.9</v>
      </c>
      <c r="L431" s="14">
        <f>VLOOKUP(B431,weights!A:G,6,FALSE)</f>
        <v>7</v>
      </c>
      <c r="M431" s="14">
        <f>VLOOKUP(B431,weights!A:G,7,FALSE)</f>
        <v>10</v>
      </c>
      <c r="N431" t="s">
        <v>5839</v>
      </c>
      <c r="O431">
        <v>659</v>
      </c>
      <c r="P431">
        <v>48.855394809899998</v>
      </c>
      <c r="Q431">
        <v>2.7734339192399999</v>
      </c>
      <c r="R431" s="22"/>
      <c r="S431" s="22"/>
      <c r="T431" s="22"/>
      <c r="U431" s="24">
        <f>R431+S431/60+T431/3600</f>
        <v>0</v>
      </c>
      <c r="V431" s="28">
        <f>ABS(U431-P431)/P431</f>
        <v>1</v>
      </c>
      <c r="W431" s="22"/>
      <c r="X431" s="22"/>
      <c r="Y431" s="22"/>
      <c r="Z431" s="14">
        <f>W431+X431/60+Y431/3600</f>
        <v>0</v>
      </c>
      <c r="AA431" s="26">
        <f>ABS(Z431-Q431)/Q431</f>
        <v>1</v>
      </c>
      <c r="AB431" s="26"/>
      <c r="AC431" s="14">
        <f>P431</f>
        <v>48.855394809899998</v>
      </c>
      <c r="AD431" s="14">
        <f>Q431</f>
        <v>2.7734339192399999</v>
      </c>
    </row>
    <row r="432" spans="1:30" s="14" customFormat="1">
      <c r="A432" s="12">
        <v>45</v>
      </c>
      <c r="B432" s="12" t="s">
        <v>557</v>
      </c>
      <c r="C432" s="14" t="str">
        <f>VLOOKUP(B432,weights!A:B,2,FALSE)</f>
        <v>M</v>
      </c>
      <c r="D432" s="13">
        <v>430</v>
      </c>
      <c r="E432" s="14" t="s">
        <v>556</v>
      </c>
      <c r="H432" s="18"/>
      <c r="I432" s="18"/>
      <c r="K432" s="14">
        <f>VLOOKUP(B432,weights!A:G,5,FALSE)</f>
        <v>2.9</v>
      </c>
      <c r="L432" s="14">
        <f>VLOOKUP(B432,weights!A:G,6,FALSE)</f>
        <v>7</v>
      </c>
      <c r="M432" s="14">
        <f>VLOOKUP(B432,weights!A:G,7,FALSE)</f>
        <v>10</v>
      </c>
      <c r="N432" t="s">
        <v>3678</v>
      </c>
      <c r="O432">
        <v>776</v>
      </c>
      <c r="P432">
        <v>48.869950134900002</v>
      </c>
      <c r="Q432">
        <v>2.78222672345</v>
      </c>
      <c r="R432" s="22"/>
      <c r="S432" s="22"/>
      <c r="T432" s="22"/>
      <c r="U432" s="24">
        <f>R432+S432/60+T432/3600</f>
        <v>0</v>
      </c>
      <c r="V432" s="28">
        <f>ABS(U432-P432)/P432</f>
        <v>1</v>
      </c>
      <c r="W432" s="22"/>
      <c r="X432" s="22"/>
      <c r="Y432" s="22"/>
      <c r="Z432" s="14">
        <f>W432+X432/60+Y432/3600</f>
        <v>0</v>
      </c>
      <c r="AA432" s="26">
        <f>ABS(Z432-Q432)/Q432</f>
        <v>1</v>
      </c>
      <c r="AB432" s="26"/>
      <c r="AC432" s="14">
        <f>P432</f>
        <v>48.869950134900002</v>
      </c>
      <c r="AD432" s="14">
        <f>Q432</f>
        <v>2.78222672345</v>
      </c>
    </row>
    <row r="433" spans="1:30" s="14" customFormat="1">
      <c r="A433" s="12">
        <v>0</v>
      </c>
      <c r="B433" s="12" t="s">
        <v>571</v>
      </c>
      <c r="C433" s="14" t="str">
        <f>VLOOKUP(B433,weights!A:B,2,FALSE)</f>
        <v>M</v>
      </c>
      <c r="D433" s="13">
        <v>431</v>
      </c>
      <c r="E433" s="14" t="s">
        <v>1234</v>
      </c>
      <c r="G433" s="15"/>
      <c r="H433" s="18"/>
      <c r="I433" s="18"/>
      <c r="J433" s="14">
        <v>432</v>
      </c>
      <c r="K433" s="14">
        <f>VLOOKUP(B433,weights!A:G,5,FALSE)</f>
        <v>2.48</v>
      </c>
      <c r="L433" s="14">
        <f>VLOOKUP(B433,weights!A:G,6,FALSE)</f>
        <v>7</v>
      </c>
      <c r="M433" s="14">
        <f>VLOOKUP(B433,weights!A:G,7,FALSE)</f>
        <v>10</v>
      </c>
      <c r="N433" s="20" t="s">
        <v>3139</v>
      </c>
      <c r="O433" s="20">
        <v>491</v>
      </c>
      <c r="P433" s="20">
        <v>49.004687461800003</v>
      </c>
      <c r="Q433" s="20">
        <v>2.5705894855200002</v>
      </c>
      <c r="R433" s="22"/>
      <c r="S433" s="22"/>
      <c r="T433" s="22"/>
      <c r="U433" s="24">
        <f>R433+S433/60+T433/3600</f>
        <v>0</v>
      </c>
      <c r="V433" s="28">
        <f>ABS(U433-P433)/P433</f>
        <v>1</v>
      </c>
      <c r="W433" s="22"/>
      <c r="X433" s="22"/>
      <c r="Y433" s="22"/>
      <c r="Z433" s="14">
        <f>W433+X433/60+Y433/3600</f>
        <v>0</v>
      </c>
      <c r="AA433" s="26">
        <f>ABS(Z433-Q433)/Q433</f>
        <v>1</v>
      </c>
      <c r="AB433" s="26"/>
      <c r="AC433" s="14">
        <f>P433</f>
        <v>49.004687461800003</v>
      </c>
      <c r="AD433" s="14">
        <f>Q433</f>
        <v>2.5705894855200002</v>
      </c>
    </row>
    <row r="434" spans="1:30" s="14" customFormat="1">
      <c r="A434" s="12">
        <v>1</v>
      </c>
      <c r="B434" s="12" t="s">
        <v>571</v>
      </c>
      <c r="C434" s="14" t="str">
        <f>VLOOKUP(B434,weights!A:B,2,FALSE)</f>
        <v>M</v>
      </c>
      <c r="D434" s="13">
        <v>432</v>
      </c>
      <c r="E434" s="14" t="s">
        <v>1233</v>
      </c>
      <c r="G434" s="15"/>
      <c r="H434" s="18"/>
      <c r="I434" s="18"/>
      <c r="J434" s="14">
        <v>433</v>
      </c>
      <c r="K434" s="14">
        <f>VLOOKUP(B434,weights!A:G,5,FALSE)</f>
        <v>2.48</v>
      </c>
      <c r="L434" s="14">
        <f>VLOOKUP(B434,weights!A:G,6,FALSE)</f>
        <v>7</v>
      </c>
      <c r="M434" s="14">
        <f>VLOOKUP(B434,weights!A:G,7,FALSE)</f>
        <v>10</v>
      </c>
      <c r="N434" s="20" t="s">
        <v>3135</v>
      </c>
      <c r="O434" s="20">
        <v>725</v>
      </c>
      <c r="P434" s="20">
        <v>49.0097564521</v>
      </c>
      <c r="Q434" s="20">
        <v>2.5612326952300002</v>
      </c>
      <c r="R434" s="22"/>
      <c r="S434" s="22"/>
      <c r="T434" s="22"/>
      <c r="U434" s="24">
        <f>R434+S434/60+T434/3600</f>
        <v>0</v>
      </c>
      <c r="V434" s="28">
        <f>ABS(U434-P434)/P434</f>
        <v>1</v>
      </c>
      <c r="W434" s="22"/>
      <c r="X434" s="22"/>
      <c r="Y434" s="22"/>
      <c r="Z434" s="14">
        <f>W434+X434/60+Y434/3600</f>
        <v>0</v>
      </c>
      <c r="AA434" s="26">
        <f>ABS(Z434-Q434)/Q434</f>
        <v>1</v>
      </c>
      <c r="AB434" s="26"/>
      <c r="AC434" s="14">
        <f>P434</f>
        <v>49.0097564521</v>
      </c>
      <c r="AD434" s="14">
        <f>Q434</f>
        <v>2.5612326952300002</v>
      </c>
    </row>
    <row r="435" spans="1:30" s="14" customFormat="1">
      <c r="A435" s="12">
        <v>2</v>
      </c>
      <c r="B435" s="12" t="s">
        <v>571</v>
      </c>
      <c r="C435" s="14" t="str">
        <f>VLOOKUP(B435,weights!A:B,2,FALSE)</f>
        <v>M</v>
      </c>
      <c r="D435" s="13">
        <v>433</v>
      </c>
      <c r="E435" s="14" t="s">
        <v>1380</v>
      </c>
      <c r="G435" s="15"/>
      <c r="H435" s="18"/>
      <c r="I435" s="18"/>
      <c r="J435" s="14">
        <v>434</v>
      </c>
      <c r="K435" s="14">
        <f>VLOOKUP(B435,weights!A:G,5,FALSE)</f>
        <v>2.48</v>
      </c>
      <c r="L435" s="14">
        <f>VLOOKUP(B435,weights!A:G,6,FALSE)</f>
        <v>7</v>
      </c>
      <c r="M435" s="14">
        <f>VLOOKUP(B435,weights!A:G,7,FALSE)</f>
        <v>10</v>
      </c>
      <c r="N435" t="s">
        <v>5100</v>
      </c>
      <c r="O435">
        <v>589</v>
      </c>
      <c r="P435">
        <v>48.9734249081</v>
      </c>
      <c r="Q435">
        <v>2.51436028553</v>
      </c>
      <c r="R435" s="22"/>
      <c r="S435" s="22"/>
      <c r="T435" s="22"/>
      <c r="U435" s="24">
        <f>R435+S435/60+T435/3600</f>
        <v>0</v>
      </c>
      <c r="V435" s="28">
        <f>ABS(U435-P435)/P435</f>
        <v>1</v>
      </c>
      <c r="W435" s="22"/>
      <c r="X435" s="22"/>
      <c r="Y435" s="22"/>
      <c r="Z435" s="14">
        <f>W435+X435/60+Y435/3600</f>
        <v>0</v>
      </c>
      <c r="AA435" s="26">
        <f>ABS(Z435-Q435)/Q435</f>
        <v>1</v>
      </c>
      <c r="AB435" s="26"/>
      <c r="AC435" s="14">
        <f>P435</f>
        <v>48.9734249081</v>
      </c>
      <c r="AD435" s="14">
        <f>Q435</f>
        <v>2.51436028553</v>
      </c>
    </row>
    <row r="436" spans="1:30" s="14" customFormat="1">
      <c r="A436" s="12">
        <v>3</v>
      </c>
      <c r="B436" s="12" t="s">
        <v>571</v>
      </c>
      <c r="C436" s="14" t="str">
        <f>VLOOKUP(B436,weights!A:B,2,FALSE)</f>
        <v>M</v>
      </c>
      <c r="D436" s="13">
        <v>434</v>
      </c>
      <c r="E436" s="14" t="s">
        <v>1434</v>
      </c>
      <c r="G436" s="15"/>
      <c r="H436" s="18"/>
      <c r="I436" s="18"/>
      <c r="J436" s="14">
        <v>435</v>
      </c>
      <c r="K436" s="14">
        <f>VLOOKUP(B436,weights!A:G,5,FALSE)</f>
        <v>2.48</v>
      </c>
      <c r="L436" s="14">
        <f>VLOOKUP(B436,weights!A:G,6,FALSE)</f>
        <v>7</v>
      </c>
      <c r="M436" s="14">
        <f>VLOOKUP(B436,weights!A:G,7,FALSE)</f>
        <v>10</v>
      </c>
      <c r="N436" t="s">
        <v>5955</v>
      </c>
      <c r="O436">
        <v>648</v>
      </c>
      <c r="P436">
        <v>48.962709515100002</v>
      </c>
      <c r="Q436">
        <v>2.5126446264400002</v>
      </c>
      <c r="R436" s="22"/>
      <c r="S436" s="22"/>
      <c r="T436" s="22"/>
      <c r="U436" s="24">
        <f>R436+S436/60+T436/3600</f>
        <v>0</v>
      </c>
      <c r="V436" s="28">
        <f>ABS(U436-P436)/P436</f>
        <v>1</v>
      </c>
      <c r="W436" s="22"/>
      <c r="X436" s="22"/>
      <c r="Y436" s="22"/>
      <c r="Z436" s="14">
        <f>W436+X436/60+Y436/3600</f>
        <v>0</v>
      </c>
      <c r="AA436" s="26">
        <f>ABS(Z436-Q436)/Q436</f>
        <v>1</v>
      </c>
      <c r="AB436" s="26"/>
      <c r="AC436" s="14">
        <f>P436</f>
        <v>48.962709515100002</v>
      </c>
      <c r="AD436" s="14">
        <f>Q436</f>
        <v>2.5126446264400002</v>
      </c>
    </row>
    <row r="437" spans="1:30" s="14" customFormat="1">
      <c r="A437" s="12">
        <v>4</v>
      </c>
      <c r="B437" s="12" t="s">
        <v>571</v>
      </c>
      <c r="C437" s="14" t="str">
        <f>VLOOKUP(B437,weights!A:B,2,FALSE)</f>
        <v>M</v>
      </c>
      <c r="D437" s="13">
        <v>435</v>
      </c>
      <c r="E437" s="14" t="s">
        <v>1416</v>
      </c>
      <c r="G437" s="15"/>
      <c r="H437" s="18"/>
      <c r="I437" s="18"/>
      <c r="J437" s="14">
        <v>440</v>
      </c>
      <c r="K437" s="14">
        <f>VLOOKUP(B437,weights!A:G,5,FALSE)</f>
        <v>2.48</v>
      </c>
      <c r="L437" s="14">
        <f>VLOOKUP(B437,weights!A:G,6,FALSE)</f>
        <v>7</v>
      </c>
      <c r="M437" s="14">
        <f>VLOOKUP(B437,weights!A:G,7,FALSE)</f>
        <v>10</v>
      </c>
      <c r="N437" t="s">
        <v>5691</v>
      </c>
      <c r="O437">
        <v>773</v>
      </c>
      <c r="P437">
        <v>48.947607558599998</v>
      </c>
      <c r="Q437">
        <v>2.52471638939</v>
      </c>
      <c r="R437" s="22"/>
      <c r="S437" s="22"/>
      <c r="T437" s="22"/>
      <c r="U437" s="24">
        <f>R437+S437/60+T437/3600</f>
        <v>0</v>
      </c>
      <c r="V437" s="28">
        <f>ABS(U437-P437)/P437</f>
        <v>1</v>
      </c>
      <c r="W437" s="22"/>
      <c r="X437" s="22"/>
      <c r="Y437" s="22"/>
      <c r="Z437" s="14">
        <f>W437+X437/60+Y437/3600</f>
        <v>0</v>
      </c>
      <c r="AA437" s="26">
        <f>ABS(Z437-Q437)/Q437</f>
        <v>1</v>
      </c>
      <c r="AB437" s="26"/>
      <c r="AC437" s="14">
        <f>P437</f>
        <v>48.947607558599998</v>
      </c>
      <c r="AD437" s="14">
        <f>Q437</f>
        <v>2.52471638939</v>
      </c>
    </row>
    <row r="438" spans="1:30" s="14" customFormat="1">
      <c r="A438" s="12">
        <v>5</v>
      </c>
      <c r="B438" s="12" t="s">
        <v>571</v>
      </c>
      <c r="C438" s="14" t="str">
        <f>VLOOKUP(B438,weights!A:B,2,FALSE)</f>
        <v>M</v>
      </c>
      <c r="D438" s="13">
        <v>436</v>
      </c>
      <c r="E438" s="14" t="s">
        <v>1083</v>
      </c>
      <c r="G438" s="14" t="s">
        <v>561</v>
      </c>
      <c r="H438" s="18"/>
      <c r="I438" s="18" t="s">
        <v>1795</v>
      </c>
      <c r="J438" s="14">
        <v>437</v>
      </c>
      <c r="K438" s="14">
        <f>VLOOKUP(B438,weights!A:G,5,FALSE)</f>
        <v>2.48</v>
      </c>
      <c r="L438" s="14">
        <f>VLOOKUP(B438,weights!A:G,6,FALSE)</f>
        <v>7</v>
      </c>
      <c r="M438" s="14">
        <f>VLOOKUP(B438,weights!A:G,7,FALSE)</f>
        <v>10</v>
      </c>
      <c r="N438" t="s">
        <v>4882</v>
      </c>
      <c r="O438">
        <v>644</v>
      </c>
      <c r="P438">
        <v>48.975858754000001</v>
      </c>
      <c r="Q438">
        <v>2.64240630231</v>
      </c>
      <c r="R438" s="22"/>
      <c r="S438" s="22"/>
      <c r="T438" s="22"/>
      <c r="U438" s="24">
        <f>R438+S438/60+T438/3600</f>
        <v>0</v>
      </c>
      <c r="V438" s="28">
        <f>ABS(U438-P438)/P438</f>
        <v>1</v>
      </c>
      <c r="W438" s="22"/>
      <c r="X438" s="22"/>
      <c r="Y438" s="22"/>
      <c r="Z438" s="14">
        <f>W438+X438/60+Y438/3600</f>
        <v>0</v>
      </c>
      <c r="AA438" s="26">
        <f>ABS(Z438-Q438)/Q438</f>
        <v>1</v>
      </c>
      <c r="AB438" s="26"/>
      <c r="AC438" s="14">
        <f>P438</f>
        <v>48.975858754000001</v>
      </c>
      <c r="AD438" s="14">
        <f>Q438</f>
        <v>2.64240630231</v>
      </c>
    </row>
    <row r="439" spans="1:30" s="14" customFormat="1">
      <c r="A439" s="12">
        <v>6</v>
      </c>
      <c r="B439" s="12" t="s">
        <v>571</v>
      </c>
      <c r="C439" s="14" t="str">
        <f>VLOOKUP(B439,weights!A:B,2,FALSE)</f>
        <v>M</v>
      </c>
      <c r="D439" s="13">
        <v>437</v>
      </c>
      <c r="E439" s="14" t="s">
        <v>1433</v>
      </c>
      <c r="H439" s="18"/>
      <c r="I439" s="18"/>
      <c r="J439" s="14">
        <v>438</v>
      </c>
      <c r="K439" s="14">
        <f>VLOOKUP(B439,weights!A:G,5,FALSE)</f>
        <v>2.48</v>
      </c>
      <c r="L439" s="14">
        <f>VLOOKUP(B439,weights!A:G,6,FALSE)</f>
        <v>7</v>
      </c>
      <c r="M439" s="14">
        <f>VLOOKUP(B439,weights!A:G,7,FALSE)</f>
        <v>10</v>
      </c>
      <c r="N439" t="s">
        <v>5952</v>
      </c>
      <c r="O439">
        <v>826</v>
      </c>
      <c r="P439">
        <v>48.953148388499997</v>
      </c>
      <c r="Q439">
        <v>2.6031353105699999</v>
      </c>
      <c r="R439" s="22"/>
      <c r="S439" s="22"/>
      <c r="T439" s="22"/>
      <c r="U439" s="24">
        <f>R439+S439/60+T439/3600</f>
        <v>0</v>
      </c>
      <c r="V439" s="28">
        <f>ABS(U439-P439)/P439</f>
        <v>1</v>
      </c>
      <c r="W439" s="22"/>
      <c r="X439" s="22"/>
      <c r="Y439" s="22"/>
      <c r="Z439" s="14">
        <f>W439+X439/60+Y439/3600</f>
        <v>0</v>
      </c>
      <c r="AA439" s="26">
        <f>ABS(Z439-Q439)/Q439</f>
        <v>1</v>
      </c>
      <c r="AB439" s="26"/>
      <c r="AC439" s="14">
        <f>P439</f>
        <v>48.953148388499997</v>
      </c>
      <c r="AD439" s="14">
        <f>Q439</f>
        <v>2.6031353105699999</v>
      </c>
    </row>
    <row r="440" spans="1:30" s="14" customFormat="1">
      <c r="A440" s="12">
        <v>7</v>
      </c>
      <c r="B440" s="12" t="s">
        <v>571</v>
      </c>
      <c r="C440" s="14" t="str">
        <f>VLOOKUP(B440,weights!A:B,2,FALSE)</f>
        <v>M</v>
      </c>
      <c r="D440" s="13">
        <v>438</v>
      </c>
      <c r="E440" s="14" t="s">
        <v>1431</v>
      </c>
      <c r="H440" s="18"/>
      <c r="I440" s="18"/>
      <c r="J440" s="14">
        <v>439</v>
      </c>
      <c r="K440" s="14">
        <f>VLOOKUP(B440,weights!A:G,5,FALSE)</f>
        <v>2.48</v>
      </c>
      <c r="L440" s="14">
        <f>VLOOKUP(B440,weights!A:G,6,FALSE)</f>
        <v>7</v>
      </c>
      <c r="M440" s="14">
        <f>VLOOKUP(B440,weights!A:G,7,FALSE)</f>
        <v>10</v>
      </c>
      <c r="N440" t="s">
        <v>5903</v>
      </c>
      <c r="O440">
        <v>590</v>
      </c>
      <c r="P440">
        <v>48.944181065099997</v>
      </c>
      <c r="Q440">
        <v>2.5664480156099998</v>
      </c>
      <c r="R440" s="22"/>
      <c r="S440" s="22"/>
      <c r="T440" s="22"/>
      <c r="U440" s="24">
        <f>R440+S440/60+T440/3600</f>
        <v>0</v>
      </c>
      <c r="V440" s="28">
        <f>ABS(U440-P440)/P440</f>
        <v>1</v>
      </c>
      <c r="W440" s="22"/>
      <c r="X440" s="22"/>
      <c r="Y440" s="22"/>
      <c r="Z440" s="14">
        <f>W440+X440/60+Y440/3600</f>
        <v>0</v>
      </c>
      <c r="AA440" s="26">
        <f>ABS(Z440-Q440)/Q440</f>
        <v>1</v>
      </c>
      <c r="AB440" s="26"/>
      <c r="AC440" s="14">
        <f>P440</f>
        <v>48.944181065099997</v>
      </c>
      <c r="AD440" s="14">
        <f>Q440</f>
        <v>2.5664480156099998</v>
      </c>
    </row>
    <row r="441" spans="1:30" s="14" customFormat="1">
      <c r="A441" s="12">
        <v>8</v>
      </c>
      <c r="B441" s="12" t="s">
        <v>571</v>
      </c>
      <c r="C441" s="14" t="str">
        <f>VLOOKUP(B441,weights!A:B,2,FALSE)</f>
        <v>M</v>
      </c>
      <c r="D441" s="13">
        <v>439</v>
      </c>
      <c r="E441" s="14" t="s">
        <v>1417</v>
      </c>
      <c r="H441" s="18"/>
      <c r="I441" s="18"/>
      <c r="J441" s="14">
        <v>440</v>
      </c>
      <c r="K441" s="14">
        <f>VLOOKUP(B441,weights!A:G,5,FALSE)</f>
        <v>2.48</v>
      </c>
      <c r="L441" s="14">
        <f>VLOOKUP(B441,weights!A:G,6,FALSE)</f>
        <v>7</v>
      </c>
      <c r="M441" s="14">
        <f>VLOOKUP(B441,weights!A:G,7,FALSE)</f>
        <v>10</v>
      </c>
      <c r="N441" t="s">
        <v>5694</v>
      </c>
      <c r="O441">
        <v>649</v>
      </c>
      <c r="P441">
        <v>48.936280184700003</v>
      </c>
      <c r="Q441">
        <v>2.5347149733899998</v>
      </c>
      <c r="R441" s="22"/>
      <c r="S441" s="22"/>
      <c r="T441" s="22"/>
      <c r="U441" s="24">
        <f>R441+S441/60+T441/3600</f>
        <v>0</v>
      </c>
      <c r="V441" s="28">
        <f>ABS(U441-P441)/P441</f>
        <v>1</v>
      </c>
      <c r="W441" s="22"/>
      <c r="X441" s="22"/>
      <c r="Y441" s="22"/>
      <c r="Z441" s="14">
        <f>W441+X441/60+Y441/3600</f>
        <v>0</v>
      </c>
      <c r="AA441" s="26">
        <f>ABS(Z441-Q441)/Q441</f>
        <v>1</v>
      </c>
      <c r="AB441" s="26"/>
      <c r="AC441" s="14">
        <f>P441</f>
        <v>48.936280184700003</v>
      </c>
      <c r="AD441" s="14">
        <f>Q441</f>
        <v>2.5347149733899998</v>
      </c>
    </row>
    <row r="442" spans="1:30" s="14" customFormat="1">
      <c r="A442" s="12">
        <v>9</v>
      </c>
      <c r="B442" s="12" t="s">
        <v>571</v>
      </c>
      <c r="C442" s="14" t="str">
        <f>VLOOKUP(B442,weights!A:B,2,FALSE)</f>
        <v>M</v>
      </c>
      <c r="D442" s="13">
        <v>440</v>
      </c>
      <c r="E442" s="14" t="s">
        <v>909</v>
      </c>
      <c r="G442" s="14" t="s">
        <v>562</v>
      </c>
      <c r="H442" s="18"/>
      <c r="I442" s="18" t="s">
        <v>1796</v>
      </c>
      <c r="J442" s="14">
        <v>441</v>
      </c>
      <c r="K442" s="14">
        <f>VLOOKUP(B442,weights!A:G,5,FALSE)</f>
        <v>2.48</v>
      </c>
      <c r="L442" s="14">
        <f>VLOOKUP(B442,weights!A:G,6,FALSE)</f>
        <v>7</v>
      </c>
      <c r="M442" s="14">
        <f>VLOOKUP(B442,weights!A:G,7,FALSE)</f>
        <v>10</v>
      </c>
      <c r="N442" s="20" t="s">
        <v>3229</v>
      </c>
      <c r="O442" s="20">
        <v>585</v>
      </c>
      <c r="P442" s="20">
        <v>48.932196005100003</v>
      </c>
      <c r="Q442" s="20">
        <v>2.49551314123</v>
      </c>
      <c r="R442" s="22"/>
      <c r="S442" s="22"/>
      <c r="T442" s="22"/>
      <c r="U442" s="24">
        <f>R442+S442/60+T442/3600</f>
        <v>0</v>
      </c>
      <c r="V442" s="28">
        <f>ABS(U442-P442)/P442</f>
        <v>1</v>
      </c>
      <c r="W442" s="22"/>
      <c r="X442" s="22"/>
      <c r="Y442" s="22"/>
      <c r="Z442" s="14">
        <f>W442+X442/60+Y442/3600</f>
        <v>0</v>
      </c>
      <c r="AA442" s="26">
        <f>ABS(Z442-Q442)/Q442</f>
        <v>1</v>
      </c>
      <c r="AB442" s="26"/>
      <c r="AC442" s="14">
        <f>P442</f>
        <v>48.932196005100003</v>
      </c>
      <c r="AD442" s="14">
        <f>Q442</f>
        <v>2.49551314123</v>
      </c>
    </row>
    <row r="443" spans="1:30" s="14" customFormat="1">
      <c r="A443" s="12">
        <v>10</v>
      </c>
      <c r="B443" s="12" t="s">
        <v>571</v>
      </c>
      <c r="C443" s="14" t="str">
        <f>VLOOKUP(B443,weights!A:B,2,FALSE)</f>
        <v>M</v>
      </c>
      <c r="D443" s="13">
        <v>441</v>
      </c>
      <c r="E443" s="14" t="s">
        <v>1335</v>
      </c>
      <c r="H443" s="18"/>
      <c r="I443" s="18"/>
      <c r="J443" s="14">
        <v>442</v>
      </c>
      <c r="K443" s="14">
        <f>VLOOKUP(B443,weights!A:G,5,FALSE)</f>
        <v>2.48</v>
      </c>
      <c r="L443" s="14">
        <f>VLOOKUP(B443,weights!A:G,6,FALSE)</f>
        <v>7</v>
      </c>
      <c r="M443" s="14">
        <f>VLOOKUP(B443,weights!A:G,7,FALSE)</f>
        <v>10</v>
      </c>
      <c r="N443" t="s">
        <v>3344</v>
      </c>
      <c r="O443">
        <v>588</v>
      </c>
      <c r="P443">
        <v>48.9323054161</v>
      </c>
      <c r="Q443">
        <v>2.4756743721999999</v>
      </c>
      <c r="R443" s="22"/>
      <c r="S443" s="22"/>
      <c r="T443" s="22"/>
      <c r="U443" s="24">
        <f>R443+S443/60+T443/3600</f>
        <v>0</v>
      </c>
      <c r="V443" s="28">
        <f>ABS(U443-P443)/P443</f>
        <v>1</v>
      </c>
      <c r="W443" s="22"/>
      <c r="X443" s="22"/>
      <c r="Y443" s="22"/>
      <c r="Z443" s="14">
        <f>W443+X443/60+Y443/3600</f>
        <v>0</v>
      </c>
      <c r="AA443" s="26">
        <f>ABS(Z443-Q443)/Q443</f>
        <v>1</v>
      </c>
      <c r="AB443" s="26"/>
      <c r="AC443" s="14">
        <f>P443</f>
        <v>48.9323054161</v>
      </c>
      <c r="AD443" s="14">
        <f>Q443</f>
        <v>2.4756743721999999</v>
      </c>
    </row>
    <row r="444" spans="1:30" s="14" customFormat="1">
      <c r="A444" s="12">
        <v>11</v>
      </c>
      <c r="B444" s="12" t="s">
        <v>571</v>
      </c>
      <c r="C444" s="14" t="str">
        <f>VLOOKUP(B444,weights!A:B,2,FALSE)</f>
        <v>M</v>
      </c>
      <c r="D444" s="13">
        <v>442</v>
      </c>
      <c r="E444" s="14" t="s">
        <v>1281</v>
      </c>
      <c r="H444" s="18"/>
      <c r="I444" s="18"/>
      <c r="J444" s="14">
        <v>443</v>
      </c>
      <c r="K444" s="14">
        <f>VLOOKUP(B444,weights!A:G,5,FALSE)</f>
        <v>2.48</v>
      </c>
      <c r="L444" s="14">
        <f>VLOOKUP(B444,weights!A:G,6,FALSE)</f>
        <v>7</v>
      </c>
      <c r="M444" s="14">
        <f>VLOOKUP(B444,weights!A:G,7,FALSE)</f>
        <v>10</v>
      </c>
      <c r="N444" t="s">
        <v>3883</v>
      </c>
      <c r="O444">
        <v>772</v>
      </c>
      <c r="P444">
        <v>48.932706218699998</v>
      </c>
      <c r="Q444">
        <v>2.4547663855000001</v>
      </c>
      <c r="R444" s="22"/>
      <c r="S444" s="22"/>
      <c r="T444" s="22"/>
      <c r="U444" s="24">
        <f>R444+S444/60+T444/3600</f>
        <v>0</v>
      </c>
      <c r="V444" s="28">
        <f>ABS(U444-P444)/P444</f>
        <v>1</v>
      </c>
      <c r="W444" s="22"/>
      <c r="X444" s="22"/>
      <c r="Y444" s="22"/>
      <c r="Z444" s="14">
        <f>W444+X444/60+Y444/3600</f>
        <v>0</v>
      </c>
      <c r="AA444" s="26">
        <f>ABS(Z444-Q444)/Q444</f>
        <v>1</v>
      </c>
      <c r="AB444" s="26"/>
      <c r="AC444" s="14">
        <f>P444</f>
        <v>48.932706218699998</v>
      </c>
      <c r="AD444" s="14">
        <f>Q444</f>
        <v>2.4547663855000001</v>
      </c>
    </row>
    <row r="445" spans="1:30" s="14" customFormat="1">
      <c r="A445" s="12">
        <v>12</v>
      </c>
      <c r="B445" s="12" t="s">
        <v>571</v>
      </c>
      <c r="C445" s="14" t="str">
        <f>VLOOKUP(B445,weights!A:B,2,FALSE)</f>
        <v>M</v>
      </c>
      <c r="D445" s="13">
        <v>443</v>
      </c>
      <c r="E445" s="14" t="s">
        <v>1336</v>
      </c>
      <c r="G445" s="14" t="s">
        <v>563</v>
      </c>
      <c r="H445" s="18"/>
      <c r="I445" s="18" t="s">
        <v>1797</v>
      </c>
      <c r="J445" s="14">
        <v>444</v>
      </c>
      <c r="K445" s="14">
        <f>VLOOKUP(B445,weights!A:G,5,FALSE)</f>
        <v>2.48</v>
      </c>
      <c r="L445" s="14">
        <f>VLOOKUP(B445,weights!A:G,6,FALSE)</f>
        <v>7</v>
      </c>
      <c r="M445" s="14">
        <f>VLOOKUP(B445,weights!A:G,7,FALSE)</f>
        <v>10</v>
      </c>
      <c r="N445" t="s">
        <v>4478</v>
      </c>
      <c r="O445">
        <v>495</v>
      </c>
      <c r="P445">
        <v>48.930739570299998</v>
      </c>
      <c r="Q445">
        <v>2.4257914241999998</v>
      </c>
      <c r="R445" s="22"/>
      <c r="S445" s="22"/>
      <c r="T445" s="22"/>
      <c r="U445" s="24">
        <f>R445+S445/60+T445/3600</f>
        <v>0</v>
      </c>
      <c r="V445" s="28">
        <f>ABS(U445-P445)/P445</f>
        <v>1</v>
      </c>
      <c r="W445" s="22"/>
      <c r="X445" s="22"/>
      <c r="Y445" s="22"/>
      <c r="Z445" s="14">
        <f>W445+X445/60+Y445/3600</f>
        <v>0</v>
      </c>
      <c r="AA445" s="26">
        <f>ABS(Z445-Q445)/Q445</f>
        <v>1</v>
      </c>
      <c r="AB445" s="26"/>
      <c r="AC445" s="14">
        <f>P445</f>
        <v>48.930739570299998</v>
      </c>
      <c r="AD445" s="14">
        <f>Q445</f>
        <v>2.4257914241999998</v>
      </c>
    </row>
    <row r="446" spans="1:30" s="14" customFormat="1">
      <c r="A446" s="12">
        <v>13</v>
      </c>
      <c r="B446" s="12" t="s">
        <v>571</v>
      </c>
      <c r="C446" s="14" t="str">
        <f>VLOOKUP(B446,weights!A:B,2,FALSE)</f>
        <v>M</v>
      </c>
      <c r="D446" s="13">
        <v>444</v>
      </c>
      <c r="E446" s="14" t="s">
        <v>1325</v>
      </c>
      <c r="H446" s="18"/>
      <c r="I446" s="18"/>
      <c r="J446" s="14">
        <v>445</v>
      </c>
      <c r="K446" s="14">
        <f>VLOOKUP(B446,weights!A:G,5,FALSE)</f>
        <v>2.48</v>
      </c>
      <c r="L446" s="14">
        <f>VLOOKUP(B446,weights!A:G,6,FALSE)</f>
        <v>7</v>
      </c>
      <c r="M446" s="14">
        <f>VLOOKUP(B446,weights!A:G,7,FALSE)</f>
        <v>10</v>
      </c>
      <c r="N446" t="s">
        <v>4385</v>
      </c>
      <c r="O446">
        <v>300</v>
      </c>
      <c r="P446">
        <v>48.924353878700003</v>
      </c>
      <c r="Q446">
        <v>2.3863882856199998</v>
      </c>
      <c r="R446" s="22"/>
      <c r="S446" s="22"/>
      <c r="T446" s="22"/>
      <c r="U446" s="24">
        <f>R446+S446/60+T446/3600</f>
        <v>0</v>
      </c>
      <c r="V446" s="28">
        <f>ABS(U446-P446)/P446</f>
        <v>1</v>
      </c>
      <c r="W446" s="22"/>
      <c r="X446" s="22"/>
      <c r="Y446" s="22"/>
      <c r="Z446" s="14">
        <f>W446+X446/60+Y446/3600</f>
        <v>0</v>
      </c>
      <c r="AA446" s="26">
        <f>ABS(Z446-Q446)/Q446</f>
        <v>1</v>
      </c>
      <c r="AB446" s="26"/>
      <c r="AC446" s="14">
        <f>P446</f>
        <v>48.924353878700003</v>
      </c>
      <c r="AD446" s="14">
        <f>Q446</f>
        <v>2.3863882856199998</v>
      </c>
    </row>
    <row r="447" spans="1:30" s="14" customFormat="1">
      <c r="A447" s="12">
        <v>14</v>
      </c>
      <c r="B447" s="12" t="s">
        <v>571</v>
      </c>
      <c r="C447" s="14" t="str">
        <f>VLOOKUP(B447,weights!A:B,2,FALSE)</f>
        <v>M</v>
      </c>
      <c r="D447" s="13">
        <v>445</v>
      </c>
      <c r="E447" s="14" t="s">
        <v>564</v>
      </c>
      <c r="H447" s="18"/>
      <c r="I447" s="18"/>
      <c r="J447" s="14">
        <v>446</v>
      </c>
      <c r="K447" s="14">
        <f>VLOOKUP(B447,weights!A:G,5,FALSE)</f>
        <v>2.48</v>
      </c>
      <c r="L447" s="14">
        <f>VLOOKUP(B447,weights!A:G,6,FALSE)</f>
        <v>7</v>
      </c>
      <c r="M447" s="14">
        <f>VLOOKUP(B447,weights!A:G,7,FALSE)</f>
        <v>10</v>
      </c>
      <c r="N447" t="s">
        <v>4432</v>
      </c>
      <c r="O447">
        <v>200</v>
      </c>
      <c r="P447">
        <v>48.918113803099999</v>
      </c>
      <c r="Q447">
        <v>2.3626655974699999</v>
      </c>
      <c r="R447" s="22"/>
      <c r="S447" s="22"/>
      <c r="T447" s="22"/>
      <c r="U447" s="24">
        <f>R447+S447/60+T447/3600</f>
        <v>0</v>
      </c>
      <c r="V447" s="28">
        <f>ABS(U447-P447)/P447</f>
        <v>1</v>
      </c>
      <c r="W447" s="22"/>
      <c r="X447" s="22"/>
      <c r="Y447" s="22"/>
      <c r="Z447" s="14">
        <f>W447+X447/60+Y447/3600</f>
        <v>0</v>
      </c>
      <c r="AA447" s="26">
        <f>ABS(Z447-Q447)/Q447</f>
        <v>1</v>
      </c>
      <c r="AB447" s="26"/>
      <c r="AC447" s="14">
        <f>P447</f>
        <v>48.918113803099999</v>
      </c>
      <c r="AD447" s="14">
        <f>Q447</f>
        <v>2.3626655974699999</v>
      </c>
    </row>
    <row r="448" spans="1:30" s="14" customFormat="1">
      <c r="A448" s="12">
        <v>15</v>
      </c>
      <c r="B448" s="12" t="s">
        <v>571</v>
      </c>
      <c r="C448" s="14" t="str">
        <f>VLOOKUP(B448,weights!A:B,2,FALSE)</f>
        <v>M</v>
      </c>
      <c r="D448" s="13">
        <v>446</v>
      </c>
      <c r="E448" s="14" t="s">
        <v>154</v>
      </c>
      <c r="G448" s="14" t="s">
        <v>1465</v>
      </c>
      <c r="H448" s="18" t="s">
        <v>1798</v>
      </c>
      <c r="I448" s="18" t="s">
        <v>1799</v>
      </c>
      <c r="J448" s="14">
        <v>447</v>
      </c>
      <c r="K448" s="14">
        <f>VLOOKUP(B448,weights!A:G,5,FALSE)</f>
        <v>2.48</v>
      </c>
      <c r="L448" s="14">
        <f>VLOOKUP(B448,weights!A:G,6,FALSE)</f>
        <v>7</v>
      </c>
      <c r="M448" s="14">
        <f>VLOOKUP(B448,weights!A:G,7,FALSE)</f>
        <v>10</v>
      </c>
      <c r="N448" t="s">
        <v>4109</v>
      </c>
      <c r="O448">
        <v>817</v>
      </c>
      <c r="P448">
        <v>48.880922007599999</v>
      </c>
      <c r="Q448">
        <v>2.3563285436600001</v>
      </c>
      <c r="R448" s="22"/>
      <c r="S448" s="22"/>
      <c r="T448" s="22"/>
      <c r="U448" s="24">
        <f>R448+S448/60+T448/3600</f>
        <v>0</v>
      </c>
      <c r="V448" s="28">
        <f>ABS(U448-P448)/P448</f>
        <v>1</v>
      </c>
      <c r="W448" s="22"/>
      <c r="X448" s="22"/>
      <c r="Y448" s="22"/>
      <c r="Z448" s="14">
        <f>W448+X448/60+Y448/3600</f>
        <v>0</v>
      </c>
      <c r="AA448" s="26">
        <f>ABS(Z448-Q448)/Q448</f>
        <v>1</v>
      </c>
      <c r="AB448" s="26"/>
      <c r="AC448" s="14">
        <f>P448</f>
        <v>48.880922007599999</v>
      </c>
      <c r="AD448" s="14">
        <f>Q448</f>
        <v>2.3563285436600001</v>
      </c>
    </row>
    <row r="449" spans="1:30" s="14" customFormat="1">
      <c r="A449" s="12">
        <v>16</v>
      </c>
      <c r="B449" s="12" t="s">
        <v>571</v>
      </c>
      <c r="C449" s="14" t="str">
        <f>VLOOKUP(B449,weights!A:B,2,FALSE)</f>
        <v>M</v>
      </c>
      <c r="D449" s="13">
        <v>447</v>
      </c>
      <c r="E449" s="14" t="s">
        <v>680</v>
      </c>
      <c r="G449" s="14" t="s">
        <v>565</v>
      </c>
      <c r="H449" s="18" t="s">
        <v>1800</v>
      </c>
      <c r="I449" s="18" t="s">
        <v>1577</v>
      </c>
      <c r="J449" s="14">
        <v>448</v>
      </c>
      <c r="K449" s="14">
        <f>VLOOKUP(B449,weights!A:G,5,FALSE)</f>
        <v>2.48</v>
      </c>
      <c r="L449" s="14">
        <f>VLOOKUP(B449,weights!A:G,6,FALSE)</f>
        <v>7</v>
      </c>
      <c r="M449" s="14">
        <f>VLOOKUP(B449,weights!A:G,7,FALSE)</f>
        <v>10</v>
      </c>
      <c r="N449" t="s">
        <v>3638</v>
      </c>
      <c r="O449">
        <v>616</v>
      </c>
      <c r="P449">
        <v>48.861822271900003</v>
      </c>
      <c r="Q449">
        <v>2.34701268861</v>
      </c>
      <c r="R449" s="22"/>
      <c r="S449" s="22"/>
      <c r="T449" s="22"/>
      <c r="U449" s="24">
        <f>R449+S449/60+T449/3600</f>
        <v>0</v>
      </c>
      <c r="V449" s="28">
        <f>ABS(U449-P449)/P449</f>
        <v>1</v>
      </c>
      <c r="W449" s="22"/>
      <c r="X449" s="22"/>
      <c r="Y449" s="22"/>
      <c r="Z449" s="14">
        <f>W449+X449/60+Y449/3600</f>
        <v>0</v>
      </c>
      <c r="AA449" s="26">
        <f>ABS(Z449-Q449)/Q449</f>
        <v>1</v>
      </c>
      <c r="AB449" s="26"/>
      <c r="AC449" s="14">
        <f>P449</f>
        <v>48.861822271900003</v>
      </c>
      <c r="AD449" s="14">
        <f>Q449</f>
        <v>2.34701268861</v>
      </c>
    </row>
    <row r="450" spans="1:30" s="14" customFormat="1">
      <c r="A450" s="12">
        <v>17</v>
      </c>
      <c r="B450" s="12" t="s">
        <v>571</v>
      </c>
      <c r="C450" s="14" t="str">
        <f>VLOOKUP(B450,weights!A:B,2,FALSE)</f>
        <v>M</v>
      </c>
      <c r="D450" s="13">
        <v>448</v>
      </c>
      <c r="E450" s="14" t="s">
        <v>604</v>
      </c>
      <c r="G450" s="14" t="s">
        <v>566</v>
      </c>
      <c r="H450" s="18" t="s">
        <v>1646</v>
      </c>
      <c r="I450" s="18" t="s">
        <v>1801</v>
      </c>
      <c r="J450" s="14">
        <v>449</v>
      </c>
      <c r="K450" s="14">
        <f>VLOOKUP(B450,weights!A:G,5,FALSE)</f>
        <v>2.48</v>
      </c>
      <c r="L450" s="14">
        <f>VLOOKUP(B450,weights!A:G,6,FALSE)</f>
        <v>7</v>
      </c>
      <c r="M450" s="14">
        <f>VLOOKUP(B450,weights!A:G,7,FALSE)</f>
        <v>10</v>
      </c>
      <c r="N450" t="s">
        <v>5600</v>
      </c>
      <c r="O450">
        <v>819</v>
      </c>
      <c r="P450">
        <v>48.8532518986</v>
      </c>
      <c r="Q450">
        <v>2.3446604801499999</v>
      </c>
      <c r="R450" s="22"/>
      <c r="S450" s="22"/>
      <c r="T450" s="22"/>
      <c r="U450" s="24">
        <f>R450+S450/60+T450/3600</f>
        <v>0</v>
      </c>
      <c r="V450" s="28">
        <f>ABS(U450-P450)/P450</f>
        <v>1</v>
      </c>
      <c r="W450" s="22"/>
      <c r="X450" s="22"/>
      <c r="Y450" s="22"/>
      <c r="Z450" s="14">
        <f>W450+X450/60+Y450/3600</f>
        <v>0</v>
      </c>
      <c r="AA450" s="26">
        <f>ABS(Z450-Q450)/Q450</f>
        <v>1</v>
      </c>
      <c r="AB450" s="26"/>
      <c r="AC450" s="14">
        <f>P450</f>
        <v>48.8532518986</v>
      </c>
      <c r="AD450" s="14">
        <f>Q450</f>
        <v>2.3446604801499999</v>
      </c>
    </row>
    <row r="451" spans="1:30" s="14" customFormat="1">
      <c r="A451" s="12">
        <v>18</v>
      </c>
      <c r="B451" s="12" t="s">
        <v>571</v>
      </c>
      <c r="C451" s="14" t="str">
        <f>VLOOKUP(B451,weights!A:B,2,FALSE)</f>
        <v>M</v>
      </c>
      <c r="D451" s="13">
        <v>449</v>
      </c>
      <c r="E451" s="14" t="s">
        <v>568</v>
      </c>
      <c r="H451" s="18"/>
      <c r="I451" s="18"/>
      <c r="J451" s="14">
        <v>450</v>
      </c>
      <c r="K451" s="14">
        <f>VLOOKUP(B451,weights!A:G,5,FALSE)</f>
        <v>2.48</v>
      </c>
      <c r="L451" s="14">
        <f>VLOOKUP(B451,weights!A:G,6,FALSE)</f>
        <v>7</v>
      </c>
      <c r="M451" s="14">
        <f>VLOOKUP(B451,weights!A:G,7,FALSE)</f>
        <v>10</v>
      </c>
      <c r="N451" t="s">
        <v>4678</v>
      </c>
      <c r="O451">
        <v>433</v>
      </c>
      <c r="P451">
        <v>48.845743069599997</v>
      </c>
      <c r="Q451">
        <v>2.3399279983999999</v>
      </c>
      <c r="R451" s="22"/>
      <c r="S451" s="22"/>
      <c r="T451" s="22"/>
      <c r="U451" s="24">
        <f>R451+S451/60+T451/3600</f>
        <v>0</v>
      </c>
      <c r="V451" s="28">
        <f>ABS(U451-P451)/P451</f>
        <v>1</v>
      </c>
      <c r="W451" s="22"/>
      <c r="X451" s="22"/>
      <c r="Y451" s="22"/>
      <c r="Z451" s="14">
        <f>W451+X451/60+Y451/3600</f>
        <v>0</v>
      </c>
      <c r="AA451" s="26">
        <f>ABS(Z451-Q451)/Q451</f>
        <v>1</v>
      </c>
      <c r="AB451" s="26"/>
      <c r="AC451" s="14">
        <f>P451</f>
        <v>48.845743069599997</v>
      </c>
      <c r="AD451" s="14">
        <f>Q451</f>
        <v>2.3399279983999999</v>
      </c>
    </row>
    <row r="452" spans="1:30" s="14" customFormat="1">
      <c r="A452" s="12">
        <v>19</v>
      </c>
      <c r="B452" s="12" t="s">
        <v>571</v>
      </c>
      <c r="C452" s="14" t="str">
        <f>VLOOKUP(B452,weights!A:B,2,FALSE)</f>
        <v>M</v>
      </c>
      <c r="D452" s="13">
        <v>450</v>
      </c>
      <c r="E452" s="14" t="s">
        <v>1392</v>
      </c>
      <c r="H452" s="18"/>
      <c r="I452" s="18"/>
      <c r="J452" s="14">
        <v>451</v>
      </c>
      <c r="K452" s="14">
        <f>VLOOKUP(B452,weights!A:G,5,FALSE)</f>
        <v>2.48</v>
      </c>
      <c r="L452" s="14">
        <f>VLOOKUP(B452,weights!A:G,6,FALSE)</f>
        <v>7</v>
      </c>
      <c r="M452" s="14">
        <f>VLOOKUP(B452,weights!A:G,7,FALSE)</f>
        <v>10</v>
      </c>
      <c r="N452" t="s">
        <v>5271</v>
      </c>
      <c r="O452">
        <v>593</v>
      </c>
      <c r="P452">
        <v>48.8400337892</v>
      </c>
      <c r="Q452">
        <v>2.33709643086</v>
      </c>
      <c r="R452" s="22"/>
      <c r="S452" s="22"/>
      <c r="T452" s="22"/>
      <c r="U452" s="24">
        <f>R452+S452/60+T452/3600</f>
        <v>0</v>
      </c>
      <c r="V452" s="28">
        <f>ABS(U452-P452)/P452</f>
        <v>1</v>
      </c>
      <c r="W452" s="22"/>
      <c r="X452" s="22"/>
      <c r="Y452" s="22"/>
      <c r="Z452" s="14">
        <f>W452+X452/60+Y452/3600</f>
        <v>0</v>
      </c>
      <c r="AA452" s="26">
        <f>ABS(Z452-Q452)/Q452</f>
        <v>1</v>
      </c>
      <c r="AB452" s="26"/>
      <c r="AC452" s="14">
        <f>P452</f>
        <v>48.8400337892</v>
      </c>
      <c r="AD452" s="14">
        <f>Q452</f>
        <v>2.33709643086</v>
      </c>
    </row>
    <row r="453" spans="1:30" s="14" customFormat="1">
      <c r="A453" s="12">
        <v>20</v>
      </c>
      <c r="B453" s="12" t="s">
        <v>571</v>
      </c>
      <c r="C453" s="14" t="str">
        <f>VLOOKUP(B453,weights!A:B,2,FALSE)</f>
        <v>M</v>
      </c>
      <c r="D453" s="13">
        <v>451</v>
      </c>
      <c r="E453" s="14" t="s">
        <v>185</v>
      </c>
      <c r="G453" s="14" t="s">
        <v>567</v>
      </c>
      <c r="H453" s="18"/>
      <c r="I453" s="18" t="s">
        <v>1802</v>
      </c>
      <c r="J453" s="14">
        <v>452</v>
      </c>
      <c r="K453" s="14">
        <f>VLOOKUP(B453,weights!A:G,5,FALSE)</f>
        <v>2.48</v>
      </c>
      <c r="L453" s="14">
        <f>VLOOKUP(B453,weights!A:G,6,FALSE)</f>
        <v>7</v>
      </c>
      <c r="M453" s="14">
        <f>VLOOKUP(B453,weights!A:G,7,FALSE)</f>
        <v>10</v>
      </c>
      <c r="N453" t="s">
        <v>3846</v>
      </c>
      <c r="O453">
        <v>478</v>
      </c>
      <c r="P453">
        <v>48.834292980500003</v>
      </c>
      <c r="Q453">
        <v>2.3328523099599998</v>
      </c>
      <c r="R453" s="22"/>
      <c r="S453" s="22"/>
      <c r="T453" s="22"/>
      <c r="U453" s="24">
        <f>R453+S453/60+T453/3600</f>
        <v>0</v>
      </c>
      <c r="V453" s="28">
        <f>ABS(U453-P453)/P453</f>
        <v>1</v>
      </c>
      <c r="W453" s="22"/>
      <c r="X453" s="22"/>
      <c r="Y453" s="22"/>
      <c r="Z453" s="14">
        <f>W453+X453/60+Y453/3600</f>
        <v>0</v>
      </c>
      <c r="AA453" s="26">
        <f>ABS(Z453-Q453)/Q453</f>
        <v>1</v>
      </c>
      <c r="AB453" s="26"/>
      <c r="AC453" s="14">
        <f>P453</f>
        <v>48.834292980500003</v>
      </c>
      <c r="AD453" s="14">
        <f>Q453</f>
        <v>2.3328523099599998</v>
      </c>
    </row>
    <row r="454" spans="1:30" s="14" customFormat="1">
      <c r="A454" s="12">
        <v>21</v>
      </c>
      <c r="B454" s="12" t="s">
        <v>571</v>
      </c>
      <c r="C454" s="14" t="str">
        <f>VLOOKUP(B454,weights!A:B,2,FALSE)</f>
        <v>M</v>
      </c>
      <c r="D454" s="13">
        <v>452</v>
      </c>
      <c r="E454" s="14" t="s">
        <v>1267</v>
      </c>
      <c r="G454" s="14" t="s">
        <v>198</v>
      </c>
      <c r="H454" s="18"/>
      <c r="I454" s="18" t="s">
        <v>1803</v>
      </c>
      <c r="J454" s="14">
        <v>453</v>
      </c>
      <c r="K454" s="14">
        <f>VLOOKUP(B454,weights!A:G,5,FALSE)</f>
        <v>2.48</v>
      </c>
      <c r="L454" s="14">
        <f>VLOOKUP(B454,weights!A:G,6,FALSE)</f>
        <v>7</v>
      </c>
      <c r="M454" s="14">
        <f>VLOOKUP(B454,weights!A:G,7,FALSE)</f>
        <v>10</v>
      </c>
      <c r="N454" t="s">
        <v>3702</v>
      </c>
      <c r="O454">
        <v>481</v>
      </c>
      <c r="P454">
        <v>48.8202676123</v>
      </c>
      <c r="Q454">
        <v>2.3389751795799998</v>
      </c>
      <c r="R454" s="22"/>
      <c r="S454" s="22"/>
      <c r="T454" s="22"/>
      <c r="U454" s="24">
        <f>R454+S454/60+T454/3600</f>
        <v>0</v>
      </c>
      <c r="V454" s="28">
        <f>ABS(U454-P454)/P454</f>
        <v>1</v>
      </c>
      <c r="W454" s="22"/>
      <c r="X454" s="22"/>
      <c r="Y454" s="22"/>
      <c r="Z454" s="14">
        <f>W454+X454/60+Y454/3600</f>
        <v>0</v>
      </c>
      <c r="AA454" s="26">
        <f>ABS(Z454-Q454)/Q454</f>
        <v>1</v>
      </c>
      <c r="AB454" s="26"/>
      <c r="AC454" s="14">
        <f>P454</f>
        <v>48.8202676123</v>
      </c>
      <c r="AD454" s="14">
        <f>Q454</f>
        <v>2.3389751795799998</v>
      </c>
    </row>
    <row r="455" spans="1:30" s="14" customFormat="1">
      <c r="A455" s="12">
        <v>22</v>
      </c>
      <c r="B455" s="12" t="s">
        <v>571</v>
      </c>
      <c r="C455" s="14" t="str">
        <f>VLOOKUP(B455,weights!A:B,2,FALSE)</f>
        <v>M</v>
      </c>
      <c r="D455" s="13">
        <v>453</v>
      </c>
      <c r="E455" s="14" t="s">
        <v>1297</v>
      </c>
      <c r="H455" s="18"/>
      <c r="I455" s="18"/>
      <c r="J455" s="14">
        <v>454</v>
      </c>
      <c r="K455" s="14">
        <f>VLOOKUP(B455,weights!A:G,5,FALSE)</f>
        <v>2.48</v>
      </c>
      <c r="L455" s="14">
        <f>VLOOKUP(B455,weights!A:G,6,FALSE)</f>
        <v>7</v>
      </c>
      <c r="M455" s="14">
        <f>VLOOKUP(B455,weights!A:G,7,FALSE)</f>
        <v>10</v>
      </c>
      <c r="N455" t="s">
        <v>4136</v>
      </c>
      <c r="O455">
        <v>681</v>
      </c>
      <c r="P455">
        <v>48.815229932000001</v>
      </c>
      <c r="Q455">
        <v>2.34089113384</v>
      </c>
      <c r="R455" s="22"/>
      <c r="S455" s="22"/>
      <c r="T455" s="22"/>
      <c r="U455" s="24">
        <f>R455+S455/60+T455/3600</f>
        <v>0</v>
      </c>
      <c r="V455" s="28">
        <f>ABS(U455-P455)/P455</f>
        <v>1</v>
      </c>
      <c r="W455" s="22"/>
      <c r="X455" s="22"/>
      <c r="Y455" s="22"/>
      <c r="Z455" s="14">
        <f>W455+X455/60+Y455/3600</f>
        <v>0</v>
      </c>
      <c r="AA455" s="26">
        <f>ABS(Z455-Q455)/Q455</f>
        <v>1</v>
      </c>
      <c r="AB455" s="26"/>
      <c r="AC455" s="14">
        <f>P455</f>
        <v>48.815229932000001</v>
      </c>
      <c r="AD455" s="14">
        <f>Q455</f>
        <v>2.34089113384</v>
      </c>
    </row>
    <row r="456" spans="1:30" s="14" customFormat="1">
      <c r="A456" s="12">
        <v>23</v>
      </c>
      <c r="B456" s="12" t="s">
        <v>571</v>
      </c>
      <c r="C456" s="14" t="str">
        <f>VLOOKUP(B456,weights!A:B,2,FALSE)</f>
        <v>M</v>
      </c>
      <c r="D456" s="13">
        <v>454</v>
      </c>
      <c r="E456" s="14" t="s">
        <v>1334</v>
      </c>
      <c r="H456" s="18"/>
      <c r="I456" s="18"/>
      <c r="J456" s="14">
        <v>455</v>
      </c>
      <c r="K456" s="14">
        <f>VLOOKUP(B456,weights!A:G,5,FALSE)</f>
        <v>2.48</v>
      </c>
      <c r="L456" s="14">
        <f>VLOOKUP(B456,weights!A:G,6,FALSE)</f>
        <v>7</v>
      </c>
      <c r="M456" s="14">
        <f>VLOOKUP(B456,weights!A:G,7,FALSE)</f>
        <v>10</v>
      </c>
      <c r="N456" t="s">
        <v>4466</v>
      </c>
      <c r="O456">
        <v>792</v>
      </c>
      <c r="P456">
        <v>48.808296589500003</v>
      </c>
      <c r="Q456">
        <v>2.3343543109899998</v>
      </c>
      <c r="R456" s="22"/>
      <c r="S456" s="22"/>
      <c r="T456" s="22"/>
      <c r="U456" s="24">
        <f>R456+S456/60+T456/3600</f>
        <v>0</v>
      </c>
      <c r="V456" s="28">
        <f>ABS(U456-P456)/P456</f>
        <v>1</v>
      </c>
      <c r="W456" s="22"/>
      <c r="X456" s="22"/>
      <c r="Y456" s="22"/>
      <c r="Z456" s="14">
        <f>W456+X456/60+Y456/3600</f>
        <v>0</v>
      </c>
      <c r="AA456" s="26">
        <f>ABS(Z456-Q456)/Q456</f>
        <v>1</v>
      </c>
      <c r="AB456" s="26"/>
      <c r="AC456" s="14">
        <f>P456</f>
        <v>48.808296589500003</v>
      </c>
      <c r="AD456" s="14">
        <f>Q456</f>
        <v>2.3343543109899998</v>
      </c>
    </row>
    <row r="457" spans="1:30" s="14" customFormat="1">
      <c r="A457" s="12">
        <v>24</v>
      </c>
      <c r="B457" s="12" t="s">
        <v>571</v>
      </c>
      <c r="C457" s="14" t="str">
        <f>VLOOKUP(B457,weights!A:B,2,FALSE)</f>
        <v>M</v>
      </c>
      <c r="D457" s="13">
        <v>455</v>
      </c>
      <c r="E457" s="14" t="s">
        <v>1242</v>
      </c>
      <c r="H457" s="18"/>
      <c r="I457" s="18"/>
      <c r="J457" s="14">
        <v>456</v>
      </c>
      <c r="K457" s="14">
        <f>VLOOKUP(B457,weights!A:G,5,FALSE)</f>
        <v>2.48</v>
      </c>
      <c r="L457" s="14">
        <f>VLOOKUP(B457,weights!A:G,6,FALSE)</f>
        <v>7</v>
      </c>
      <c r="M457" s="14">
        <f>VLOOKUP(B457,weights!A:G,7,FALSE)</f>
        <v>10</v>
      </c>
      <c r="N457" s="20" t="s">
        <v>3189</v>
      </c>
      <c r="O457" s="20">
        <v>615</v>
      </c>
      <c r="P457" s="20">
        <v>48.798892500999997</v>
      </c>
      <c r="Q457" s="20">
        <v>2.3281369230500002</v>
      </c>
      <c r="R457" s="22"/>
      <c r="S457" s="22"/>
      <c r="T457" s="22"/>
      <c r="U457" s="24">
        <f>R457+S457/60+T457/3600</f>
        <v>0</v>
      </c>
      <c r="V457" s="28">
        <f>ABS(U457-P457)/P457</f>
        <v>1</v>
      </c>
      <c r="W457" s="22"/>
      <c r="X457" s="22"/>
      <c r="Y457" s="22"/>
      <c r="Z457" s="14">
        <f>W457+X457/60+Y457/3600</f>
        <v>0</v>
      </c>
      <c r="AA457" s="26">
        <f>ABS(Z457-Q457)/Q457</f>
        <v>1</v>
      </c>
      <c r="AB457" s="26"/>
      <c r="AC457" s="14">
        <f>P457</f>
        <v>48.798892500999997</v>
      </c>
      <c r="AD457" s="14">
        <f>Q457</f>
        <v>2.3281369230500002</v>
      </c>
    </row>
    <row r="458" spans="1:30" s="14" customFormat="1">
      <c r="A458" s="12">
        <v>25</v>
      </c>
      <c r="B458" s="12" t="s">
        <v>571</v>
      </c>
      <c r="C458" s="14" t="str">
        <f>VLOOKUP(B458,weights!A:B,2,FALSE)</f>
        <v>M</v>
      </c>
      <c r="D458" s="13">
        <v>456</v>
      </c>
      <c r="E458" s="14" t="s">
        <v>1247</v>
      </c>
      <c r="H458" s="18"/>
      <c r="I458" s="18"/>
      <c r="J458" s="14">
        <v>457</v>
      </c>
      <c r="K458" s="14">
        <f>VLOOKUP(B458,weights!A:G,5,FALSE)</f>
        <v>2.48</v>
      </c>
      <c r="L458" s="14">
        <f>VLOOKUP(B458,weights!A:G,6,FALSE)</f>
        <v>7</v>
      </c>
      <c r="M458" s="14">
        <f>VLOOKUP(B458,weights!A:G,7,FALSE)</f>
        <v>10</v>
      </c>
      <c r="N458" s="20" t="s">
        <v>3266</v>
      </c>
      <c r="O458" s="20">
        <v>527</v>
      </c>
      <c r="P458" s="20">
        <v>48.793336296299998</v>
      </c>
      <c r="Q458" s="20">
        <v>2.32220163639</v>
      </c>
      <c r="R458" s="22"/>
      <c r="S458" s="22"/>
      <c r="T458" s="22"/>
      <c r="U458" s="24">
        <f>R458+S458/60+T458/3600</f>
        <v>0</v>
      </c>
      <c r="V458" s="28">
        <f>ABS(U458-P458)/P458</f>
        <v>1</v>
      </c>
      <c r="W458" s="22"/>
      <c r="X458" s="22"/>
      <c r="Y458" s="22"/>
      <c r="Z458" s="14">
        <f>W458+X458/60+Y458/3600</f>
        <v>0</v>
      </c>
      <c r="AA458" s="26">
        <f>ABS(Z458-Q458)/Q458</f>
        <v>1</v>
      </c>
      <c r="AB458" s="26"/>
      <c r="AC458" s="14">
        <f>P458</f>
        <v>48.793336296299998</v>
      </c>
      <c r="AD458" s="14">
        <f>Q458</f>
        <v>2.32220163639</v>
      </c>
    </row>
    <row r="459" spans="1:30" s="14" customFormat="1">
      <c r="A459" s="12">
        <v>26</v>
      </c>
      <c r="B459" s="12" t="s">
        <v>571</v>
      </c>
      <c r="C459" s="14" t="str">
        <f>VLOOKUP(B459,weights!A:B,2,FALSE)</f>
        <v>M</v>
      </c>
      <c r="D459" s="13">
        <v>457</v>
      </c>
      <c r="E459" s="14" t="s">
        <v>1252</v>
      </c>
      <c r="H459" s="18"/>
      <c r="I459" s="18"/>
      <c r="J459" s="14">
        <v>458.46100000000001</v>
      </c>
      <c r="K459" s="14">
        <f>VLOOKUP(B459,weights!A:G,5,FALSE)</f>
        <v>2.48</v>
      </c>
      <c r="L459" s="14">
        <f>VLOOKUP(B459,weights!A:G,6,FALSE)</f>
        <v>7</v>
      </c>
      <c r="M459" s="14">
        <f>VLOOKUP(B459,weights!A:G,7,FALSE)</f>
        <v>10</v>
      </c>
      <c r="N459" s="20" t="s">
        <v>3426</v>
      </c>
      <c r="O459" s="20">
        <v>679</v>
      </c>
      <c r="P459" s="20">
        <v>48.780313796400002</v>
      </c>
      <c r="Q459" s="20">
        <v>2.3123077168899999</v>
      </c>
      <c r="R459" s="22"/>
      <c r="S459" s="22"/>
      <c r="T459" s="22"/>
      <c r="U459" s="24">
        <f>R459+S459/60+T459/3600</f>
        <v>0</v>
      </c>
      <c r="V459" s="28">
        <f>ABS(U459-P459)/P459</f>
        <v>1</v>
      </c>
      <c r="W459" s="22"/>
      <c r="X459" s="22"/>
      <c r="Y459" s="22"/>
      <c r="Z459" s="14">
        <f>W459+X459/60+Y459/3600</f>
        <v>0</v>
      </c>
      <c r="AA459" s="26">
        <f>ABS(Z459-Q459)/Q459</f>
        <v>1</v>
      </c>
      <c r="AB459" s="26"/>
      <c r="AC459" s="14">
        <f>P459</f>
        <v>48.780313796400002</v>
      </c>
      <c r="AD459" s="14">
        <f>Q459</f>
        <v>2.3123077168899999</v>
      </c>
    </row>
    <row r="460" spans="1:30" s="14" customFormat="1">
      <c r="A460" s="12">
        <v>27</v>
      </c>
      <c r="B460" s="12" t="s">
        <v>571</v>
      </c>
      <c r="C460" s="14" t="str">
        <f>VLOOKUP(B460,weights!A:B,2,FALSE)</f>
        <v>M</v>
      </c>
      <c r="D460" s="13">
        <v>458</v>
      </c>
      <c r="E460" s="14" t="s">
        <v>1414</v>
      </c>
      <c r="H460" s="18"/>
      <c r="I460" s="18"/>
      <c r="J460" s="14">
        <v>459</v>
      </c>
      <c r="K460" s="14">
        <f>VLOOKUP(B460,weights!A:G,5,FALSE)</f>
        <v>2.48</v>
      </c>
      <c r="L460" s="14">
        <f>VLOOKUP(B460,weights!A:G,6,FALSE)</f>
        <v>7</v>
      </c>
      <c r="M460" s="14">
        <f>VLOOKUP(B460,weights!A:G,7,FALSE)</f>
        <v>10</v>
      </c>
      <c r="N460" t="s">
        <v>5670</v>
      </c>
      <c r="O460">
        <v>678</v>
      </c>
      <c r="P460">
        <v>48.7813567213</v>
      </c>
      <c r="Q460">
        <v>2.29764767643</v>
      </c>
      <c r="R460" s="22"/>
      <c r="S460" s="22"/>
      <c r="T460" s="22"/>
      <c r="U460" s="24">
        <f>R460+S460/60+T460/3600</f>
        <v>0</v>
      </c>
      <c r="V460" s="28">
        <f>ABS(U460-P460)/P460</f>
        <v>1</v>
      </c>
      <c r="W460" s="22"/>
      <c r="X460" s="22"/>
      <c r="Y460" s="22"/>
      <c r="Z460" s="14">
        <f>W460+X460/60+Y460/3600</f>
        <v>0</v>
      </c>
      <c r="AA460" s="26">
        <f>ABS(Z460-Q460)/Q460</f>
        <v>1</v>
      </c>
      <c r="AB460" s="26"/>
      <c r="AC460" s="14">
        <f>P460</f>
        <v>48.7813567213</v>
      </c>
      <c r="AD460" s="14">
        <f>Q460</f>
        <v>2.29764767643</v>
      </c>
    </row>
    <row r="461" spans="1:30" s="14" customFormat="1">
      <c r="A461" s="12">
        <v>28</v>
      </c>
      <c r="B461" s="12" t="s">
        <v>571</v>
      </c>
      <c r="C461" s="14" t="str">
        <f>VLOOKUP(B461,weights!A:B,2,FALSE)</f>
        <v>M</v>
      </c>
      <c r="D461" s="13">
        <v>459</v>
      </c>
      <c r="E461" s="14" t="s">
        <v>932</v>
      </c>
      <c r="H461" s="18"/>
      <c r="I461" s="18"/>
      <c r="J461" s="14">
        <v>460</v>
      </c>
      <c r="K461" s="14">
        <f>VLOOKUP(B461,weights!A:G,5,FALSE)</f>
        <v>2.48</v>
      </c>
      <c r="L461" s="14">
        <f>VLOOKUP(B461,weights!A:G,6,FALSE)</f>
        <v>7</v>
      </c>
      <c r="M461" s="14">
        <f>VLOOKUP(B461,weights!A:G,7,FALSE)</f>
        <v>10</v>
      </c>
      <c r="N461" t="s">
        <v>4041</v>
      </c>
      <c r="O461">
        <v>432</v>
      </c>
      <c r="P461">
        <v>48.787614679999997</v>
      </c>
      <c r="Q461">
        <v>2.2924929764700002</v>
      </c>
      <c r="R461" s="22"/>
      <c r="S461" s="22"/>
      <c r="T461" s="22"/>
      <c r="U461" s="24">
        <f>R461+S461/60+T461/3600</f>
        <v>0</v>
      </c>
      <c r="V461" s="28">
        <f>ABS(U461-P461)/P461</f>
        <v>1</v>
      </c>
      <c r="W461" s="22"/>
      <c r="X461" s="22"/>
      <c r="Y461" s="22"/>
      <c r="Z461" s="14">
        <f>W461+X461/60+Y461/3600</f>
        <v>0</v>
      </c>
      <c r="AA461" s="26">
        <f>ABS(Z461-Q461)/Q461</f>
        <v>1</v>
      </c>
      <c r="AB461" s="26"/>
      <c r="AC461" s="14">
        <f>P461</f>
        <v>48.787614679999997</v>
      </c>
      <c r="AD461" s="14">
        <f>Q461</f>
        <v>2.2924929764700002</v>
      </c>
    </row>
    <row r="462" spans="1:30" s="14" customFormat="1">
      <c r="A462" s="12">
        <v>29</v>
      </c>
      <c r="B462" s="12" t="s">
        <v>571</v>
      </c>
      <c r="C462" s="14" t="str">
        <f>VLOOKUP(B462,weights!A:B,2,FALSE)</f>
        <v>M</v>
      </c>
      <c r="D462" s="13">
        <v>460</v>
      </c>
      <c r="E462" s="14" t="s">
        <v>1404</v>
      </c>
      <c r="H462" s="18"/>
      <c r="I462" s="18"/>
      <c r="J462" s="14">
        <v>461</v>
      </c>
      <c r="K462" s="14">
        <f>VLOOKUP(B462,weights!A:G,5,FALSE)</f>
        <v>2.48</v>
      </c>
      <c r="L462" s="14">
        <f>VLOOKUP(B462,weights!A:G,6,FALSE)</f>
        <v>7</v>
      </c>
      <c r="M462" s="14">
        <f>VLOOKUP(B462,weights!A:G,7,FALSE)</f>
        <v>10</v>
      </c>
      <c r="N462" t="s">
        <v>5462</v>
      </c>
      <c r="O462">
        <v>614</v>
      </c>
      <c r="P462">
        <v>48.780237297100001</v>
      </c>
      <c r="Q462">
        <v>2.2814305954399998</v>
      </c>
      <c r="R462" s="22"/>
      <c r="S462" s="22"/>
      <c r="T462" s="22"/>
      <c r="U462" s="24">
        <f>R462+S462/60+T462/3600</f>
        <v>0</v>
      </c>
      <c r="V462" s="28">
        <f>ABS(U462-P462)/P462</f>
        <v>1</v>
      </c>
      <c r="W462" s="22"/>
      <c r="X462" s="22"/>
      <c r="Y462" s="22"/>
      <c r="Z462" s="14">
        <f>W462+X462/60+Y462/3600</f>
        <v>0</v>
      </c>
      <c r="AA462" s="26">
        <f>ABS(Z462-Q462)/Q462</f>
        <v>1</v>
      </c>
      <c r="AB462" s="26"/>
      <c r="AC462" s="14">
        <f>P462</f>
        <v>48.780237297100001</v>
      </c>
      <c r="AD462" s="14">
        <f>Q462</f>
        <v>2.2814305954399998</v>
      </c>
    </row>
    <row r="463" spans="1:30" s="14" customFormat="1">
      <c r="A463" s="12">
        <v>30</v>
      </c>
      <c r="B463" s="12" t="s">
        <v>571</v>
      </c>
      <c r="C463" s="14" t="str">
        <f>VLOOKUP(B463,weights!A:B,2,FALSE)</f>
        <v>M</v>
      </c>
      <c r="D463" s="13">
        <v>461</v>
      </c>
      <c r="E463" s="14" t="s">
        <v>1378</v>
      </c>
      <c r="H463" s="18"/>
      <c r="I463" s="18"/>
      <c r="J463" s="14">
        <v>462</v>
      </c>
      <c r="K463" s="14">
        <f>VLOOKUP(B463,weights!A:G,5,FALSE)</f>
        <v>2.48</v>
      </c>
      <c r="L463" s="14">
        <f>VLOOKUP(B463,weights!A:G,6,FALSE)</f>
        <v>7</v>
      </c>
      <c r="M463" s="14">
        <f>VLOOKUP(B463,weights!A:G,7,FALSE)</f>
        <v>10</v>
      </c>
      <c r="N463" t="s">
        <v>5110</v>
      </c>
      <c r="O463">
        <v>525</v>
      </c>
      <c r="P463">
        <v>48.770721989000002</v>
      </c>
      <c r="Q463">
        <v>2.3102054519299999</v>
      </c>
      <c r="R463" s="22"/>
      <c r="S463" s="22"/>
      <c r="T463" s="22"/>
      <c r="U463" s="24">
        <f>R463+S463/60+T463/3600</f>
        <v>0</v>
      </c>
      <c r="V463" s="28">
        <f>ABS(U463-P463)/P463</f>
        <v>1</v>
      </c>
      <c r="W463" s="22"/>
      <c r="X463" s="22"/>
      <c r="Y463" s="22"/>
      <c r="Z463" s="14">
        <f>W463+X463/60+Y463/3600</f>
        <v>0</v>
      </c>
      <c r="AA463" s="26">
        <f>ABS(Z463-Q463)/Q463</f>
        <v>1</v>
      </c>
      <c r="AB463" s="26"/>
      <c r="AC463" s="14">
        <f>P463</f>
        <v>48.770721989000002</v>
      </c>
      <c r="AD463" s="14">
        <f>Q463</f>
        <v>2.3102054519299999</v>
      </c>
    </row>
    <row r="464" spans="1:30" s="14" customFormat="1">
      <c r="A464" s="12">
        <v>31</v>
      </c>
      <c r="B464" s="12" t="s">
        <v>571</v>
      </c>
      <c r="C464" s="14" t="str">
        <f>VLOOKUP(B464,weights!A:B,2,FALSE)</f>
        <v>M</v>
      </c>
      <c r="D464" s="13">
        <v>462</v>
      </c>
      <c r="E464" s="14" t="s">
        <v>560</v>
      </c>
      <c r="H464" s="18"/>
      <c r="I464" s="18"/>
      <c r="J464" s="14">
        <v>463</v>
      </c>
      <c r="K464" s="14">
        <f>VLOOKUP(B464,weights!A:G,5,FALSE)</f>
        <v>2.48</v>
      </c>
      <c r="L464" s="14">
        <f>VLOOKUP(B464,weights!A:G,6,FALSE)</f>
        <v>7</v>
      </c>
      <c r="M464" s="14">
        <f>VLOOKUP(B464,weights!A:G,7,FALSE)</f>
        <v>10</v>
      </c>
      <c r="N464" t="s">
        <v>4388</v>
      </c>
      <c r="O464">
        <v>434</v>
      </c>
      <c r="P464">
        <v>48.761693690400001</v>
      </c>
      <c r="Q464">
        <v>2.3042273475499999</v>
      </c>
      <c r="R464" s="22"/>
      <c r="S464" s="22"/>
      <c r="T464" s="22"/>
      <c r="U464" s="24">
        <f>R464+S464/60+T464/3600</f>
        <v>0</v>
      </c>
      <c r="V464" s="28">
        <f>ABS(U464-P464)/P464</f>
        <v>1</v>
      </c>
      <c r="W464" s="22"/>
      <c r="X464" s="22"/>
      <c r="Y464" s="22"/>
      <c r="Z464" s="14">
        <f>W464+X464/60+Y464/3600</f>
        <v>0</v>
      </c>
      <c r="AA464" s="26">
        <f>ABS(Z464-Q464)/Q464</f>
        <v>1</v>
      </c>
      <c r="AB464" s="26"/>
      <c r="AC464" s="14">
        <f>P464</f>
        <v>48.761693690400001</v>
      </c>
      <c r="AD464" s="14">
        <f>Q464</f>
        <v>2.3042273475499999</v>
      </c>
    </row>
    <row r="465" spans="1:30" s="14" customFormat="1">
      <c r="A465" s="12">
        <v>32</v>
      </c>
      <c r="B465" s="12" t="s">
        <v>571</v>
      </c>
      <c r="C465" s="14" t="str">
        <f>VLOOKUP(B465,weights!A:B,2,FALSE)</f>
        <v>M</v>
      </c>
      <c r="D465" s="13">
        <v>463</v>
      </c>
      <c r="E465" s="14" t="s">
        <v>1241</v>
      </c>
      <c r="H465" s="18"/>
      <c r="I465" s="18"/>
      <c r="J465" s="14">
        <v>464</v>
      </c>
      <c r="K465" s="14">
        <f>VLOOKUP(B465,weights!A:G,5,FALSE)</f>
        <v>2.48</v>
      </c>
      <c r="L465" s="14">
        <f>VLOOKUP(B465,weights!A:G,6,FALSE)</f>
        <v>7</v>
      </c>
      <c r="M465" s="14">
        <f>VLOOKUP(B465,weights!A:G,7,FALSE)</f>
        <v>10</v>
      </c>
      <c r="N465" s="20" t="s">
        <v>3182</v>
      </c>
      <c r="O465" s="20">
        <v>584</v>
      </c>
      <c r="P465" s="20">
        <v>48.754946525500003</v>
      </c>
      <c r="Q465" s="20">
        <v>2.3009868543700001</v>
      </c>
      <c r="R465" s="22"/>
      <c r="S465" s="22"/>
      <c r="T465" s="22"/>
      <c r="U465" s="24">
        <f>R465+S465/60+T465/3600</f>
        <v>0</v>
      </c>
      <c r="V465" s="28">
        <f>ABS(U465-P465)/P465</f>
        <v>1</v>
      </c>
      <c r="W465" s="22"/>
      <c r="X465" s="22"/>
      <c r="Y465" s="22"/>
      <c r="Z465" s="14">
        <f>W465+X465/60+Y465/3600</f>
        <v>0</v>
      </c>
      <c r="AA465" s="26">
        <f>ABS(Z465-Q465)/Q465</f>
        <v>1</v>
      </c>
      <c r="AB465" s="26"/>
      <c r="AC465" s="14">
        <f>P465</f>
        <v>48.754946525500003</v>
      </c>
      <c r="AD465" s="14">
        <f>Q465</f>
        <v>2.3009868543700001</v>
      </c>
    </row>
    <row r="466" spans="1:30" s="14" customFormat="1">
      <c r="A466" s="12">
        <v>33</v>
      </c>
      <c r="B466" s="12" t="s">
        <v>571</v>
      </c>
      <c r="C466" s="14" t="str">
        <f>VLOOKUP(B466,weights!A:B,2,FALSE)</f>
        <v>M</v>
      </c>
      <c r="D466" s="13">
        <v>464</v>
      </c>
      <c r="E466" s="14" t="s">
        <v>1290</v>
      </c>
      <c r="H466" s="18"/>
      <c r="I466" s="18"/>
      <c r="J466" s="14">
        <v>465</v>
      </c>
      <c r="K466" s="14">
        <f>VLOOKUP(B466,weights!A:G,5,FALSE)</f>
        <v>2.48</v>
      </c>
      <c r="L466" s="14">
        <f>VLOOKUP(B466,weights!A:G,6,FALSE)</f>
        <v>7</v>
      </c>
      <c r="M466" s="14">
        <f>VLOOKUP(B466,weights!A:G,7,FALSE)</f>
        <v>10</v>
      </c>
      <c r="N466" t="s">
        <v>4035</v>
      </c>
      <c r="O466">
        <v>435</v>
      </c>
      <c r="P466">
        <v>48.743373405699998</v>
      </c>
      <c r="Q466">
        <v>2.2963931629299998</v>
      </c>
      <c r="R466" s="22"/>
      <c r="S466" s="22"/>
      <c r="T466" s="22"/>
      <c r="U466" s="24">
        <f>R466+S466/60+T466/3600</f>
        <v>0</v>
      </c>
      <c r="V466" s="28">
        <f>ABS(U466-P466)/P466</f>
        <v>1</v>
      </c>
      <c r="W466" s="22"/>
      <c r="X466" s="22"/>
      <c r="Y466" s="22"/>
      <c r="Z466" s="14">
        <f>W466+X466/60+Y466/3600</f>
        <v>0</v>
      </c>
      <c r="AA466" s="26">
        <f>ABS(Z466-Q466)/Q466</f>
        <v>1</v>
      </c>
      <c r="AB466" s="26"/>
      <c r="AC466" s="14">
        <f>P466</f>
        <v>48.743373405699998</v>
      </c>
      <c r="AD466" s="14">
        <f>Q466</f>
        <v>2.2963931629299998</v>
      </c>
    </row>
    <row r="467" spans="1:30" s="14" customFormat="1">
      <c r="A467" s="12">
        <v>34</v>
      </c>
      <c r="B467" s="12" t="s">
        <v>571</v>
      </c>
      <c r="C467" s="14" t="str">
        <f>VLOOKUP(B467,weights!A:B,2,FALSE)</f>
        <v>M</v>
      </c>
      <c r="D467" s="13">
        <v>465</v>
      </c>
      <c r="E467" s="14" t="s">
        <v>1340</v>
      </c>
      <c r="H467" s="18"/>
      <c r="I467" s="18"/>
      <c r="J467" s="14">
        <v>466</v>
      </c>
      <c r="K467" s="14">
        <f>VLOOKUP(B467,weights!A:G,5,FALSE)</f>
        <v>2.48</v>
      </c>
      <c r="L467" s="14">
        <f>VLOOKUP(B467,weights!A:G,6,FALSE)</f>
        <v>7</v>
      </c>
      <c r="M467" s="14">
        <f>VLOOKUP(B467,weights!A:G,7,FALSE)</f>
        <v>10</v>
      </c>
      <c r="N467" t="s">
        <v>4548</v>
      </c>
      <c r="O467">
        <v>526</v>
      </c>
      <c r="P467">
        <v>48.739681043399997</v>
      </c>
      <c r="Q467">
        <v>2.2876674968100001</v>
      </c>
      <c r="R467" s="22"/>
      <c r="S467" s="22"/>
      <c r="T467" s="22"/>
      <c r="U467" s="24">
        <f>R467+S467/60+T467/3600</f>
        <v>0</v>
      </c>
      <c r="V467" s="28">
        <f>ABS(U467-P467)/P467</f>
        <v>1</v>
      </c>
      <c r="W467" s="22"/>
      <c r="X467" s="22"/>
      <c r="Y467" s="22"/>
      <c r="Z467" s="14">
        <f>W467+X467/60+Y467/3600</f>
        <v>0</v>
      </c>
      <c r="AA467" s="26">
        <f>ABS(Z467-Q467)/Q467</f>
        <v>1</v>
      </c>
      <c r="AB467" s="26"/>
      <c r="AC467" s="14">
        <f>P467</f>
        <v>48.739681043399997</v>
      </c>
      <c r="AD467" s="14">
        <f>Q467</f>
        <v>2.2876674968100001</v>
      </c>
    </row>
    <row r="468" spans="1:30" s="14" customFormat="1">
      <c r="A468" s="12">
        <v>35</v>
      </c>
      <c r="B468" s="12" t="s">
        <v>571</v>
      </c>
      <c r="C468" s="14" t="str">
        <f>VLOOKUP(B468,weights!A:B,2,FALSE)</f>
        <v>M</v>
      </c>
      <c r="D468" s="13">
        <v>466</v>
      </c>
      <c r="E468" s="14" t="s">
        <v>616</v>
      </c>
      <c r="G468" s="14" t="s">
        <v>569</v>
      </c>
      <c r="H468" s="18" t="s">
        <v>1804</v>
      </c>
      <c r="I468" s="18"/>
      <c r="J468" s="14">
        <v>467</v>
      </c>
      <c r="K468" s="14">
        <f>VLOOKUP(B468,weights!A:G,5,FALSE)</f>
        <v>2.48</v>
      </c>
      <c r="L468" s="14">
        <f>VLOOKUP(B468,weights!A:G,6,FALSE)</f>
        <v>7</v>
      </c>
      <c r="M468" s="14">
        <f>VLOOKUP(B468,weights!A:G,7,FALSE)</f>
        <v>10</v>
      </c>
      <c r="N468" t="s">
        <v>4816</v>
      </c>
      <c r="O468">
        <v>288</v>
      </c>
      <c r="P468">
        <v>48.734716586799998</v>
      </c>
      <c r="Q468">
        <v>2.2734834643999999</v>
      </c>
      <c r="R468" s="22"/>
      <c r="S468" s="22"/>
      <c r="T468" s="22"/>
      <c r="U468" s="24">
        <f>R468+S468/60+T468/3600</f>
        <v>0</v>
      </c>
      <c r="V468" s="28">
        <f>ABS(U468-P468)/P468</f>
        <v>1</v>
      </c>
      <c r="W468" s="22"/>
      <c r="X468" s="22"/>
      <c r="Y468" s="22"/>
      <c r="Z468" s="14">
        <f>W468+X468/60+Y468/3600</f>
        <v>0</v>
      </c>
      <c r="AA468" s="26">
        <f>ABS(Z468-Q468)/Q468</f>
        <v>1</v>
      </c>
      <c r="AB468" s="26"/>
      <c r="AC468" s="14">
        <f>P468</f>
        <v>48.734716586799998</v>
      </c>
      <c r="AD468" s="14">
        <f>Q468</f>
        <v>2.2734834643999999</v>
      </c>
    </row>
    <row r="469" spans="1:30" s="14" customFormat="1">
      <c r="A469" s="12">
        <v>36</v>
      </c>
      <c r="B469" s="12" t="s">
        <v>571</v>
      </c>
      <c r="C469" s="14" t="str">
        <f>VLOOKUP(B469,weights!A:B,2,FALSE)</f>
        <v>M</v>
      </c>
      <c r="D469" s="13">
        <v>467</v>
      </c>
      <c r="E469" s="14" t="s">
        <v>615</v>
      </c>
      <c r="G469" s="14" t="s">
        <v>569</v>
      </c>
      <c r="H469" s="18" t="s">
        <v>1805</v>
      </c>
      <c r="I469" s="18"/>
      <c r="J469" s="14">
        <v>468</v>
      </c>
      <c r="K469" s="14">
        <f>VLOOKUP(B469,weights!A:G,5,FALSE)</f>
        <v>2.48</v>
      </c>
      <c r="L469" s="14">
        <f>VLOOKUP(B469,weights!A:G,6,FALSE)</f>
        <v>7</v>
      </c>
      <c r="M469" s="14">
        <f>VLOOKUP(B469,weights!A:G,7,FALSE)</f>
        <v>10</v>
      </c>
      <c r="N469" t="s">
        <v>4812</v>
      </c>
      <c r="O469">
        <v>846</v>
      </c>
      <c r="P469">
        <v>48.724691243700001</v>
      </c>
      <c r="Q469">
        <v>2.2582774623300002</v>
      </c>
      <c r="R469" s="22"/>
      <c r="S469" s="22"/>
      <c r="T469" s="22"/>
      <c r="U469" s="24">
        <f>R469+S469/60+T469/3600</f>
        <v>0</v>
      </c>
      <c r="V469" s="28">
        <f>ABS(U469-P469)/P469</f>
        <v>1</v>
      </c>
      <c r="W469" s="22"/>
      <c r="X469" s="22"/>
      <c r="Y469" s="22"/>
      <c r="Z469" s="14">
        <f>W469+X469/60+Y469/3600</f>
        <v>0</v>
      </c>
      <c r="AA469" s="26">
        <f>ABS(Z469-Q469)/Q469</f>
        <v>1</v>
      </c>
      <c r="AB469" s="26"/>
      <c r="AC469" s="14">
        <f>P469</f>
        <v>48.724691243700001</v>
      </c>
      <c r="AD469" s="14">
        <f>Q469</f>
        <v>2.2582774623300002</v>
      </c>
    </row>
    <row r="470" spans="1:30" s="14" customFormat="1">
      <c r="A470" s="12">
        <v>37</v>
      </c>
      <c r="B470" s="12" t="s">
        <v>571</v>
      </c>
      <c r="C470" s="14" t="str">
        <f>VLOOKUP(B470,weights!A:B,2,FALSE)</f>
        <v>M</v>
      </c>
      <c r="D470" s="13">
        <v>468</v>
      </c>
      <c r="E470" s="14" t="s">
        <v>1374</v>
      </c>
      <c r="H470" s="18"/>
      <c r="I470" s="18"/>
      <c r="J470" s="14">
        <v>469</v>
      </c>
      <c r="K470" s="14">
        <f>VLOOKUP(B470,weights!A:G,5,FALSE)</f>
        <v>2.48</v>
      </c>
      <c r="L470" s="14">
        <f>VLOOKUP(B470,weights!A:G,6,FALSE)</f>
        <v>7</v>
      </c>
      <c r="M470" s="14">
        <f>VLOOKUP(B470,weights!A:G,7,FALSE)</f>
        <v>10</v>
      </c>
      <c r="N470" t="s">
        <v>5082</v>
      </c>
      <c r="O470">
        <v>755</v>
      </c>
      <c r="P470">
        <v>48.716946290300001</v>
      </c>
      <c r="Q470">
        <v>2.2456725158999999</v>
      </c>
      <c r="R470" s="22"/>
      <c r="S470" s="22"/>
      <c r="T470" s="22"/>
      <c r="U470" s="24">
        <f>R470+S470/60+T470/3600</f>
        <v>0</v>
      </c>
      <c r="V470" s="28">
        <f>ABS(U470-P470)/P470</f>
        <v>1</v>
      </c>
      <c r="W470" s="22"/>
      <c r="X470" s="22"/>
      <c r="Y470" s="22"/>
      <c r="Z470" s="14">
        <f>W470+X470/60+Y470/3600</f>
        <v>0</v>
      </c>
      <c r="AA470" s="26">
        <f>ABS(Z470-Q470)/Q470</f>
        <v>1</v>
      </c>
      <c r="AB470" s="26"/>
      <c r="AC470" s="14">
        <f>P470</f>
        <v>48.716946290300001</v>
      </c>
      <c r="AD470" s="14">
        <f>Q470</f>
        <v>2.2456725158999999</v>
      </c>
    </row>
    <row r="471" spans="1:30" s="14" customFormat="1">
      <c r="A471" s="12">
        <v>38</v>
      </c>
      <c r="B471" s="12" t="s">
        <v>571</v>
      </c>
      <c r="C471" s="14" t="str">
        <f>VLOOKUP(B471,weights!A:B,2,FALSE)</f>
        <v>M</v>
      </c>
      <c r="D471" s="13">
        <v>469</v>
      </c>
      <c r="E471" s="14" t="s">
        <v>1375</v>
      </c>
      <c r="H471" s="18"/>
      <c r="I471" s="18"/>
      <c r="J471" s="14">
        <v>470</v>
      </c>
      <c r="K471" s="14">
        <f>VLOOKUP(B471,weights!A:G,5,FALSE)</f>
        <v>2.48</v>
      </c>
      <c r="L471" s="14">
        <f>VLOOKUP(B471,weights!A:G,6,FALSE)</f>
        <v>7</v>
      </c>
      <c r="M471" s="14">
        <f>VLOOKUP(B471,weights!A:G,7,FALSE)</f>
        <v>10</v>
      </c>
      <c r="N471" t="s">
        <v>5085</v>
      </c>
      <c r="O471">
        <v>401</v>
      </c>
      <c r="P471">
        <v>48.708140586399999</v>
      </c>
      <c r="Q471">
        <v>2.2373143659600001</v>
      </c>
      <c r="R471" s="22"/>
      <c r="S471" s="22"/>
      <c r="T471" s="22"/>
      <c r="U471" s="24">
        <f>R471+S471/60+T471/3600</f>
        <v>0</v>
      </c>
      <c r="V471" s="28">
        <f>ABS(U471-P471)/P471</f>
        <v>1</v>
      </c>
      <c r="W471" s="22"/>
      <c r="X471" s="22"/>
      <c r="Y471" s="22"/>
      <c r="Z471" s="14">
        <f>W471+X471/60+Y471/3600</f>
        <v>0</v>
      </c>
      <c r="AA471" s="26">
        <f>ABS(Z471-Q471)/Q471</f>
        <v>1</v>
      </c>
      <c r="AB471" s="26"/>
      <c r="AC471" s="14">
        <f>P471</f>
        <v>48.708140586399999</v>
      </c>
      <c r="AD471" s="14">
        <f>Q471</f>
        <v>2.2373143659600001</v>
      </c>
    </row>
    <row r="472" spans="1:30" s="14" customFormat="1">
      <c r="A472" s="12">
        <v>39</v>
      </c>
      <c r="B472" s="12" t="s">
        <v>571</v>
      </c>
      <c r="C472" s="14" t="str">
        <f>VLOOKUP(B472,weights!A:B,2,FALSE)</f>
        <v>M</v>
      </c>
      <c r="D472" s="13">
        <v>470</v>
      </c>
      <c r="E472" s="14" t="s">
        <v>570</v>
      </c>
      <c r="H472" s="18"/>
      <c r="I472" s="18"/>
      <c r="J472" s="14">
        <v>471</v>
      </c>
      <c r="K472" s="14">
        <f>VLOOKUP(B472,weights!A:G,5,FALSE)</f>
        <v>2.48</v>
      </c>
      <c r="L472" s="14">
        <f>VLOOKUP(B472,weights!A:G,6,FALSE)</f>
        <v>7</v>
      </c>
      <c r="M472" s="14">
        <f>VLOOKUP(B472,weights!A:G,7,FALSE)</f>
        <v>10</v>
      </c>
      <c r="N472" t="s">
        <v>4675</v>
      </c>
      <c r="O472">
        <v>756</v>
      </c>
      <c r="P472">
        <v>48.705968985699997</v>
      </c>
      <c r="Q472">
        <v>2.2122623752899999</v>
      </c>
      <c r="R472" s="22"/>
      <c r="S472" s="22"/>
      <c r="T472" s="22"/>
      <c r="U472" s="24">
        <f>R472+S472/60+T472/3600</f>
        <v>0</v>
      </c>
      <c r="V472" s="28">
        <f>ABS(U472-P472)/P472</f>
        <v>1</v>
      </c>
      <c r="W472" s="22"/>
      <c r="X472" s="22"/>
      <c r="Y472" s="22"/>
      <c r="Z472" s="14">
        <f>W472+X472/60+Y472/3600</f>
        <v>0</v>
      </c>
      <c r="AA472" s="26">
        <f>ABS(Z472-Q472)/Q472</f>
        <v>1</v>
      </c>
      <c r="AB472" s="26"/>
      <c r="AC472" s="14">
        <f>P472</f>
        <v>48.705968985699997</v>
      </c>
      <c r="AD472" s="14">
        <f>Q472</f>
        <v>2.2122623752899999</v>
      </c>
    </row>
    <row r="473" spans="1:30" s="14" customFormat="1">
      <c r="A473" s="12">
        <v>40</v>
      </c>
      <c r="B473" s="12" t="s">
        <v>571</v>
      </c>
      <c r="C473" s="14" t="str">
        <f>VLOOKUP(B473,weights!A:B,2,FALSE)</f>
        <v>M</v>
      </c>
      <c r="D473" s="13">
        <v>471</v>
      </c>
      <c r="E473" s="14" t="s">
        <v>1337</v>
      </c>
      <c r="H473" s="18"/>
      <c r="I473" s="18"/>
      <c r="J473" s="14">
        <v>472</v>
      </c>
      <c r="K473" s="14">
        <f>VLOOKUP(B473,weights!A:G,5,FALSE)</f>
        <v>2.48</v>
      </c>
      <c r="L473" s="14">
        <f>VLOOKUP(B473,weights!A:G,6,FALSE)</f>
        <v>7</v>
      </c>
      <c r="M473" s="14">
        <f>VLOOKUP(B473,weights!A:G,7,FALSE)</f>
        <v>10</v>
      </c>
      <c r="N473" t="s">
        <v>4491</v>
      </c>
      <c r="O473">
        <v>190</v>
      </c>
      <c r="P473">
        <v>48.705403924800002</v>
      </c>
      <c r="Q473">
        <v>2.1927348848100001</v>
      </c>
      <c r="R473" s="22"/>
      <c r="S473" s="22"/>
      <c r="T473" s="22"/>
      <c r="U473" s="24">
        <f>R473+S473/60+T473/3600</f>
        <v>0</v>
      </c>
      <c r="V473" s="28">
        <f>ABS(U473-P473)/P473</f>
        <v>1</v>
      </c>
      <c r="W473" s="22"/>
      <c r="X473" s="22"/>
      <c r="Y473" s="22"/>
      <c r="Z473" s="14">
        <f>W473+X473/60+Y473/3600</f>
        <v>0</v>
      </c>
      <c r="AA473" s="26">
        <f>ABS(Z473-Q473)/Q473</f>
        <v>1</v>
      </c>
      <c r="AB473" s="26"/>
      <c r="AC473" s="14">
        <f>P473</f>
        <v>48.705403924800002</v>
      </c>
      <c r="AD473" s="14">
        <f>Q473</f>
        <v>2.1927348848100001</v>
      </c>
    </row>
    <row r="474" spans="1:30" s="14" customFormat="1">
      <c r="A474" s="12">
        <v>41</v>
      </c>
      <c r="B474" s="12" t="s">
        <v>571</v>
      </c>
      <c r="C474" s="14" t="str">
        <f>VLOOKUP(B474,weights!A:B,2,FALSE)</f>
        <v>M</v>
      </c>
      <c r="D474" s="13">
        <v>472</v>
      </c>
      <c r="E474" s="14" t="s">
        <v>1372</v>
      </c>
      <c r="H474" s="18"/>
      <c r="I474" s="18"/>
      <c r="J474" s="14">
        <v>473</v>
      </c>
      <c r="K474" s="14">
        <f>VLOOKUP(B474,weights!A:G,5,FALSE)</f>
        <v>2.48</v>
      </c>
      <c r="L474" s="14">
        <f>VLOOKUP(B474,weights!A:G,6,FALSE)</f>
        <v>7</v>
      </c>
      <c r="M474" s="14">
        <f>VLOOKUP(B474,weights!A:G,7,FALSE)</f>
        <v>10</v>
      </c>
      <c r="N474" t="s">
        <v>5063</v>
      </c>
      <c r="O474">
        <v>162</v>
      </c>
      <c r="P474">
        <v>48.697505670799998</v>
      </c>
      <c r="Q474">
        <v>2.18105443904</v>
      </c>
      <c r="R474" s="22"/>
      <c r="S474" s="22"/>
      <c r="T474" s="22"/>
      <c r="U474" s="24">
        <f>R474+S474/60+T474/3600</f>
        <v>0</v>
      </c>
      <c r="V474" s="28">
        <f>ABS(U474-P474)/P474</f>
        <v>1</v>
      </c>
      <c r="W474" s="22"/>
      <c r="X474" s="22"/>
      <c r="Y474" s="22"/>
      <c r="Z474" s="14">
        <f>W474+X474/60+Y474/3600</f>
        <v>0</v>
      </c>
      <c r="AA474" s="26">
        <f>ABS(Z474-Q474)/Q474</f>
        <v>1</v>
      </c>
      <c r="AB474" s="26"/>
      <c r="AC474" s="14">
        <f>P474</f>
        <v>48.697505670799998</v>
      </c>
      <c r="AD474" s="14">
        <f>Q474</f>
        <v>2.18105443904</v>
      </c>
    </row>
    <row r="475" spans="1:30" s="14" customFormat="1">
      <c r="A475" s="12">
        <v>42</v>
      </c>
      <c r="B475" s="12" t="s">
        <v>571</v>
      </c>
      <c r="C475" s="14" t="str">
        <f>VLOOKUP(B475,weights!A:B,2,FALSE)</f>
        <v>M</v>
      </c>
      <c r="D475" s="13">
        <v>473</v>
      </c>
      <c r="E475" s="14" t="s">
        <v>1256</v>
      </c>
      <c r="H475" s="18"/>
      <c r="I475" s="18"/>
      <c r="J475" s="14">
        <v>474</v>
      </c>
      <c r="K475" s="14">
        <f>VLOOKUP(B475,weights!A:G,5,FALSE)</f>
        <v>2.48</v>
      </c>
      <c r="L475" s="14">
        <f>VLOOKUP(B475,weights!A:G,6,FALSE)</f>
        <v>7</v>
      </c>
      <c r="M475" s="14">
        <f>VLOOKUP(B475,weights!A:G,7,FALSE)</f>
        <v>10</v>
      </c>
      <c r="N475" s="20" t="s">
        <v>3480</v>
      </c>
      <c r="O475" s="20">
        <v>99</v>
      </c>
      <c r="P475" s="20">
        <v>48.696252746900001</v>
      </c>
      <c r="Q475" s="20">
        <v>2.1643782427899998</v>
      </c>
      <c r="R475" s="22"/>
      <c r="S475" s="22"/>
      <c r="T475" s="22"/>
      <c r="U475" s="24">
        <f>R475+S475/60+T475/3600</f>
        <v>0</v>
      </c>
      <c r="V475" s="28">
        <f>ABS(U475-P475)/P475</f>
        <v>1</v>
      </c>
      <c r="W475" s="22"/>
      <c r="X475" s="22"/>
      <c r="Y475" s="22"/>
      <c r="Z475" s="14">
        <f>W475+X475/60+Y475/3600</f>
        <v>0</v>
      </c>
      <c r="AA475" s="26">
        <f>ABS(Z475-Q475)/Q475</f>
        <v>1</v>
      </c>
      <c r="AB475" s="26"/>
      <c r="AC475" s="14">
        <f>P475</f>
        <v>48.696252746900001</v>
      </c>
      <c r="AD475" s="14">
        <f>Q475</f>
        <v>2.1643782427899998</v>
      </c>
    </row>
    <row r="476" spans="1:30" s="14" customFormat="1">
      <c r="A476" s="12">
        <v>43</v>
      </c>
      <c r="B476" s="12" t="s">
        <v>571</v>
      </c>
      <c r="C476" s="14" t="str">
        <f>VLOOKUP(B476,weights!A:B,2,FALSE)</f>
        <v>M</v>
      </c>
      <c r="D476" s="13">
        <v>474</v>
      </c>
      <c r="E476" s="14" t="s">
        <v>1329</v>
      </c>
      <c r="H476" s="18"/>
      <c r="I476" s="18"/>
      <c r="J476" s="14">
        <v>475</v>
      </c>
      <c r="K476" s="14">
        <f>VLOOKUP(B476,weights!A:G,5,FALSE)</f>
        <v>2.48</v>
      </c>
      <c r="L476" s="14">
        <f>VLOOKUP(B476,weights!A:G,6,FALSE)</f>
        <v>7</v>
      </c>
      <c r="M476" s="14">
        <f>VLOOKUP(B476,weights!A:G,7,FALSE)</f>
        <v>10</v>
      </c>
      <c r="N476" t="s">
        <v>4416</v>
      </c>
      <c r="O476">
        <v>98</v>
      </c>
      <c r="P476">
        <v>48.695264122099999</v>
      </c>
      <c r="Q476">
        <v>2.15164203998</v>
      </c>
      <c r="R476" s="22"/>
      <c r="S476" s="22"/>
      <c r="T476" s="22"/>
      <c r="U476" s="24">
        <f>R476+S476/60+T476/3600</f>
        <v>0</v>
      </c>
      <c r="V476" s="28">
        <f>ABS(U476-P476)/P476</f>
        <v>1</v>
      </c>
      <c r="W476" s="22"/>
      <c r="X476" s="22"/>
      <c r="Y476" s="22"/>
      <c r="Z476" s="14">
        <f>W476+X476/60+Y476/3600</f>
        <v>0</v>
      </c>
      <c r="AA476" s="26">
        <f>ABS(Z476-Q476)/Q476</f>
        <v>1</v>
      </c>
      <c r="AB476" s="26"/>
      <c r="AC476" s="14">
        <f>P476</f>
        <v>48.695264122099999</v>
      </c>
      <c r="AD476" s="14">
        <f>Q476</f>
        <v>2.15164203998</v>
      </c>
    </row>
    <row r="477" spans="1:30" s="14" customFormat="1">
      <c r="A477" s="12">
        <v>44</v>
      </c>
      <c r="B477" s="12" t="s">
        <v>571</v>
      </c>
      <c r="C477" s="14" t="str">
        <f>VLOOKUP(B477,weights!A:B,2,FALSE)</f>
        <v>M</v>
      </c>
      <c r="D477" s="13">
        <v>475</v>
      </c>
      <c r="E477" s="14" t="s">
        <v>1301</v>
      </c>
      <c r="H477" s="18"/>
      <c r="I477" s="18"/>
      <c r="J477" s="14">
        <v>476</v>
      </c>
      <c r="K477" s="14">
        <f>VLOOKUP(B477,weights!A:G,5,FALSE)</f>
        <v>2.48</v>
      </c>
      <c r="L477" s="14">
        <f>VLOOKUP(B477,weights!A:G,6,FALSE)</f>
        <v>7</v>
      </c>
      <c r="M477" s="14">
        <f>VLOOKUP(B477,weights!A:G,7,FALSE)</f>
        <v>10</v>
      </c>
      <c r="N477" t="s">
        <v>4151</v>
      </c>
      <c r="O477">
        <v>403</v>
      </c>
      <c r="P477">
        <v>48.698196976299997</v>
      </c>
      <c r="Q477">
        <v>2.1365667143399998</v>
      </c>
      <c r="R477" s="22"/>
      <c r="S477" s="22"/>
      <c r="T477" s="22"/>
      <c r="U477" s="24">
        <f>R477+S477/60+T477/3600</f>
        <v>0</v>
      </c>
      <c r="V477" s="28">
        <f>ABS(U477-P477)/P477</f>
        <v>1</v>
      </c>
      <c r="W477" s="22"/>
      <c r="X477" s="22"/>
      <c r="Y477" s="22"/>
      <c r="Z477" s="14">
        <f>W477+X477/60+Y477/3600</f>
        <v>0</v>
      </c>
      <c r="AA477" s="26">
        <f>ABS(Z477-Q477)/Q477</f>
        <v>1</v>
      </c>
      <c r="AB477" s="26"/>
      <c r="AC477" s="14">
        <f>P477</f>
        <v>48.698196976299997</v>
      </c>
      <c r="AD477" s="14">
        <f>Q477</f>
        <v>2.1365667143399998</v>
      </c>
    </row>
    <row r="478" spans="1:30" s="14" customFormat="1">
      <c r="A478" s="12">
        <v>45</v>
      </c>
      <c r="B478" s="12" t="s">
        <v>571</v>
      </c>
      <c r="C478" s="14" t="str">
        <f>VLOOKUP(B478,weights!A:B,2,FALSE)</f>
        <v>M</v>
      </c>
      <c r="D478" s="13">
        <v>476</v>
      </c>
      <c r="E478" s="14" t="s">
        <v>1271</v>
      </c>
      <c r="H478" s="18"/>
      <c r="I478" s="18"/>
      <c r="J478" s="14">
        <v>477</v>
      </c>
      <c r="K478" s="14">
        <f>VLOOKUP(B478,weights!A:G,5,FALSE)</f>
        <v>2.48</v>
      </c>
      <c r="L478" s="14">
        <f>VLOOKUP(B478,weights!A:G,6,FALSE)</f>
        <v>7</v>
      </c>
      <c r="M478" s="14">
        <f>VLOOKUP(B478,weights!A:G,7,FALSE)</f>
        <v>10</v>
      </c>
      <c r="N478" t="s">
        <v>3784</v>
      </c>
      <c r="O478">
        <v>757</v>
      </c>
      <c r="P478">
        <v>48.701217719399999</v>
      </c>
      <c r="Q478">
        <v>2.0979758611500001</v>
      </c>
      <c r="R478" s="22"/>
      <c r="S478" s="22"/>
      <c r="T478" s="22"/>
      <c r="U478" s="24">
        <f>R478+S478/60+T478/3600</f>
        <v>0</v>
      </c>
      <c r="V478" s="28">
        <f>ABS(U478-P478)/P478</f>
        <v>1</v>
      </c>
      <c r="W478" s="22"/>
      <c r="X478" s="22"/>
      <c r="Y478" s="22"/>
      <c r="Z478" s="14">
        <f>W478+X478/60+Y478/3600</f>
        <v>0</v>
      </c>
      <c r="AA478" s="26">
        <f>ABS(Z478-Q478)/Q478</f>
        <v>1</v>
      </c>
      <c r="AB478" s="26"/>
      <c r="AC478" s="14">
        <f>P478</f>
        <v>48.701217719399999</v>
      </c>
      <c r="AD478" s="14">
        <f>Q478</f>
        <v>2.0979758611500001</v>
      </c>
    </row>
    <row r="479" spans="1:30" s="14" customFormat="1">
      <c r="A479" s="12">
        <v>46</v>
      </c>
      <c r="B479" s="12" t="s">
        <v>571</v>
      </c>
      <c r="C479" s="14" t="str">
        <f>VLOOKUP(B479,weights!A:B,2,FALSE)</f>
        <v>M</v>
      </c>
      <c r="D479" s="13">
        <v>477</v>
      </c>
      <c r="E479" s="14" t="s">
        <v>1413</v>
      </c>
      <c r="H479" s="18"/>
      <c r="I479" s="18"/>
      <c r="K479" s="14">
        <f>VLOOKUP(B479,weights!A:G,5,FALSE)</f>
        <v>2.48</v>
      </c>
      <c r="L479" s="14">
        <f>VLOOKUP(B479,weights!A:G,6,FALSE)</f>
        <v>7</v>
      </c>
      <c r="M479" s="14">
        <f>VLOOKUP(B479,weights!A:G,7,FALSE)</f>
        <v>10</v>
      </c>
      <c r="N479" t="s">
        <v>5637</v>
      </c>
      <c r="O479">
        <v>897</v>
      </c>
      <c r="P479">
        <v>48.702751042999999</v>
      </c>
      <c r="Q479">
        <v>2.0712428476600002</v>
      </c>
      <c r="R479" s="22"/>
      <c r="S479" s="22"/>
      <c r="T479" s="22"/>
      <c r="U479" s="24">
        <f>R479+S479/60+T479/3600</f>
        <v>0</v>
      </c>
      <c r="V479" s="28">
        <f>ABS(U479-P479)/P479</f>
        <v>1</v>
      </c>
      <c r="W479" s="22"/>
      <c r="X479" s="22"/>
      <c r="Y479" s="22"/>
      <c r="Z479" s="14">
        <f>W479+X479/60+Y479/3600</f>
        <v>0</v>
      </c>
      <c r="AA479" s="26">
        <f>ABS(Z479-Q479)/Q479</f>
        <v>1</v>
      </c>
      <c r="AB479" s="26"/>
      <c r="AC479" s="14">
        <f>P479</f>
        <v>48.702751042999999</v>
      </c>
      <c r="AD479" s="14">
        <f>Q479</f>
        <v>2.0712428476600002</v>
      </c>
    </row>
    <row r="480" spans="1:30" s="14" customFormat="1">
      <c r="A480" s="12">
        <v>0</v>
      </c>
      <c r="B480" s="12" t="s">
        <v>569</v>
      </c>
      <c r="C480" s="14" t="str">
        <f>VLOOKUP(B480,weights!A:B,2,FALSE)</f>
        <v>M</v>
      </c>
      <c r="D480" s="13">
        <v>478</v>
      </c>
      <c r="E480" s="14" t="s">
        <v>572</v>
      </c>
      <c r="G480" s="14" t="s">
        <v>652</v>
      </c>
      <c r="H480" s="18"/>
      <c r="I480" s="18" t="s">
        <v>1807</v>
      </c>
      <c r="J480" s="14">
        <v>479</v>
      </c>
      <c r="K480" s="14">
        <f>VLOOKUP(B480,weights!A:G,5,FALSE)</f>
        <v>3.29</v>
      </c>
      <c r="L480" s="14">
        <f>VLOOKUP(B480,weights!A:G,6,FALSE)</f>
        <v>7</v>
      </c>
      <c r="M480" s="14">
        <f>VLOOKUP(B480,weights!A:G,7,FALSE)</f>
        <v>10</v>
      </c>
      <c r="N480" t="s">
        <v>5265</v>
      </c>
      <c r="O480">
        <v>724</v>
      </c>
      <c r="P480">
        <v>49.046645762600001</v>
      </c>
      <c r="Q480">
        <v>2.0951950672300002</v>
      </c>
      <c r="R480" s="22"/>
      <c r="S480" s="22"/>
      <c r="T480" s="22"/>
      <c r="U480" s="24">
        <f>R480+S480/60+T480/3600</f>
        <v>0</v>
      </c>
      <c r="V480" s="28">
        <f>ABS(U480-P480)/P480</f>
        <v>1</v>
      </c>
      <c r="W480" s="22"/>
      <c r="X480" s="22"/>
      <c r="Y480" s="22"/>
      <c r="Z480" s="14">
        <f>W480+X480/60+Y480/3600</f>
        <v>0</v>
      </c>
      <c r="AA480" s="26">
        <f>ABS(Z480-Q480)/Q480</f>
        <v>1</v>
      </c>
      <c r="AB480" s="26"/>
      <c r="AC480" s="14">
        <f>P480</f>
        <v>49.046645762600001</v>
      </c>
      <c r="AD480" s="14">
        <f>Q480</f>
        <v>2.0951950672300002</v>
      </c>
    </row>
    <row r="481" spans="1:30" s="14" customFormat="1">
      <c r="A481" s="12">
        <v>1</v>
      </c>
      <c r="B481" s="12" t="s">
        <v>569</v>
      </c>
      <c r="C481" s="14" t="str">
        <f>VLOOKUP(B481,weights!A:B,2,FALSE)</f>
        <v>M</v>
      </c>
      <c r="D481" s="13">
        <v>479</v>
      </c>
      <c r="E481" s="14" t="s">
        <v>573</v>
      </c>
      <c r="G481" s="14" t="s">
        <v>653</v>
      </c>
      <c r="H481" s="18"/>
      <c r="I481" s="18" t="s">
        <v>1808</v>
      </c>
      <c r="J481" s="14">
        <v>480</v>
      </c>
      <c r="K481" s="14">
        <f>VLOOKUP(B481,weights!A:G,5,FALSE)</f>
        <v>3.29</v>
      </c>
      <c r="L481" s="14">
        <f>VLOOKUP(B481,weights!A:G,6,FALSE)</f>
        <v>7</v>
      </c>
      <c r="M481" s="14">
        <f>VLOOKUP(B481,weights!A:G,7,FALSE)</f>
        <v>10</v>
      </c>
      <c r="N481" t="s">
        <v>5613</v>
      </c>
      <c r="O481">
        <v>825</v>
      </c>
      <c r="P481">
        <v>49.045311648400002</v>
      </c>
      <c r="Q481">
        <v>2.10511071028</v>
      </c>
      <c r="R481" s="22"/>
      <c r="S481" s="22"/>
      <c r="T481" s="22"/>
      <c r="U481" s="24">
        <f>R481+S481/60+T481/3600</f>
        <v>0</v>
      </c>
      <c r="V481" s="28">
        <f>ABS(U481-P481)/P481</f>
        <v>1</v>
      </c>
      <c r="W481" s="22"/>
      <c r="X481" s="22"/>
      <c r="Y481" s="22"/>
      <c r="Z481" s="14">
        <f>W481+X481/60+Y481/3600</f>
        <v>0</v>
      </c>
      <c r="AA481" s="26">
        <f>ABS(Z481-Q481)/Q481</f>
        <v>1</v>
      </c>
      <c r="AB481" s="26"/>
      <c r="AC481" s="14">
        <f>P481</f>
        <v>49.045311648400002</v>
      </c>
      <c r="AD481" s="14">
        <f>Q481</f>
        <v>2.10511071028</v>
      </c>
    </row>
    <row r="482" spans="1:30" s="14" customFormat="1">
      <c r="A482" s="12">
        <v>2</v>
      </c>
      <c r="B482" s="12" t="s">
        <v>569</v>
      </c>
      <c r="C482" s="14" t="str">
        <f>VLOOKUP(B482,weights!A:B,2,FALSE)</f>
        <v>M</v>
      </c>
      <c r="D482" s="13">
        <v>480</v>
      </c>
      <c r="E482" s="14" t="s">
        <v>574</v>
      </c>
      <c r="G482" s="14" t="s">
        <v>653</v>
      </c>
      <c r="H482" s="18"/>
      <c r="I482" s="18" t="s">
        <v>1809</v>
      </c>
      <c r="J482" s="14">
        <v>481</v>
      </c>
      <c r="K482" s="14">
        <f>VLOOKUP(B482,weights!A:G,5,FALSE)</f>
        <v>3.29</v>
      </c>
      <c r="L482" s="14">
        <f>VLOOKUP(B482,weights!A:G,6,FALSE)</f>
        <v>7</v>
      </c>
      <c r="M482" s="14">
        <f>VLOOKUP(B482,weights!A:G,7,FALSE)</f>
        <v>10</v>
      </c>
      <c r="N482" t="s">
        <v>5616</v>
      </c>
      <c r="O482">
        <v>580</v>
      </c>
      <c r="P482">
        <v>49.033987636299997</v>
      </c>
      <c r="Q482">
        <v>2.1282638725599998</v>
      </c>
      <c r="R482" s="22"/>
      <c r="S482" s="22"/>
      <c r="T482" s="22"/>
      <c r="U482" s="24">
        <f>R482+S482/60+T482/3600</f>
        <v>0</v>
      </c>
      <c r="V482" s="28">
        <f>ABS(U482-P482)/P482</f>
        <v>1</v>
      </c>
      <c r="W482" s="22"/>
      <c r="X482" s="22"/>
      <c r="Y482" s="22"/>
      <c r="Z482" s="14">
        <f>W482+X482/60+Y482/3600</f>
        <v>0</v>
      </c>
      <c r="AA482" s="26">
        <f>ABS(Z482-Q482)/Q482</f>
        <v>1</v>
      </c>
      <c r="AB482" s="26"/>
      <c r="AC482" s="14">
        <f>P482</f>
        <v>49.033987636299997</v>
      </c>
      <c r="AD482" s="14">
        <f>Q482</f>
        <v>2.1282638725599998</v>
      </c>
    </row>
    <row r="483" spans="1:30" s="14" customFormat="1">
      <c r="A483" s="12">
        <v>3</v>
      </c>
      <c r="B483" s="12" t="s">
        <v>569</v>
      </c>
      <c r="C483" s="14" t="str">
        <f>VLOOKUP(B483,weights!A:B,2,FALSE)</f>
        <v>M</v>
      </c>
      <c r="D483" s="13">
        <v>481</v>
      </c>
      <c r="E483" s="14" t="s">
        <v>575</v>
      </c>
      <c r="G483" s="14" t="s">
        <v>653</v>
      </c>
      <c r="H483" s="18"/>
      <c r="I483" s="18" t="s">
        <v>1810</v>
      </c>
      <c r="J483" s="14">
        <v>482</v>
      </c>
      <c r="K483" s="14">
        <f>VLOOKUP(B483,weights!A:G,5,FALSE)</f>
        <v>3.29</v>
      </c>
      <c r="L483" s="14">
        <f>VLOOKUP(B483,weights!A:G,6,FALSE)</f>
        <v>7</v>
      </c>
      <c r="M483" s="14">
        <f>VLOOKUP(B483,weights!A:G,7,FALSE)</f>
        <v>10</v>
      </c>
      <c r="N483" t="s">
        <v>5181</v>
      </c>
      <c r="O483">
        <v>488</v>
      </c>
      <c r="P483">
        <v>49.019136741600001</v>
      </c>
      <c r="Q483">
        <v>2.1546634774100002</v>
      </c>
      <c r="R483" s="22"/>
      <c r="S483" s="22"/>
      <c r="T483" s="22"/>
      <c r="U483" s="24">
        <f>R483+S483/60+T483/3600</f>
        <v>0</v>
      </c>
      <c r="V483" s="28">
        <f>ABS(U483-P483)/P483</f>
        <v>1</v>
      </c>
      <c r="W483" s="22"/>
      <c r="X483" s="22"/>
      <c r="Y483" s="22"/>
      <c r="Z483" s="14">
        <f>W483+X483/60+Y483/3600</f>
        <v>0</v>
      </c>
      <c r="AA483" s="26">
        <f>ABS(Z483-Q483)/Q483</f>
        <v>1</v>
      </c>
      <c r="AB483" s="26"/>
      <c r="AC483" s="14">
        <f>P483</f>
        <v>49.019136741600001</v>
      </c>
      <c r="AD483" s="14">
        <f>Q483</f>
        <v>2.1546634774100002</v>
      </c>
    </row>
    <row r="484" spans="1:30" s="14" customFormat="1">
      <c r="A484" s="12">
        <v>4</v>
      </c>
      <c r="B484" s="12" t="s">
        <v>569</v>
      </c>
      <c r="C484" s="14" t="str">
        <f>VLOOKUP(B484,weights!A:B,2,FALSE)</f>
        <v>M</v>
      </c>
      <c r="D484" s="13">
        <v>482</v>
      </c>
      <c r="E484" s="14" t="s">
        <v>576</v>
      </c>
      <c r="G484" s="14" t="s">
        <v>653</v>
      </c>
      <c r="H484" s="18"/>
      <c r="I484" s="18" t="s">
        <v>1811</v>
      </c>
      <c r="J484" s="14">
        <v>483</v>
      </c>
      <c r="K484" s="14">
        <f>VLOOKUP(B484,weights!A:G,5,FALSE)</f>
        <v>3.29</v>
      </c>
      <c r="L484" s="14">
        <f>VLOOKUP(B484,weights!A:G,6,FALSE)</f>
        <v>7</v>
      </c>
      <c r="M484" s="14">
        <f>VLOOKUP(B484,weights!A:G,7,FALSE)</f>
        <v>10</v>
      </c>
      <c r="N484" t="s">
        <v>4913</v>
      </c>
      <c r="O484">
        <v>824</v>
      </c>
      <c r="P484">
        <v>49.007423298900001</v>
      </c>
      <c r="Q484">
        <v>2.1976198071100002</v>
      </c>
      <c r="R484" s="22"/>
      <c r="S484" s="22"/>
      <c r="T484" s="22"/>
      <c r="U484" s="24">
        <f>R484+S484/60+T484/3600</f>
        <v>0</v>
      </c>
      <c r="V484" s="28">
        <f>ABS(U484-P484)/P484</f>
        <v>1</v>
      </c>
      <c r="W484" s="22"/>
      <c r="X484" s="22"/>
      <c r="Y484" s="22"/>
      <c r="Z484" s="14">
        <f>W484+X484/60+Y484/3600</f>
        <v>0</v>
      </c>
      <c r="AA484" s="26">
        <f>ABS(Z484-Q484)/Q484</f>
        <v>1</v>
      </c>
      <c r="AB484" s="26"/>
      <c r="AC484" s="14">
        <f>P484</f>
        <v>49.007423298900001</v>
      </c>
      <c r="AD484" s="14">
        <f>Q484</f>
        <v>2.1976198071100002</v>
      </c>
    </row>
    <row r="485" spans="1:30" s="14" customFormat="1">
      <c r="A485" s="12">
        <v>5</v>
      </c>
      <c r="B485" s="12" t="s">
        <v>569</v>
      </c>
      <c r="C485" s="14" t="str">
        <f>VLOOKUP(B485,weights!A:B,2,FALSE)</f>
        <v>M</v>
      </c>
      <c r="D485" s="13">
        <v>483</v>
      </c>
      <c r="E485" s="14" t="s">
        <v>577</v>
      </c>
      <c r="G485" s="14" t="s">
        <v>653</v>
      </c>
      <c r="H485" s="18"/>
      <c r="I485" s="18" t="s">
        <v>1812</v>
      </c>
      <c r="J485" s="14">
        <v>484</v>
      </c>
      <c r="K485" s="14">
        <f>VLOOKUP(B485,weights!A:G,5,FALSE)</f>
        <v>3.29</v>
      </c>
      <c r="L485" s="14">
        <f>VLOOKUP(B485,weights!A:G,6,FALSE)</f>
        <v>7</v>
      </c>
      <c r="M485" s="14">
        <f>VLOOKUP(B485,weights!A:G,7,FALSE)</f>
        <v>10</v>
      </c>
      <c r="N485" t="s">
        <v>4053</v>
      </c>
      <c r="O485">
        <v>643</v>
      </c>
      <c r="P485">
        <v>48.993713480399997</v>
      </c>
      <c r="Q485">
        <v>2.2342763953599998</v>
      </c>
      <c r="R485" s="22"/>
      <c r="S485" s="22"/>
      <c r="T485" s="22"/>
      <c r="U485" s="24">
        <f>R485+S485/60+T485/3600</f>
        <v>0</v>
      </c>
      <c r="V485" s="28">
        <f>ABS(U485-P485)/P485</f>
        <v>1</v>
      </c>
      <c r="W485" s="22"/>
      <c r="X485" s="22"/>
      <c r="Y485" s="22"/>
      <c r="Z485" s="14">
        <f>W485+X485/60+Y485/3600</f>
        <v>0</v>
      </c>
      <c r="AA485" s="26">
        <f>ABS(Z485-Q485)/Q485</f>
        <v>1</v>
      </c>
      <c r="AB485" s="26"/>
      <c r="AC485" s="14">
        <f>P485</f>
        <v>48.993713480399997</v>
      </c>
      <c r="AD485" s="14">
        <f>Q485</f>
        <v>2.2342763953599998</v>
      </c>
    </row>
    <row r="486" spans="1:30" s="14" customFormat="1">
      <c r="A486" s="12">
        <v>6</v>
      </c>
      <c r="B486" s="12" t="s">
        <v>569</v>
      </c>
      <c r="C486" s="14" t="str">
        <f>VLOOKUP(B486,weights!A:B,2,FALSE)</f>
        <v>M</v>
      </c>
      <c r="D486" s="13">
        <v>484</v>
      </c>
      <c r="E486" s="14" t="s">
        <v>578</v>
      </c>
      <c r="G486" s="14" t="s">
        <v>653</v>
      </c>
      <c r="H486" s="18"/>
      <c r="I486" s="18" t="s">
        <v>1813</v>
      </c>
      <c r="J486" s="14">
        <v>485</v>
      </c>
      <c r="K486" s="14">
        <f>VLOOKUP(B486,weights!A:G,5,FALSE)</f>
        <v>3.29</v>
      </c>
      <c r="L486" s="14">
        <f>VLOOKUP(B486,weights!A:G,6,FALSE)</f>
        <v>7</v>
      </c>
      <c r="M486" s="14">
        <f>VLOOKUP(B486,weights!A:G,7,FALSE)</f>
        <v>10</v>
      </c>
      <c r="N486" t="s">
        <v>3534</v>
      </c>
      <c r="O486">
        <v>487</v>
      </c>
      <c r="P486">
        <v>48.985004701299999</v>
      </c>
      <c r="Q486">
        <v>2.2574741558800002</v>
      </c>
      <c r="R486" s="22"/>
      <c r="S486" s="22"/>
      <c r="T486" s="22"/>
      <c r="U486" s="24">
        <f>R486+S486/60+T486/3600</f>
        <v>0</v>
      </c>
      <c r="V486" s="28">
        <f>ABS(U486-P486)/P486</f>
        <v>1</v>
      </c>
      <c r="W486" s="22"/>
      <c r="X486" s="22"/>
      <c r="Y486" s="22"/>
      <c r="Z486" s="14">
        <f>W486+X486/60+Y486/3600</f>
        <v>0</v>
      </c>
      <c r="AA486" s="26">
        <f>ABS(Z486-Q486)/Q486</f>
        <v>1</v>
      </c>
      <c r="AB486" s="26"/>
      <c r="AC486" s="14">
        <f>P486</f>
        <v>48.985004701299999</v>
      </c>
      <c r="AD486" s="14">
        <f>Q486</f>
        <v>2.2574741558800002</v>
      </c>
    </row>
    <row r="487" spans="1:30" s="14" customFormat="1">
      <c r="A487" s="12">
        <v>7</v>
      </c>
      <c r="B487" s="12" t="s">
        <v>569</v>
      </c>
      <c r="C487" s="14" t="str">
        <f>VLOOKUP(B487,weights!A:B,2,FALSE)</f>
        <v>M</v>
      </c>
      <c r="D487" s="13">
        <v>485</v>
      </c>
      <c r="E487" s="14" t="s">
        <v>579</v>
      </c>
      <c r="G487" s="14" t="s">
        <v>652</v>
      </c>
      <c r="H487" s="18"/>
      <c r="I487" s="18" t="s">
        <v>1815</v>
      </c>
      <c r="J487" s="14">
        <v>486</v>
      </c>
      <c r="K487" s="14">
        <f>VLOOKUP(B487,weights!A:G,5,FALSE)</f>
        <v>3.29</v>
      </c>
      <c r="L487" s="14">
        <f>VLOOKUP(B487,weights!A:G,6,FALSE)</f>
        <v>7</v>
      </c>
      <c r="M487" s="14">
        <f>VLOOKUP(B487,weights!A:G,7,FALSE)</f>
        <v>10</v>
      </c>
      <c r="N487" t="s">
        <v>3962</v>
      </c>
      <c r="O487">
        <v>721</v>
      </c>
      <c r="P487">
        <v>48.980646100400001</v>
      </c>
      <c r="Q487">
        <v>2.27208477275</v>
      </c>
      <c r="R487" s="22"/>
      <c r="S487" s="22"/>
      <c r="T487" s="22"/>
      <c r="U487" s="24">
        <f>R487+S487/60+T487/3600</f>
        <v>0</v>
      </c>
      <c r="V487" s="28">
        <f>ABS(U487-P487)/P487</f>
        <v>1</v>
      </c>
      <c r="W487" s="22"/>
      <c r="X487" s="22"/>
      <c r="Y487" s="22"/>
      <c r="Z487" s="14">
        <f>W487+X487/60+Y487/3600</f>
        <v>0</v>
      </c>
      <c r="AA487" s="26">
        <f>ABS(Z487-Q487)/Q487</f>
        <v>1</v>
      </c>
      <c r="AB487" s="26"/>
      <c r="AC487" s="14">
        <f>P487</f>
        <v>48.980646100400001</v>
      </c>
      <c r="AD487" s="14">
        <f>Q487</f>
        <v>2.27208477275</v>
      </c>
    </row>
    <row r="488" spans="1:30" s="14" customFormat="1">
      <c r="A488" s="12">
        <v>8</v>
      </c>
      <c r="B488" s="12" t="s">
        <v>569</v>
      </c>
      <c r="C488" s="14" t="str">
        <f>VLOOKUP(B488,weights!A:B,2,FALSE)</f>
        <v>M</v>
      </c>
      <c r="D488" s="13">
        <v>486</v>
      </c>
      <c r="E488" s="14" t="s">
        <v>580</v>
      </c>
      <c r="H488" s="18"/>
      <c r="I488" s="18"/>
      <c r="J488" s="14">
        <v>487</v>
      </c>
      <c r="K488" s="14">
        <f>VLOOKUP(B488,weights!A:G,5,FALSE)</f>
        <v>3.29</v>
      </c>
      <c r="L488" s="14">
        <f>VLOOKUP(B488,weights!A:G,6,FALSE)</f>
        <v>7</v>
      </c>
      <c r="M488" s="14">
        <f>VLOOKUP(B488,weights!A:G,7,FALSE)</f>
        <v>10</v>
      </c>
      <c r="N488" t="s">
        <v>5563</v>
      </c>
      <c r="O488">
        <v>169</v>
      </c>
      <c r="P488">
        <v>48.963589684900001</v>
      </c>
      <c r="Q488">
        <v>2.28593071957</v>
      </c>
      <c r="R488" s="22"/>
      <c r="S488" s="22"/>
      <c r="T488" s="22"/>
      <c r="U488" s="24">
        <f>R488+S488/60+T488/3600</f>
        <v>0</v>
      </c>
      <c r="V488" s="28">
        <f>ABS(U488-P488)/P488</f>
        <v>1</v>
      </c>
      <c r="W488" s="22"/>
      <c r="X488" s="22"/>
      <c r="Y488" s="22"/>
      <c r="Z488" s="14">
        <f>W488+X488/60+Y488/3600</f>
        <v>0</v>
      </c>
      <c r="AA488" s="26">
        <f>ABS(Z488-Q488)/Q488</f>
        <v>1</v>
      </c>
      <c r="AB488" s="26"/>
      <c r="AC488" s="14">
        <f>P488</f>
        <v>48.963589684900001</v>
      </c>
      <c r="AD488" s="14">
        <f>Q488</f>
        <v>2.28593071957</v>
      </c>
    </row>
    <row r="489" spans="1:30" s="14" customFormat="1">
      <c r="A489" s="12">
        <v>9</v>
      </c>
      <c r="B489" s="12" t="s">
        <v>569</v>
      </c>
      <c r="C489" s="14" t="str">
        <f>VLOOKUP(B489,weights!A:B,2,FALSE)</f>
        <v>M</v>
      </c>
      <c r="D489" s="13">
        <v>487</v>
      </c>
      <c r="E489" s="14" t="s">
        <v>581</v>
      </c>
      <c r="G489" s="14" t="s">
        <v>654</v>
      </c>
      <c r="H489" s="18"/>
      <c r="I489" s="18" t="s">
        <v>1817</v>
      </c>
      <c r="J489" s="14">
        <v>488</v>
      </c>
      <c r="K489" s="14">
        <f>VLOOKUP(B489,weights!A:G,5,FALSE)</f>
        <v>3.29</v>
      </c>
      <c r="L489" s="14">
        <f>VLOOKUP(B489,weights!A:G,6,FALSE)</f>
        <v>7</v>
      </c>
      <c r="M489" s="14">
        <f>VLOOKUP(B489,weights!A:G,7,FALSE)</f>
        <v>10</v>
      </c>
      <c r="N489" t="s">
        <v>3941</v>
      </c>
      <c r="O489">
        <v>596</v>
      </c>
      <c r="P489">
        <v>48.953396465300003</v>
      </c>
      <c r="Q489">
        <v>2.3023404201500002</v>
      </c>
      <c r="R489" s="22"/>
      <c r="S489" s="22"/>
      <c r="T489" s="22"/>
      <c r="U489" s="24">
        <f>R489+S489/60+T489/3600</f>
        <v>0</v>
      </c>
      <c r="V489" s="28">
        <f>ABS(U489-P489)/P489</f>
        <v>1</v>
      </c>
      <c r="W489" s="22"/>
      <c r="X489" s="22"/>
      <c r="Y489" s="22"/>
      <c r="Z489" s="14">
        <f>W489+X489/60+Y489/3600</f>
        <v>0</v>
      </c>
      <c r="AA489" s="26">
        <f>ABS(Z489-Q489)/Q489</f>
        <v>1</v>
      </c>
      <c r="AB489" s="26"/>
      <c r="AC489" s="14">
        <f>P489</f>
        <v>48.953396465300003</v>
      </c>
      <c r="AD489" s="14">
        <f>Q489</f>
        <v>2.3023404201500002</v>
      </c>
    </row>
    <row r="490" spans="1:30" s="14" customFormat="1">
      <c r="A490" s="12">
        <v>10</v>
      </c>
      <c r="B490" s="12" t="s">
        <v>569</v>
      </c>
      <c r="C490" s="14" t="str">
        <f>VLOOKUP(B490,weights!A:B,2,FALSE)</f>
        <v>M</v>
      </c>
      <c r="D490" s="13">
        <v>488</v>
      </c>
      <c r="E490" s="14" t="s">
        <v>582</v>
      </c>
      <c r="G490" s="14" t="s">
        <v>1458</v>
      </c>
      <c r="H490" s="18"/>
      <c r="I490" s="18" t="s">
        <v>1818</v>
      </c>
      <c r="J490" s="14">
        <v>489</v>
      </c>
      <c r="K490" s="14">
        <f>VLOOKUP(B490,weights!A:G,5,FALSE)</f>
        <v>3.29</v>
      </c>
      <c r="L490" s="14">
        <f>VLOOKUP(B490,weights!A:G,6,FALSE)</f>
        <v>7</v>
      </c>
      <c r="M490" s="14">
        <f>VLOOKUP(B490,weights!A:G,7,FALSE)</f>
        <v>10</v>
      </c>
      <c r="N490" t="s">
        <v>4132</v>
      </c>
      <c r="O490">
        <v>707</v>
      </c>
      <c r="P490">
        <v>48.933326059099997</v>
      </c>
      <c r="Q490">
        <v>2.3077318189899998</v>
      </c>
      <c r="R490" s="22"/>
      <c r="S490" s="22"/>
      <c r="T490" s="22"/>
      <c r="U490" s="24">
        <f>R490+S490/60+T490/3600</f>
        <v>0</v>
      </c>
      <c r="V490" s="28">
        <f>ABS(U490-P490)/P490</f>
        <v>1</v>
      </c>
      <c r="W490" s="22"/>
      <c r="X490" s="22"/>
      <c r="Y490" s="22"/>
      <c r="Z490" s="14">
        <f>W490+X490/60+Y490/3600</f>
        <v>0</v>
      </c>
      <c r="AA490" s="26">
        <f>ABS(Z490-Q490)/Q490</f>
        <v>1</v>
      </c>
      <c r="AB490" s="26"/>
      <c r="AC490" s="14">
        <f>P490</f>
        <v>48.933326059099997</v>
      </c>
      <c r="AD490" s="14">
        <f>Q490</f>
        <v>2.3077318189899998</v>
      </c>
    </row>
    <row r="491" spans="1:30" s="14" customFormat="1">
      <c r="A491" s="12">
        <v>11</v>
      </c>
      <c r="B491" s="12" t="s">
        <v>569</v>
      </c>
      <c r="C491" s="14" t="str">
        <f>VLOOKUP(B491,weights!A:B,2,FALSE)</f>
        <v>M</v>
      </c>
      <c r="D491" s="13">
        <v>489</v>
      </c>
      <c r="E491" s="14" t="s">
        <v>583</v>
      </c>
      <c r="H491" s="18"/>
      <c r="I491" s="18"/>
      <c r="J491" s="14">
        <v>490</v>
      </c>
      <c r="K491" s="14">
        <f>VLOOKUP(B491,weights!A:G,5,FALSE)</f>
        <v>3.29</v>
      </c>
      <c r="L491" s="14">
        <f>VLOOKUP(B491,weights!A:G,6,FALSE)</f>
        <v>7</v>
      </c>
      <c r="M491" s="14">
        <f>VLOOKUP(B491,weights!A:G,7,FALSE)</f>
        <v>10</v>
      </c>
      <c r="N491" t="s">
        <v>4578</v>
      </c>
      <c r="O491">
        <v>414</v>
      </c>
      <c r="P491">
        <v>48.920872803499996</v>
      </c>
      <c r="Q491">
        <v>2.3138353824700002</v>
      </c>
      <c r="R491" s="22"/>
      <c r="S491" s="22"/>
      <c r="T491" s="22"/>
      <c r="U491" s="24">
        <f>R491+S491/60+T491/3600</f>
        <v>0</v>
      </c>
      <c r="V491" s="28">
        <f>ABS(U491-P491)/P491</f>
        <v>1</v>
      </c>
      <c r="W491" s="22"/>
      <c r="X491" s="22"/>
      <c r="Y491" s="22"/>
      <c r="Z491" s="14">
        <f>W491+X491/60+Y491/3600</f>
        <v>0</v>
      </c>
      <c r="AA491" s="26">
        <f>ABS(Z491-Q491)/Q491</f>
        <v>1</v>
      </c>
      <c r="AB491" s="26"/>
      <c r="AC491" s="14">
        <f>P491</f>
        <v>48.920872803499996</v>
      </c>
      <c r="AD491" s="14">
        <f>Q491</f>
        <v>2.3138353824700002</v>
      </c>
    </row>
    <row r="492" spans="1:30" s="14" customFormat="1">
      <c r="A492" s="12">
        <v>12</v>
      </c>
      <c r="B492" s="12" t="s">
        <v>569</v>
      </c>
      <c r="C492" s="14" t="str">
        <f>VLOOKUP(B492,weights!A:B,2,FALSE)</f>
        <v>M</v>
      </c>
      <c r="D492" s="13">
        <v>490</v>
      </c>
      <c r="E492" s="14" t="s">
        <v>584</v>
      </c>
      <c r="H492" s="18"/>
      <c r="I492" s="18"/>
      <c r="J492" s="14">
        <v>491</v>
      </c>
      <c r="K492" s="14">
        <f>VLOOKUP(B492,weights!A:G,5,FALSE)</f>
        <v>3.29</v>
      </c>
      <c r="L492" s="14">
        <f>VLOOKUP(B492,weights!A:G,6,FALSE)</f>
        <v>7</v>
      </c>
      <c r="M492" s="14">
        <f>VLOOKUP(B492,weights!A:G,7,FALSE)</f>
        <v>10</v>
      </c>
      <c r="N492" t="s">
        <v>5610</v>
      </c>
      <c r="O492">
        <v>592</v>
      </c>
      <c r="P492">
        <v>48.905654955800003</v>
      </c>
      <c r="Q492">
        <v>2.3224004031400001</v>
      </c>
      <c r="R492" s="22"/>
      <c r="S492" s="22"/>
      <c r="T492" s="22"/>
      <c r="U492" s="24">
        <f>R492+S492/60+T492/3600</f>
        <v>0</v>
      </c>
      <c r="V492" s="28">
        <f>ABS(U492-P492)/P492</f>
        <v>1</v>
      </c>
      <c r="W492" s="22"/>
      <c r="X492" s="22"/>
      <c r="Y492" s="22"/>
      <c r="Z492" s="14">
        <f>W492+X492/60+Y492/3600</f>
        <v>0</v>
      </c>
      <c r="AA492" s="26">
        <f>ABS(Z492-Q492)/Q492</f>
        <v>1</v>
      </c>
      <c r="AB492" s="26"/>
      <c r="AC492" s="14">
        <f>P492</f>
        <v>48.905654955800003</v>
      </c>
      <c r="AD492" s="14">
        <f>Q492</f>
        <v>2.3224004031400001</v>
      </c>
    </row>
    <row r="493" spans="1:30" s="14" customFormat="1">
      <c r="A493" s="12">
        <v>13</v>
      </c>
      <c r="B493" s="12" t="s">
        <v>569</v>
      </c>
      <c r="C493" s="14" t="str">
        <f>VLOOKUP(B493,weights!A:B,2,FALSE)</f>
        <v>M</v>
      </c>
      <c r="D493" s="13">
        <v>491</v>
      </c>
      <c r="E493" s="14" t="s">
        <v>498</v>
      </c>
      <c r="G493" s="14" t="s">
        <v>1490</v>
      </c>
      <c r="H493" s="18"/>
      <c r="I493" s="18" t="s">
        <v>1819</v>
      </c>
      <c r="J493" s="14">
        <v>492</v>
      </c>
      <c r="K493" s="14">
        <f>VLOOKUP(B493,weights!A:G,5,FALSE)</f>
        <v>3.29</v>
      </c>
      <c r="L493" s="14">
        <f>VLOOKUP(B493,weights!A:G,6,FALSE)</f>
        <v>7</v>
      </c>
      <c r="M493" s="14">
        <f>VLOOKUP(B493,weights!A:G,7,FALSE)</f>
        <v>10</v>
      </c>
      <c r="N493" t="s">
        <v>5316</v>
      </c>
      <c r="O493">
        <v>726</v>
      </c>
      <c r="P493">
        <v>48.8941683862</v>
      </c>
      <c r="Q493">
        <v>2.3155992191800001</v>
      </c>
      <c r="R493" s="22"/>
      <c r="S493" s="22"/>
      <c r="T493" s="22"/>
      <c r="U493" s="24">
        <f>R493+S493/60+T493/3600</f>
        <v>0</v>
      </c>
      <c r="V493" s="28">
        <f>ABS(U493-P493)/P493</f>
        <v>1</v>
      </c>
      <c r="W493" s="22"/>
      <c r="X493" s="22"/>
      <c r="Y493" s="22"/>
      <c r="Z493" s="14">
        <f>W493+X493/60+Y493/3600</f>
        <v>0</v>
      </c>
      <c r="AA493" s="26">
        <f>ABS(Z493-Q493)/Q493</f>
        <v>1</v>
      </c>
      <c r="AB493" s="26"/>
      <c r="AC493" s="14">
        <f>P493</f>
        <v>48.8941683862</v>
      </c>
      <c r="AD493" s="14">
        <f>Q493</f>
        <v>2.3155992191800001</v>
      </c>
    </row>
    <row r="494" spans="1:30" s="14" customFormat="1">
      <c r="A494" s="12">
        <v>14</v>
      </c>
      <c r="B494" s="12" t="s">
        <v>569</v>
      </c>
      <c r="C494" s="14" t="str">
        <f>VLOOKUP(B494,weights!A:B,2,FALSE)</f>
        <v>M</v>
      </c>
      <c r="D494" s="13">
        <v>492</v>
      </c>
      <c r="E494" s="14" t="s">
        <v>585</v>
      </c>
      <c r="G494" s="14" t="s">
        <v>1496</v>
      </c>
      <c r="H494" s="18"/>
      <c r="I494" s="18" t="s">
        <v>1820</v>
      </c>
      <c r="J494" s="14">
        <v>493</v>
      </c>
      <c r="K494" s="14">
        <f>VLOOKUP(B494,weights!A:G,5,FALSE)</f>
        <v>3.29</v>
      </c>
      <c r="L494" s="14">
        <f>VLOOKUP(B494,weights!A:G,6,FALSE)</f>
        <v>7</v>
      </c>
      <c r="M494" s="14">
        <f>VLOOKUP(B494,weights!A:G,7,FALSE)</f>
        <v>10</v>
      </c>
      <c r="N494" t="s">
        <v>5143</v>
      </c>
      <c r="O494">
        <v>642</v>
      </c>
      <c r="P494">
        <v>48.885028422200001</v>
      </c>
      <c r="Q494">
        <v>2.2973623007200001</v>
      </c>
      <c r="R494" s="22"/>
      <c r="S494" s="22"/>
      <c r="T494" s="22"/>
      <c r="U494" s="24">
        <f>R494+S494/60+T494/3600</f>
        <v>0</v>
      </c>
      <c r="V494" s="28">
        <f>ABS(U494-P494)/P494</f>
        <v>1</v>
      </c>
      <c r="W494" s="22"/>
      <c r="X494" s="22"/>
      <c r="Y494" s="22"/>
      <c r="Z494" s="14">
        <f>W494+X494/60+Y494/3600</f>
        <v>0</v>
      </c>
      <c r="AA494" s="26">
        <f>ABS(Z494-Q494)/Q494</f>
        <v>1</v>
      </c>
      <c r="AB494" s="26"/>
      <c r="AC494" s="14">
        <f>P494</f>
        <v>48.885028422200001</v>
      </c>
      <c r="AD494" s="14">
        <f>Q494</f>
        <v>2.2973623007200001</v>
      </c>
    </row>
    <row r="495" spans="1:30" s="14" customFormat="1">
      <c r="A495" s="12">
        <v>15</v>
      </c>
      <c r="B495" s="12" t="s">
        <v>569</v>
      </c>
      <c r="C495" s="14" t="str">
        <f>VLOOKUP(B495,weights!A:B,2,FALSE)</f>
        <v>M</v>
      </c>
      <c r="D495" s="13">
        <v>493</v>
      </c>
      <c r="E495" s="14" t="s">
        <v>586</v>
      </c>
      <c r="G495" s="14" t="s">
        <v>1478</v>
      </c>
      <c r="H495" s="18"/>
      <c r="I495" s="18" t="s">
        <v>1821</v>
      </c>
      <c r="J495" s="14">
        <v>494</v>
      </c>
      <c r="K495" s="14">
        <f>VLOOKUP(B495,weights!A:G,5,FALSE)</f>
        <v>3.29</v>
      </c>
      <c r="L495" s="14">
        <f>VLOOKUP(B495,weights!A:G,6,FALSE)</f>
        <v>7</v>
      </c>
      <c r="M495" s="14">
        <f>VLOOKUP(B495,weights!A:G,7,FALSE)</f>
        <v>10</v>
      </c>
      <c r="N495" t="s">
        <v>5374</v>
      </c>
      <c r="O495">
        <v>575</v>
      </c>
      <c r="P495">
        <v>48.877349600599999</v>
      </c>
      <c r="Q495">
        <v>2.2837955570099999</v>
      </c>
      <c r="R495" s="22"/>
      <c r="S495" s="22"/>
      <c r="T495" s="22"/>
      <c r="U495" s="24">
        <f>R495+S495/60+T495/3600</f>
        <v>0</v>
      </c>
      <c r="V495" s="28">
        <f>ABS(U495-P495)/P495</f>
        <v>1</v>
      </c>
      <c r="W495" s="22"/>
      <c r="X495" s="22"/>
      <c r="Y495" s="22"/>
      <c r="Z495" s="14">
        <f>W495+X495/60+Y495/3600</f>
        <v>0</v>
      </c>
      <c r="AA495" s="26">
        <f>ABS(Z495-Q495)/Q495</f>
        <v>1</v>
      </c>
      <c r="AB495" s="26"/>
      <c r="AC495" s="14">
        <f>P495</f>
        <v>48.877349600599999</v>
      </c>
      <c r="AD495" s="14">
        <f>Q495</f>
        <v>2.2837955570099999</v>
      </c>
    </row>
    <row r="496" spans="1:30" s="14" customFormat="1">
      <c r="A496" s="12">
        <v>16</v>
      </c>
      <c r="B496" s="12" t="s">
        <v>569</v>
      </c>
      <c r="C496" s="14" t="str">
        <f>VLOOKUP(B496,weights!A:B,2,FALSE)</f>
        <v>M</v>
      </c>
      <c r="D496" s="13">
        <v>494</v>
      </c>
      <c r="E496" s="14" t="s">
        <v>587</v>
      </c>
      <c r="G496" s="14" t="s">
        <v>655</v>
      </c>
      <c r="H496" s="18"/>
      <c r="I496" s="18" t="s">
        <v>1822</v>
      </c>
      <c r="J496" s="14">
        <v>495</v>
      </c>
      <c r="K496" s="14">
        <f>VLOOKUP(B496,weights!A:G,5,FALSE)</f>
        <v>3.29</v>
      </c>
      <c r="L496" s="14">
        <f>VLOOKUP(B496,weights!A:G,6,FALSE)</f>
        <v>7</v>
      </c>
      <c r="M496" s="14">
        <f>VLOOKUP(B496,weights!A:G,7,FALSE)</f>
        <v>10</v>
      </c>
      <c r="N496" t="s">
        <v>3253</v>
      </c>
      <c r="O496">
        <v>794</v>
      </c>
      <c r="P496">
        <v>48.870974138199998</v>
      </c>
      <c r="Q496">
        <v>2.2755745268499998</v>
      </c>
      <c r="R496" s="22"/>
      <c r="S496" s="22"/>
      <c r="T496" s="22"/>
      <c r="U496" s="24">
        <f>R496+S496/60+T496/3600</f>
        <v>0</v>
      </c>
      <c r="V496" s="28">
        <f>ABS(U496-P496)/P496</f>
        <v>1</v>
      </c>
      <c r="W496" s="22"/>
      <c r="X496" s="22"/>
      <c r="Y496" s="22"/>
      <c r="Z496" s="14">
        <f>W496+X496/60+Y496/3600</f>
        <v>0</v>
      </c>
      <c r="AA496" s="26">
        <f>ABS(Z496-Q496)/Q496</f>
        <v>1</v>
      </c>
      <c r="AB496" s="26"/>
      <c r="AC496" s="14">
        <f>P496</f>
        <v>48.870974138199998</v>
      </c>
      <c r="AD496" s="14">
        <f>Q496</f>
        <v>2.2755745268499998</v>
      </c>
    </row>
    <row r="497" spans="1:30" s="14" customFormat="1">
      <c r="A497" s="12">
        <v>17</v>
      </c>
      <c r="B497" s="12" t="s">
        <v>569</v>
      </c>
      <c r="C497" s="14" t="str">
        <f>VLOOKUP(B497,weights!A:B,2,FALSE)</f>
        <v>M</v>
      </c>
      <c r="D497" s="13">
        <v>495</v>
      </c>
      <c r="E497" s="14" t="s">
        <v>588</v>
      </c>
      <c r="G497" s="14" t="s">
        <v>656</v>
      </c>
      <c r="H497" s="18"/>
      <c r="I497" s="18" t="s">
        <v>1823</v>
      </c>
      <c r="J497" s="14">
        <v>496</v>
      </c>
      <c r="K497" s="14">
        <f>VLOOKUP(B497,weights!A:G,5,FALSE)</f>
        <v>3.29</v>
      </c>
      <c r="L497" s="14">
        <f>VLOOKUP(B497,weights!A:G,6,FALSE)</f>
        <v>7</v>
      </c>
      <c r="M497" s="14">
        <f>VLOOKUP(B497,weights!A:G,7,FALSE)</f>
        <v>10</v>
      </c>
      <c r="N497" t="s">
        <v>3256</v>
      </c>
      <c r="O497">
        <v>683</v>
      </c>
      <c r="P497">
        <v>48.864461748399997</v>
      </c>
      <c r="Q497">
        <v>2.2721206216400001</v>
      </c>
      <c r="R497" s="22"/>
      <c r="S497" s="22"/>
      <c r="T497" s="22"/>
      <c r="U497" s="24">
        <f>R497+S497/60+T497/3600</f>
        <v>0</v>
      </c>
      <c r="V497" s="28">
        <f>ABS(U497-P497)/P497</f>
        <v>1</v>
      </c>
      <c r="W497" s="22"/>
      <c r="X497" s="22"/>
      <c r="Y497" s="22"/>
      <c r="Z497" s="14">
        <f>W497+X497/60+Y497/3600</f>
        <v>0</v>
      </c>
      <c r="AA497" s="26">
        <f>ABS(Z497-Q497)/Q497</f>
        <v>1</v>
      </c>
      <c r="AB497" s="26"/>
      <c r="AC497" s="14">
        <f>P497</f>
        <v>48.864461748399997</v>
      </c>
      <c r="AD497" s="14">
        <f>Q497</f>
        <v>2.2721206216400001</v>
      </c>
    </row>
    <row r="498" spans="1:30" s="14" customFormat="1">
      <c r="A498" s="12">
        <v>18</v>
      </c>
      <c r="B498" s="12" t="s">
        <v>569</v>
      </c>
      <c r="C498" s="14" t="str">
        <f>VLOOKUP(B498,weights!A:B,2,FALSE)</f>
        <v>M</v>
      </c>
      <c r="D498" s="13">
        <v>496</v>
      </c>
      <c r="E498" s="14" t="s">
        <v>589</v>
      </c>
      <c r="G498" s="14" t="s">
        <v>657</v>
      </c>
      <c r="H498" s="18"/>
      <c r="I498" s="18" t="s">
        <v>1824</v>
      </c>
      <c r="J498" s="14">
        <v>497</v>
      </c>
      <c r="K498" s="14">
        <f>VLOOKUP(B498,weights!A:G,5,FALSE)</f>
        <v>3.29</v>
      </c>
      <c r="L498" s="14">
        <f>VLOOKUP(B498,weights!A:G,6,FALSE)</f>
        <v>7</v>
      </c>
      <c r="M498" s="14">
        <f>VLOOKUP(B498,weights!A:G,7,FALSE)</f>
        <v>10</v>
      </c>
      <c r="N498" t="s">
        <v>3414</v>
      </c>
      <c r="O498">
        <v>795</v>
      </c>
      <c r="P498">
        <v>48.856531551499998</v>
      </c>
      <c r="Q498">
        <v>2.2751671546900001</v>
      </c>
      <c r="R498" s="22"/>
      <c r="S498" s="22"/>
      <c r="T498" s="22"/>
      <c r="U498" s="24">
        <f>R498+S498/60+T498/3600</f>
        <v>0</v>
      </c>
      <c r="V498" s="28">
        <f>ABS(U498-P498)/P498</f>
        <v>1</v>
      </c>
      <c r="W498" s="22"/>
      <c r="X498" s="22"/>
      <c r="Y498" s="22"/>
      <c r="Z498" s="14">
        <f>W498+X498/60+Y498/3600</f>
        <v>0</v>
      </c>
      <c r="AA498" s="26">
        <f>ABS(Z498-Q498)/Q498</f>
        <v>1</v>
      </c>
      <c r="AB498" s="26"/>
      <c r="AC498" s="14">
        <f>P498</f>
        <v>48.856531551499998</v>
      </c>
      <c r="AD498" s="14">
        <f>Q498</f>
        <v>2.2751671546900001</v>
      </c>
    </row>
    <row r="499" spans="1:30" s="14" customFormat="1">
      <c r="A499" s="12">
        <v>19</v>
      </c>
      <c r="B499" s="12" t="s">
        <v>569</v>
      </c>
      <c r="C499" s="14" t="str">
        <f>VLOOKUP(B499,weights!A:B,2,FALSE)</f>
        <v>M</v>
      </c>
      <c r="D499" s="13">
        <v>497</v>
      </c>
      <c r="E499" s="14" t="s">
        <v>590</v>
      </c>
      <c r="H499" s="18"/>
      <c r="I499" s="18"/>
      <c r="J499" s="14">
        <v>510</v>
      </c>
      <c r="K499" s="14">
        <f>VLOOKUP(B499,weights!A:G,5,FALSE)</f>
        <v>3.29</v>
      </c>
      <c r="L499" s="14">
        <f>VLOOKUP(B499,weights!A:G,6,FALSE)</f>
        <v>7</v>
      </c>
      <c r="M499" s="14">
        <f>VLOOKUP(B499,weights!A:G,7,FALSE)</f>
        <v>10</v>
      </c>
      <c r="N499" t="s">
        <v>3247</v>
      </c>
      <c r="O499">
        <v>796</v>
      </c>
      <c r="P499">
        <v>48.853648052700002</v>
      </c>
      <c r="Q499">
        <v>2.2794870718400002</v>
      </c>
      <c r="R499" s="22"/>
      <c r="S499" s="22"/>
      <c r="T499" s="22"/>
      <c r="U499" s="24">
        <f>R499+S499/60+T499/3600</f>
        <v>0</v>
      </c>
      <c r="V499" s="28">
        <f>ABS(U499-P499)/P499</f>
        <v>1</v>
      </c>
      <c r="W499" s="22"/>
      <c r="X499" s="22"/>
      <c r="Y499" s="22"/>
      <c r="Z499" s="14">
        <f>W499+X499/60+Y499/3600</f>
        <v>0</v>
      </c>
      <c r="AA499" s="26">
        <f>ABS(Z499-Q499)/Q499</f>
        <v>1</v>
      </c>
      <c r="AB499" s="26"/>
      <c r="AC499" s="14">
        <f>P499</f>
        <v>48.853648052700002</v>
      </c>
      <c r="AD499" s="14">
        <f>Q499</f>
        <v>2.2794870718400002</v>
      </c>
    </row>
    <row r="500" spans="1:30" s="14" customFormat="1">
      <c r="A500" s="12">
        <v>20</v>
      </c>
      <c r="B500" s="12" t="s">
        <v>569</v>
      </c>
      <c r="C500" s="14" t="str">
        <f>VLOOKUP(B500,weights!A:B,2,FALSE)</f>
        <v>M</v>
      </c>
      <c r="D500" s="13">
        <v>498</v>
      </c>
      <c r="E500" s="14" t="s">
        <v>659</v>
      </c>
      <c r="G500" s="14" t="s">
        <v>658</v>
      </c>
      <c r="H500" s="18"/>
      <c r="I500" s="18" t="s">
        <v>1826</v>
      </c>
      <c r="J500" s="14">
        <v>499</v>
      </c>
      <c r="K500" s="14">
        <f>VLOOKUP(B500,weights!A:G,5,FALSE)</f>
        <v>3.29</v>
      </c>
      <c r="L500" s="14">
        <f>VLOOKUP(B500,weights!A:G,6,FALSE)</f>
        <v>7</v>
      </c>
      <c r="M500" s="14">
        <f>VLOOKUP(B500,weights!A:G,7,FALSE)</f>
        <v>10</v>
      </c>
      <c r="N500" t="s">
        <v>5634</v>
      </c>
      <c r="O500">
        <v>468</v>
      </c>
      <c r="P500">
        <v>48.787390239200001</v>
      </c>
      <c r="Q500">
        <v>2.04462198988</v>
      </c>
      <c r="R500" s="22"/>
      <c r="S500" s="22"/>
      <c r="T500" s="22"/>
      <c r="U500" s="24">
        <f>R500+S500/60+T500/3600</f>
        <v>0</v>
      </c>
      <c r="V500" s="28">
        <f>ABS(U500-P500)/P500</f>
        <v>1</v>
      </c>
      <c r="W500" s="22"/>
      <c r="X500" s="22"/>
      <c r="Y500" s="22"/>
      <c r="Z500" s="14">
        <f>W500+X500/60+Y500/3600</f>
        <v>0</v>
      </c>
      <c r="AA500" s="26">
        <f>ABS(Z500-Q500)/Q500</f>
        <v>1</v>
      </c>
      <c r="AB500" s="26"/>
      <c r="AC500" s="14">
        <f>P500</f>
        <v>48.787390239200001</v>
      </c>
      <c r="AD500" s="14">
        <f>Q500</f>
        <v>2.04462198988</v>
      </c>
    </row>
    <row r="501" spans="1:30" s="14" customFormat="1">
      <c r="A501" s="12">
        <v>21</v>
      </c>
      <c r="B501" s="12" t="s">
        <v>569</v>
      </c>
      <c r="C501" s="14" t="str">
        <f>VLOOKUP(B501,weights!A:B,2,FALSE)</f>
        <v>M</v>
      </c>
      <c r="D501" s="13">
        <v>499</v>
      </c>
      <c r="E501" s="14" t="s">
        <v>591</v>
      </c>
      <c r="G501" s="14" t="s">
        <v>658</v>
      </c>
      <c r="H501" s="18"/>
      <c r="I501" s="18" t="s">
        <v>1828</v>
      </c>
      <c r="J501" s="14">
        <v>500</v>
      </c>
      <c r="K501" s="14">
        <f>VLOOKUP(B501,weights!A:G,5,FALSE)</f>
        <v>3.29</v>
      </c>
      <c r="L501" s="14">
        <f>VLOOKUP(B501,weights!A:G,6,FALSE)</f>
        <v>7</v>
      </c>
      <c r="M501" s="14">
        <f>VLOOKUP(B501,weights!A:G,7,FALSE)</f>
        <v>10</v>
      </c>
      <c r="N501" t="s">
        <v>5525</v>
      </c>
      <c r="O501">
        <v>469</v>
      </c>
      <c r="P501">
        <v>48.798707635200003</v>
      </c>
      <c r="Q501">
        <v>2.07184700048</v>
      </c>
      <c r="R501" s="22"/>
      <c r="S501" s="22"/>
      <c r="T501" s="22"/>
      <c r="U501" s="24">
        <f>R501+S501/60+T501/3600</f>
        <v>0</v>
      </c>
      <c r="V501" s="28">
        <f>ABS(U501-P501)/P501</f>
        <v>1</v>
      </c>
      <c r="W501" s="22"/>
      <c r="X501" s="22"/>
      <c r="Y501" s="22"/>
      <c r="Z501" s="14">
        <f>W501+X501/60+Y501/3600</f>
        <v>0</v>
      </c>
      <c r="AA501" s="26">
        <f>ABS(Z501-Q501)/Q501</f>
        <v>1</v>
      </c>
      <c r="AB501" s="26"/>
      <c r="AC501" s="14">
        <f>P501</f>
        <v>48.798707635200003</v>
      </c>
      <c r="AD501" s="14">
        <f>Q501</f>
        <v>2.07184700048</v>
      </c>
    </row>
    <row r="502" spans="1:30" s="14" customFormat="1">
      <c r="A502" s="12">
        <v>22</v>
      </c>
      <c r="B502" s="12" t="s">
        <v>569</v>
      </c>
      <c r="C502" s="14" t="str">
        <f>VLOOKUP(B502,weights!A:B,2,FALSE)</f>
        <v>M</v>
      </c>
      <c r="D502" s="13">
        <v>500</v>
      </c>
      <c r="E502" s="14" t="s">
        <v>592</v>
      </c>
      <c r="G502" s="14" t="s">
        <v>658</v>
      </c>
      <c r="H502" s="18"/>
      <c r="I502" s="18" t="s">
        <v>1830</v>
      </c>
      <c r="J502" s="14">
        <v>503.52100000000002</v>
      </c>
      <c r="K502" s="14">
        <f>VLOOKUP(B502,weights!A:G,5,FALSE)</f>
        <v>3.29</v>
      </c>
      <c r="L502" s="14">
        <f>VLOOKUP(B502,weights!A:G,6,FALSE)</f>
        <v>7</v>
      </c>
      <c r="M502" s="14">
        <f>VLOOKUP(B502,weights!A:G,7,FALSE)</f>
        <v>10</v>
      </c>
      <c r="N502" t="s">
        <v>5900</v>
      </c>
      <c r="O502">
        <v>705</v>
      </c>
      <c r="P502">
        <v>48.795280246300003</v>
      </c>
      <c r="Q502">
        <v>2.1360504896600001</v>
      </c>
      <c r="R502" s="22"/>
      <c r="S502" s="22"/>
      <c r="T502" s="22"/>
      <c r="U502" s="24">
        <f>R502+S502/60+T502/3600</f>
        <v>0</v>
      </c>
      <c r="V502" s="28">
        <f>ABS(U502-P502)/P502</f>
        <v>1</v>
      </c>
      <c r="W502" s="22"/>
      <c r="X502" s="22"/>
      <c r="Y502" s="22"/>
      <c r="Z502" s="14">
        <f>W502+X502/60+Y502/3600</f>
        <v>0</v>
      </c>
      <c r="AA502" s="26">
        <f>ABS(Z502-Q502)/Q502</f>
        <v>1</v>
      </c>
      <c r="AB502" s="26"/>
      <c r="AC502" s="14">
        <f>P502</f>
        <v>48.795280246300003</v>
      </c>
      <c r="AD502" s="14">
        <f>Q502</f>
        <v>2.1360504896600001</v>
      </c>
    </row>
    <row r="503" spans="1:30" s="14" customFormat="1">
      <c r="A503" s="12">
        <v>23</v>
      </c>
      <c r="B503" s="12" t="s">
        <v>569</v>
      </c>
      <c r="C503" s="14" t="str">
        <f>VLOOKUP(B503,weights!A:B,2,FALSE)</f>
        <v>M</v>
      </c>
      <c r="D503" s="13">
        <v>501</v>
      </c>
      <c r="E503" s="14" t="s">
        <v>593</v>
      </c>
      <c r="H503" s="18"/>
      <c r="I503" s="18"/>
      <c r="J503" s="14">
        <v>502</v>
      </c>
      <c r="K503" s="14">
        <f>VLOOKUP(B503,weights!A:G,5,FALSE)</f>
        <v>3.29</v>
      </c>
      <c r="L503" s="14">
        <f>VLOOKUP(B503,weights!A:G,6,FALSE)</f>
        <v>7</v>
      </c>
      <c r="M503" s="14">
        <f>VLOOKUP(B503,weights!A:G,7,FALSE)</f>
        <v>10</v>
      </c>
      <c r="N503" t="s">
        <v>5894</v>
      </c>
      <c r="O503">
        <v>731</v>
      </c>
      <c r="P503">
        <v>48.800215578100001</v>
      </c>
      <c r="Q503">
        <v>2.1290438673700001</v>
      </c>
      <c r="R503" s="22"/>
      <c r="S503" s="22"/>
      <c r="T503" s="22"/>
      <c r="U503" s="24">
        <f>R503+S503/60+T503/3600</f>
        <v>0</v>
      </c>
      <c r="V503" s="28">
        <f>ABS(U503-P503)/P503</f>
        <v>1</v>
      </c>
      <c r="W503" s="22"/>
      <c r="X503" s="22"/>
      <c r="Y503" s="22"/>
      <c r="Z503" s="14">
        <f>W503+X503/60+Y503/3600</f>
        <v>0</v>
      </c>
      <c r="AA503" s="26">
        <f>ABS(Z503-Q503)/Q503</f>
        <v>1</v>
      </c>
      <c r="AB503" s="26"/>
      <c r="AC503" s="14">
        <f>P503</f>
        <v>48.800215578100001</v>
      </c>
      <c r="AD503" s="14">
        <f>Q503</f>
        <v>2.1290438673700001</v>
      </c>
    </row>
    <row r="504" spans="1:30" s="14" customFormat="1">
      <c r="A504" s="12">
        <v>24</v>
      </c>
      <c r="B504" s="12" t="s">
        <v>569</v>
      </c>
      <c r="C504" s="14" t="str">
        <f>VLOOKUP(B504,weights!A:B,2,FALSE)</f>
        <v>M</v>
      </c>
      <c r="D504" s="13">
        <v>502</v>
      </c>
      <c r="E504" s="14" t="s">
        <v>594</v>
      </c>
      <c r="H504" s="18"/>
      <c r="I504" s="18"/>
      <c r="J504" s="14">
        <v>503</v>
      </c>
      <c r="K504" s="14">
        <f>VLOOKUP(B504,weights!A:G,5,FALSE)</f>
        <v>3.29</v>
      </c>
      <c r="L504" s="14">
        <f>VLOOKUP(B504,weights!A:G,6,FALSE)</f>
        <v>7</v>
      </c>
      <c r="M504" s="14">
        <f>VLOOKUP(B504,weights!A:G,7,FALSE)</f>
        <v>10</v>
      </c>
      <c r="N504" t="s">
        <v>5268</v>
      </c>
      <c r="O504">
        <v>730</v>
      </c>
      <c r="P504">
        <v>48.796528181100001</v>
      </c>
      <c r="Q504">
        <v>2.1523786548100001</v>
      </c>
      <c r="R504" s="22"/>
      <c r="S504" s="22"/>
      <c r="T504" s="22"/>
      <c r="U504" s="24">
        <f>R504+S504/60+T504/3600</f>
        <v>0</v>
      </c>
      <c r="V504" s="28">
        <f>ABS(U504-P504)/P504</f>
        <v>1</v>
      </c>
      <c r="W504" s="22"/>
      <c r="X504" s="22"/>
      <c r="Y504" s="22"/>
      <c r="Z504" s="14">
        <f>W504+X504/60+Y504/3600</f>
        <v>0</v>
      </c>
      <c r="AA504" s="26">
        <f>ABS(Z504-Q504)/Q504</f>
        <v>1</v>
      </c>
      <c r="AB504" s="26"/>
      <c r="AC504" s="14">
        <f>P504</f>
        <v>48.796528181100001</v>
      </c>
      <c r="AD504" s="14">
        <f>Q504</f>
        <v>2.1523786548100001</v>
      </c>
    </row>
    <row r="505" spans="1:30" s="14" customFormat="1">
      <c r="A505" s="12">
        <v>25</v>
      </c>
      <c r="B505" s="12" t="s">
        <v>569</v>
      </c>
      <c r="C505" s="14" t="str">
        <f>VLOOKUP(B505,weights!A:B,2,FALSE)</f>
        <v>M</v>
      </c>
      <c r="D505" s="13">
        <v>503</v>
      </c>
      <c r="E505" s="14" t="s">
        <v>595</v>
      </c>
      <c r="G505" s="14" t="s">
        <v>660</v>
      </c>
      <c r="H505" s="18"/>
      <c r="I505" s="18" t="s">
        <v>1831</v>
      </c>
      <c r="J505" s="14">
        <v>504</v>
      </c>
      <c r="K505" s="14">
        <f>VLOOKUP(B505,weights!A:G,5,FALSE)</f>
        <v>3.29</v>
      </c>
      <c r="L505" s="14">
        <f>VLOOKUP(B505,weights!A:G,6,FALSE)</f>
        <v>7</v>
      </c>
      <c r="M505" s="14">
        <f>VLOOKUP(B505,weights!A:G,7,FALSE)</f>
        <v>10</v>
      </c>
      <c r="N505" t="s">
        <v>5987</v>
      </c>
      <c r="O505">
        <v>571</v>
      </c>
      <c r="P505">
        <v>48.800718463899997</v>
      </c>
      <c r="Q505">
        <v>2.1713898141199999</v>
      </c>
      <c r="R505" s="22"/>
      <c r="S505" s="22"/>
      <c r="T505" s="22"/>
      <c r="U505" s="24">
        <f>R505+S505/60+T505/3600</f>
        <v>0</v>
      </c>
      <c r="V505" s="28">
        <f>ABS(U505-P505)/P505</f>
        <v>1</v>
      </c>
      <c r="W505" s="22"/>
      <c r="X505" s="22"/>
      <c r="Y505" s="22"/>
      <c r="Z505" s="14">
        <f>W505+X505/60+Y505/3600</f>
        <v>0</v>
      </c>
      <c r="AA505" s="26">
        <f>ABS(Z505-Q505)/Q505</f>
        <v>1</v>
      </c>
      <c r="AB505" s="26"/>
      <c r="AC505" s="14">
        <f>P505</f>
        <v>48.800718463899997</v>
      </c>
      <c r="AD505" s="14">
        <f>Q505</f>
        <v>2.1713898141199999</v>
      </c>
    </row>
    <row r="506" spans="1:30" s="14" customFormat="1">
      <c r="A506" s="38">
        <v>26</v>
      </c>
      <c r="B506" s="38" t="s">
        <v>569</v>
      </c>
      <c r="C506" s="39" t="str">
        <f>VLOOKUP(B506,weights!A:B,2,FALSE)</f>
        <v>M</v>
      </c>
      <c r="D506" s="40">
        <v>504</v>
      </c>
      <c r="E506" s="39" t="s">
        <v>596</v>
      </c>
      <c r="F506" s="39" t="s">
        <v>6026</v>
      </c>
      <c r="G506" s="39"/>
      <c r="H506" s="41"/>
      <c r="I506" s="41"/>
      <c r="J506" s="39">
        <v>505</v>
      </c>
      <c r="K506" s="39">
        <f>VLOOKUP(B506,weights!A:G,5,FALSE)</f>
        <v>3.29</v>
      </c>
      <c r="L506" s="39">
        <f>VLOOKUP(B506,weights!A:G,6,FALSE)</f>
        <v>7</v>
      </c>
      <c r="M506" s="39">
        <f>VLOOKUP(B506,weights!A:G,7,FALSE)</f>
        <v>10</v>
      </c>
      <c r="N506" s="39"/>
      <c r="O506" s="39"/>
      <c r="P506" s="39"/>
      <c r="Q506" s="39"/>
      <c r="R506" s="42">
        <v>48</v>
      </c>
      <c r="S506" s="42">
        <v>47</v>
      </c>
      <c r="T506" s="42">
        <v>58</v>
      </c>
      <c r="U506" s="43">
        <f>R506+S506/60+T506/3600</f>
        <v>48.79944444444444</v>
      </c>
      <c r="V506" s="44" t="e">
        <f>ABS(U506-P506)/P506</f>
        <v>#DIV/0!</v>
      </c>
      <c r="W506" s="42">
        <v>2</v>
      </c>
      <c r="X506" s="42">
        <v>11</v>
      </c>
      <c r="Y506" s="42">
        <v>3</v>
      </c>
      <c r="Z506" s="39">
        <f>W506+X506/60+Y506/3600</f>
        <v>2.1841666666666666</v>
      </c>
      <c r="AA506" s="45" t="e">
        <f>ABS(Z506-Q506)/Q506</f>
        <v>#DIV/0!</v>
      </c>
      <c r="AB506" s="45"/>
      <c r="AC506" s="39">
        <f>IF(ISBLANK(F506),P506,U506)</f>
        <v>48.79944444444444</v>
      </c>
      <c r="AD506" s="39">
        <f>IF(ISBLANK(F506),Q506,Z506)</f>
        <v>2.1841666666666666</v>
      </c>
    </row>
    <row r="507" spans="1:30" s="14" customFormat="1">
      <c r="A507" s="12">
        <v>27</v>
      </c>
      <c r="B507" s="12" t="s">
        <v>569</v>
      </c>
      <c r="C507" s="14" t="str">
        <f>VLOOKUP(B507,weights!A:B,2,FALSE)</f>
        <v>M</v>
      </c>
      <c r="D507" s="13">
        <v>505</v>
      </c>
      <c r="E507" s="14" t="s">
        <v>597</v>
      </c>
      <c r="H507" s="18"/>
      <c r="I507" s="18"/>
      <c r="J507" s="14">
        <v>506</v>
      </c>
      <c r="K507" s="14">
        <f>VLOOKUP(B507,weights!A:G,5,FALSE)</f>
        <v>3.29</v>
      </c>
      <c r="L507" s="14">
        <f>VLOOKUP(B507,weights!A:G,6,FALSE)</f>
        <v>7</v>
      </c>
      <c r="M507" s="14">
        <f>VLOOKUP(B507,weights!A:G,7,FALSE)</f>
        <v>10</v>
      </c>
      <c r="N507" t="s">
        <v>4859</v>
      </c>
      <c r="O507">
        <v>438</v>
      </c>
      <c r="P507">
        <v>48.807492623999998</v>
      </c>
      <c r="Q507">
        <v>2.2408830666399999</v>
      </c>
      <c r="R507" s="22"/>
      <c r="S507" s="22"/>
      <c r="T507" s="22"/>
      <c r="U507" s="24">
        <f>R507+S507/60+T507/3600</f>
        <v>0</v>
      </c>
      <c r="V507" s="28">
        <f>ABS(U507-P507)/P507</f>
        <v>1</v>
      </c>
      <c r="W507" s="22"/>
      <c r="X507" s="22"/>
      <c r="Y507" s="22"/>
      <c r="Z507" s="14">
        <f>W507+X507/60+Y507/3600</f>
        <v>0</v>
      </c>
      <c r="AA507" s="26">
        <f>ABS(Z507-Q507)/Q507</f>
        <v>1</v>
      </c>
      <c r="AB507" s="26"/>
      <c r="AC507" s="14">
        <f>P507</f>
        <v>48.807492623999998</v>
      </c>
      <c r="AD507" s="14">
        <f>Q507</f>
        <v>2.2408830666399999</v>
      </c>
    </row>
    <row r="508" spans="1:30" s="14" customFormat="1">
      <c r="A508" s="12">
        <v>28</v>
      </c>
      <c r="B508" s="12" t="s">
        <v>569</v>
      </c>
      <c r="C508" s="14" t="str">
        <f>VLOOKUP(B508,weights!A:B,2,FALSE)</f>
        <v>M</v>
      </c>
      <c r="D508" s="13">
        <v>506</v>
      </c>
      <c r="E508" s="14" t="s">
        <v>598</v>
      </c>
      <c r="H508" s="18"/>
      <c r="I508" s="18"/>
      <c r="J508" s="14">
        <v>507</v>
      </c>
      <c r="K508" s="14">
        <f>VLOOKUP(B508,weights!A:G,5,FALSE)</f>
        <v>3.29</v>
      </c>
      <c r="L508" s="14">
        <f>VLOOKUP(B508,weights!A:G,6,FALSE)</f>
        <v>7</v>
      </c>
      <c r="M508" s="14">
        <f>VLOOKUP(B508,weights!A:G,7,FALSE)</f>
        <v>10</v>
      </c>
      <c r="N508" t="s">
        <v>4274</v>
      </c>
      <c r="O508">
        <v>437</v>
      </c>
      <c r="P508">
        <v>48.8196744882</v>
      </c>
      <c r="Q508">
        <v>2.2587597670299999</v>
      </c>
      <c r="R508" s="22"/>
      <c r="S508" s="22"/>
      <c r="T508" s="22"/>
      <c r="U508" s="24">
        <f>R508+S508/60+T508/3600</f>
        <v>0</v>
      </c>
      <c r="V508" s="28">
        <f>ABS(U508-P508)/P508</f>
        <v>1</v>
      </c>
      <c r="W508" s="22"/>
      <c r="X508" s="22"/>
      <c r="Y508" s="22"/>
      <c r="Z508" s="14">
        <f>W508+X508/60+Y508/3600</f>
        <v>0</v>
      </c>
      <c r="AA508" s="26">
        <f>ABS(Z508-Q508)/Q508</f>
        <v>1</v>
      </c>
      <c r="AB508" s="26"/>
      <c r="AC508" s="14">
        <f>P508</f>
        <v>48.8196744882</v>
      </c>
      <c r="AD508" s="14">
        <f>Q508</f>
        <v>2.2587597670299999</v>
      </c>
    </row>
    <row r="509" spans="1:30" s="14" customFormat="1">
      <c r="A509" s="12">
        <v>29</v>
      </c>
      <c r="B509" s="12" t="s">
        <v>569</v>
      </c>
      <c r="C509" s="14" t="str">
        <f>VLOOKUP(B509,weights!A:B,2,FALSE)</f>
        <v>M</v>
      </c>
      <c r="D509" s="13">
        <v>507</v>
      </c>
      <c r="E509" s="14" t="s">
        <v>599</v>
      </c>
      <c r="G509" s="14" t="s">
        <v>661</v>
      </c>
      <c r="H509" s="18"/>
      <c r="I509" s="18" t="s">
        <v>1832</v>
      </c>
      <c r="J509" s="14">
        <v>508</v>
      </c>
      <c r="K509" s="14">
        <f>VLOOKUP(B509,weights!A:G,5,FALSE)</f>
        <v>3.29</v>
      </c>
      <c r="L509" s="14">
        <f>VLOOKUP(B509,weights!A:G,6,FALSE)</f>
        <v>7</v>
      </c>
      <c r="M509" s="14">
        <f>VLOOKUP(B509,weights!A:G,7,FALSE)</f>
        <v>10</v>
      </c>
      <c r="N509" t="s">
        <v>4277</v>
      </c>
      <c r="O509">
        <v>820</v>
      </c>
      <c r="P509">
        <v>48.830119639300001</v>
      </c>
      <c r="Q509">
        <v>2.2636896487399998</v>
      </c>
      <c r="R509" s="22"/>
      <c r="S509" s="22"/>
      <c r="T509" s="22"/>
      <c r="U509" s="24">
        <f>R509+S509/60+T509/3600</f>
        <v>0</v>
      </c>
      <c r="V509" s="28">
        <f>ABS(U509-P509)/P509</f>
        <v>1</v>
      </c>
      <c r="W509" s="22"/>
      <c r="X509" s="22"/>
      <c r="Y509" s="22"/>
      <c r="Z509" s="14">
        <f>W509+X509/60+Y509/3600</f>
        <v>0</v>
      </c>
      <c r="AA509" s="26">
        <f>ABS(Z509-Q509)/Q509</f>
        <v>1</v>
      </c>
      <c r="AB509" s="26"/>
      <c r="AC509" s="14">
        <f>P509</f>
        <v>48.830119639300001</v>
      </c>
      <c r="AD509" s="14">
        <f>Q509</f>
        <v>2.2636896487399998</v>
      </c>
    </row>
    <row r="510" spans="1:30" s="14" customFormat="1">
      <c r="A510" s="12">
        <v>30</v>
      </c>
      <c r="B510" s="12" t="s">
        <v>569</v>
      </c>
      <c r="C510" s="14" t="str">
        <f>VLOOKUP(B510,weights!A:B,2,FALSE)</f>
        <v>M</v>
      </c>
      <c r="D510" s="13">
        <v>508</v>
      </c>
      <c r="E510" s="14" t="s">
        <v>1391</v>
      </c>
      <c r="G510" s="14" t="s">
        <v>198</v>
      </c>
      <c r="H510" s="18"/>
      <c r="I510" s="18" t="s">
        <v>1833</v>
      </c>
      <c r="J510" s="14">
        <v>509</v>
      </c>
      <c r="K510" s="14">
        <f>VLOOKUP(B510,weights!A:G,5,FALSE)</f>
        <v>3.29</v>
      </c>
      <c r="L510" s="14">
        <f>VLOOKUP(B510,weights!A:G,6,FALSE)</f>
        <v>7</v>
      </c>
      <c r="M510" s="14">
        <f>VLOOKUP(B510,weights!A:G,7,FALSE)</f>
        <v>10</v>
      </c>
      <c r="N510" t="s">
        <v>5243</v>
      </c>
      <c r="O510">
        <v>682</v>
      </c>
      <c r="P510">
        <v>48.839089755400003</v>
      </c>
      <c r="Q510">
        <v>2.2704582437899998</v>
      </c>
      <c r="R510" s="22"/>
      <c r="S510" s="22"/>
      <c r="T510" s="22"/>
      <c r="U510" s="24">
        <f>R510+S510/60+T510/3600</f>
        <v>0</v>
      </c>
      <c r="V510" s="28">
        <f>ABS(U510-P510)/P510</f>
        <v>1</v>
      </c>
      <c r="W510" s="22"/>
      <c r="X510" s="22"/>
      <c r="Y510" s="22"/>
      <c r="Z510" s="14">
        <f>W510+X510/60+Y510/3600</f>
        <v>0</v>
      </c>
      <c r="AA510" s="26">
        <f>ABS(Z510-Q510)/Q510</f>
        <v>1</v>
      </c>
      <c r="AB510" s="26"/>
      <c r="AC510" s="14">
        <f>P510</f>
        <v>48.839089755400003</v>
      </c>
      <c r="AD510" s="14">
        <f>Q510</f>
        <v>2.2704582437899998</v>
      </c>
    </row>
    <row r="511" spans="1:30" s="14" customFormat="1">
      <c r="A511" s="12">
        <v>31</v>
      </c>
      <c r="B511" s="12" t="s">
        <v>569</v>
      </c>
      <c r="C511" s="14" t="str">
        <f>VLOOKUP(B511,weights!A:B,2,FALSE)</f>
        <v>M</v>
      </c>
      <c r="D511" s="13">
        <v>509</v>
      </c>
      <c r="E511" s="14" t="s">
        <v>600</v>
      </c>
      <c r="G511" s="14" t="s">
        <v>662</v>
      </c>
      <c r="H511" s="18"/>
      <c r="I511" s="18" t="s">
        <v>1834</v>
      </c>
      <c r="J511" s="14">
        <v>510</v>
      </c>
      <c r="K511" s="14">
        <f>VLOOKUP(B511,weights!A:G,5,FALSE)</f>
        <v>3.29</v>
      </c>
      <c r="L511" s="14">
        <f>VLOOKUP(B511,weights!A:G,6,FALSE)</f>
        <v>7</v>
      </c>
      <c r="M511" s="14">
        <f>VLOOKUP(B511,weights!A:G,7,FALSE)</f>
        <v>10</v>
      </c>
      <c r="N511" t="s">
        <v>4303</v>
      </c>
      <c r="O511">
        <v>714</v>
      </c>
      <c r="P511">
        <v>48.846192140500001</v>
      </c>
      <c r="Q511">
        <v>2.27676096738</v>
      </c>
      <c r="R511" s="22"/>
      <c r="S511" s="22"/>
      <c r="T511" s="22"/>
      <c r="U511" s="24">
        <f>R511+S511/60+T511/3600</f>
        <v>0</v>
      </c>
      <c r="V511" s="28">
        <f>ABS(U511-P511)/P511</f>
        <v>1</v>
      </c>
      <c r="W511" s="22"/>
      <c r="X511" s="22"/>
      <c r="Y511" s="22"/>
      <c r="Z511" s="14">
        <f>W511+X511/60+Y511/3600</f>
        <v>0</v>
      </c>
      <c r="AA511" s="26">
        <f>ABS(Z511-Q511)/Q511</f>
        <v>1</v>
      </c>
      <c r="AB511" s="26"/>
      <c r="AC511" s="14">
        <f>P511</f>
        <v>48.846192140500001</v>
      </c>
      <c r="AD511" s="14">
        <f>Q511</f>
        <v>2.27676096738</v>
      </c>
    </row>
    <row r="512" spans="1:30" s="14" customFormat="1">
      <c r="A512" s="12">
        <v>32</v>
      </c>
      <c r="B512" s="12" t="s">
        <v>569</v>
      </c>
      <c r="C512" s="14" t="str">
        <f>VLOOKUP(B512,weights!A:B,2,FALSE)</f>
        <v>M</v>
      </c>
      <c r="D512" s="13">
        <v>510</v>
      </c>
      <c r="E512" s="14" t="s">
        <v>601</v>
      </c>
      <c r="G512" s="14" t="s">
        <v>1440</v>
      </c>
      <c r="H512" s="18"/>
      <c r="I512" s="18" t="s">
        <v>1835</v>
      </c>
      <c r="J512" s="14">
        <v>511</v>
      </c>
      <c r="K512" s="14">
        <f>VLOOKUP(B512,weights!A:G,5,FALSE)</f>
        <v>3.29</v>
      </c>
      <c r="L512" s="14">
        <f>VLOOKUP(B512,weights!A:G,6,FALSE)</f>
        <v>7</v>
      </c>
      <c r="M512" s="14">
        <f>VLOOKUP(B512,weights!A:G,7,FALSE)</f>
        <v>10</v>
      </c>
      <c r="N512" t="s">
        <v>3553</v>
      </c>
      <c r="O512">
        <v>436</v>
      </c>
      <c r="P512">
        <v>48.857293415699999</v>
      </c>
      <c r="Q512">
        <v>2.2903915547999998</v>
      </c>
      <c r="R512" s="22"/>
      <c r="S512" s="22"/>
      <c r="T512" s="22"/>
      <c r="U512" s="24">
        <f>R512+S512/60+T512/3600</f>
        <v>0</v>
      </c>
      <c r="V512" s="28">
        <f>ABS(U512-P512)/P512</f>
        <v>1</v>
      </c>
      <c r="W512" s="22"/>
      <c r="X512" s="22"/>
      <c r="Y512" s="22"/>
      <c r="Z512" s="14">
        <f>W512+X512/60+Y512/3600</f>
        <v>0</v>
      </c>
      <c r="AA512" s="26">
        <f>ABS(Z512-Q512)/Q512</f>
        <v>1</v>
      </c>
      <c r="AB512" s="26"/>
      <c r="AC512" s="14">
        <f>P512</f>
        <v>48.857293415699999</v>
      </c>
      <c r="AD512" s="14">
        <f>Q512</f>
        <v>2.2903915547999998</v>
      </c>
    </row>
    <row r="513" spans="1:30" s="14" customFormat="1">
      <c r="A513" s="12">
        <v>33</v>
      </c>
      <c r="B513" s="12" t="s">
        <v>569</v>
      </c>
      <c r="C513" s="14" t="str">
        <f>VLOOKUP(B513,weights!A:B,2,FALSE)</f>
        <v>M</v>
      </c>
      <c r="D513" s="13">
        <v>511</v>
      </c>
      <c r="E513" s="14" t="s">
        <v>602</v>
      </c>
      <c r="G513" s="14" t="s">
        <v>663</v>
      </c>
      <c r="H513" s="18"/>
      <c r="I513" s="18" t="s">
        <v>1836</v>
      </c>
      <c r="J513" s="14">
        <v>512</v>
      </c>
      <c r="K513" s="14">
        <f>VLOOKUP(B513,weights!A:G,5,FALSE)</f>
        <v>3.29</v>
      </c>
      <c r="L513" s="14">
        <f>VLOOKUP(B513,weights!A:G,6,FALSE)</f>
        <v>7</v>
      </c>
      <c r="M513" s="14">
        <f>VLOOKUP(B513,weights!A:G,7,FALSE)</f>
        <v>10</v>
      </c>
      <c r="N513" t="s">
        <v>5228</v>
      </c>
      <c r="O513">
        <v>528</v>
      </c>
      <c r="P513">
        <v>48.862662451699997</v>
      </c>
      <c r="Q513">
        <v>2.3009899639300002</v>
      </c>
      <c r="R513" s="22"/>
      <c r="S513" s="22"/>
      <c r="T513" s="22"/>
      <c r="U513" s="24">
        <f>R513+S513/60+T513/3600</f>
        <v>0</v>
      </c>
      <c r="V513" s="28">
        <f>ABS(U513-P513)/P513</f>
        <v>1</v>
      </c>
      <c r="W513" s="22"/>
      <c r="X513" s="22"/>
      <c r="Y513" s="22"/>
      <c r="Z513" s="14">
        <f>W513+X513/60+Y513/3600</f>
        <v>0</v>
      </c>
      <c r="AA513" s="26">
        <f>ABS(Z513-Q513)/Q513</f>
        <v>1</v>
      </c>
      <c r="AB513" s="26"/>
      <c r="AC513" s="14">
        <f>P513</f>
        <v>48.862662451699997</v>
      </c>
      <c r="AD513" s="14">
        <f>Q513</f>
        <v>2.3009899639300002</v>
      </c>
    </row>
    <row r="514" spans="1:30" s="14" customFormat="1">
      <c r="A514" s="12">
        <v>34</v>
      </c>
      <c r="B514" s="12" t="s">
        <v>569</v>
      </c>
      <c r="C514" s="14" t="str">
        <f>VLOOKUP(B514,weights!A:B,2,FALSE)</f>
        <v>M</v>
      </c>
      <c r="D514" s="13">
        <v>512</v>
      </c>
      <c r="E514" s="14" t="s">
        <v>352</v>
      </c>
      <c r="G514" s="14" t="s">
        <v>664</v>
      </c>
      <c r="H514" s="18"/>
      <c r="I514" s="18" t="s">
        <v>1837</v>
      </c>
      <c r="J514" s="14">
        <v>513</v>
      </c>
      <c r="K514" s="14">
        <f>VLOOKUP(B514,weights!A:G,5,FALSE)</f>
        <v>3.29</v>
      </c>
      <c r="L514" s="14">
        <f>VLOOKUP(B514,weights!A:G,6,FALSE)</f>
        <v>7</v>
      </c>
      <c r="M514" s="14">
        <f>VLOOKUP(B514,weights!A:G,7,FALSE)</f>
        <v>10</v>
      </c>
      <c r="N514" t="s">
        <v>4264</v>
      </c>
      <c r="O514">
        <v>479</v>
      </c>
      <c r="P514">
        <v>48.862901844200003</v>
      </c>
      <c r="Q514">
        <v>2.31390890638</v>
      </c>
      <c r="R514" s="22"/>
      <c r="S514" s="22"/>
      <c r="T514" s="22"/>
      <c r="U514" s="24">
        <f>R514+S514/60+T514/3600</f>
        <v>0</v>
      </c>
      <c r="V514" s="28">
        <f>ABS(U514-P514)/P514</f>
        <v>1</v>
      </c>
      <c r="W514" s="22"/>
      <c r="X514" s="22"/>
      <c r="Y514" s="22"/>
      <c r="Z514" s="14">
        <f>W514+X514/60+Y514/3600</f>
        <v>0</v>
      </c>
      <c r="AA514" s="26">
        <f>ABS(Z514-Q514)/Q514</f>
        <v>1</v>
      </c>
      <c r="AB514" s="26"/>
      <c r="AC514" s="14">
        <f>P514</f>
        <v>48.862901844200003</v>
      </c>
      <c r="AD514" s="14">
        <f>Q514</f>
        <v>2.31390890638</v>
      </c>
    </row>
    <row r="515" spans="1:30" s="14" customFormat="1">
      <c r="A515" s="12">
        <v>35</v>
      </c>
      <c r="B515" s="12" t="s">
        <v>569</v>
      </c>
      <c r="C515" s="14" t="str">
        <f>VLOOKUP(B515,weights!A:B,2,FALSE)</f>
        <v>M</v>
      </c>
      <c r="D515" s="13">
        <v>513</v>
      </c>
      <c r="E515" s="14" t="s">
        <v>603</v>
      </c>
      <c r="G515" s="14" t="s">
        <v>1476</v>
      </c>
      <c r="H515" s="18"/>
      <c r="I515" s="18" t="s">
        <v>1838</v>
      </c>
      <c r="J515" s="14">
        <v>514</v>
      </c>
      <c r="K515" s="14">
        <f>VLOOKUP(B515,weights!A:G,5,FALSE)</f>
        <v>3.29</v>
      </c>
      <c r="L515" s="14">
        <f>VLOOKUP(B515,weights!A:G,6,FALSE)</f>
        <v>7</v>
      </c>
      <c r="M515" s="14">
        <f>VLOOKUP(B515,weights!A:G,7,FALSE)</f>
        <v>10</v>
      </c>
      <c r="N515" t="s">
        <v>4956</v>
      </c>
      <c r="O515">
        <v>793</v>
      </c>
      <c r="P515">
        <v>48.860708232500002</v>
      </c>
      <c r="Q515">
        <v>2.3256202919</v>
      </c>
      <c r="R515" s="22"/>
      <c r="S515" s="22"/>
      <c r="T515" s="22"/>
      <c r="U515" s="24">
        <f>R515+S515/60+T515/3600</f>
        <v>0</v>
      </c>
      <c r="V515" s="28">
        <f>ABS(U515-P515)/P515</f>
        <v>1</v>
      </c>
      <c r="W515" s="22"/>
      <c r="X515" s="22"/>
      <c r="Y515" s="22"/>
      <c r="Z515" s="14">
        <f>W515+X515/60+Y515/3600</f>
        <v>0</v>
      </c>
      <c r="AA515" s="26">
        <f>ABS(Z515-Q515)/Q515</f>
        <v>1</v>
      </c>
      <c r="AB515" s="26"/>
      <c r="AC515" s="14">
        <f>P515</f>
        <v>48.860708232500002</v>
      </c>
      <c r="AD515" s="14">
        <f>Q515</f>
        <v>2.3256202919</v>
      </c>
    </row>
    <row r="516" spans="1:30" s="14" customFormat="1">
      <c r="A516" s="12">
        <v>36</v>
      </c>
      <c r="B516" s="12" t="s">
        <v>569</v>
      </c>
      <c r="C516" s="14" t="str">
        <f>VLOOKUP(B516,weights!A:B,2,FALSE)</f>
        <v>M</v>
      </c>
      <c r="D516" s="13">
        <v>514</v>
      </c>
      <c r="E516" s="14" t="s">
        <v>604</v>
      </c>
      <c r="G516" s="14" t="s">
        <v>1474</v>
      </c>
      <c r="H516" s="18" t="s">
        <v>1735</v>
      </c>
      <c r="I516" s="18" t="s">
        <v>1839</v>
      </c>
      <c r="J516" s="14">
        <v>515</v>
      </c>
      <c r="K516" s="14">
        <f>VLOOKUP(B516,weights!A:G,5,FALSE)</f>
        <v>3.29</v>
      </c>
      <c r="L516" s="14">
        <f>VLOOKUP(B516,weights!A:G,6,FALSE)</f>
        <v>7</v>
      </c>
      <c r="M516" s="14">
        <f>VLOOKUP(B516,weights!A:G,7,FALSE)</f>
        <v>10</v>
      </c>
      <c r="N516" t="s">
        <v>5600</v>
      </c>
      <c r="O516">
        <v>819</v>
      </c>
      <c r="P516">
        <v>48.8532518986</v>
      </c>
      <c r="Q516">
        <v>2.3446604801499999</v>
      </c>
      <c r="R516" s="22"/>
      <c r="S516" s="22"/>
      <c r="T516" s="22"/>
      <c r="U516" s="24">
        <f>R516+S516/60+T516/3600</f>
        <v>0</v>
      </c>
      <c r="V516" s="28">
        <f>ABS(U516-P516)/P516</f>
        <v>1</v>
      </c>
      <c r="W516" s="22"/>
      <c r="X516" s="22"/>
      <c r="Y516" s="22"/>
      <c r="Z516" s="14">
        <f>W516+X516/60+Y516/3600</f>
        <v>0</v>
      </c>
      <c r="AA516" s="26">
        <f>ABS(Z516-Q516)/Q516</f>
        <v>1</v>
      </c>
      <c r="AB516" s="26"/>
      <c r="AC516" s="14">
        <f>P516</f>
        <v>48.8532518986</v>
      </c>
      <c r="AD516" s="14">
        <f>Q516</f>
        <v>2.3446604801499999</v>
      </c>
    </row>
    <row r="517" spans="1:30" s="14" customFormat="1">
      <c r="A517" s="12">
        <v>37</v>
      </c>
      <c r="B517" s="12" t="s">
        <v>569</v>
      </c>
      <c r="C517" s="14" t="str">
        <f>VLOOKUP(B517,weights!A:B,2,FALSE)</f>
        <v>M</v>
      </c>
      <c r="D517" s="13">
        <v>515</v>
      </c>
      <c r="E517" s="14" t="s">
        <v>605</v>
      </c>
      <c r="G517" s="14" t="s">
        <v>1504</v>
      </c>
      <c r="H517" s="18"/>
      <c r="I517" s="18" t="s">
        <v>1840</v>
      </c>
      <c r="J517" s="14">
        <v>516</v>
      </c>
      <c r="K517" s="14">
        <f>VLOOKUP(B517,weights!A:G,5,FALSE)</f>
        <v>3.29</v>
      </c>
      <c r="L517" s="14">
        <f>VLOOKUP(B517,weights!A:G,6,FALSE)</f>
        <v>7</v>
      </c>
      <c r="M517" s="14">
        <f>VLOOKUP(B517,weights!A:G,7,FALSE)</f>
        <v>10</v>
      </c>
      <c r="N517" t="s">
        <v>3236</v>
      </c>
      <c r="O517">
        <v>476</v>
      </c>
      <c r="P517">
        <v>48.842360082500001</v>
      </c>
      <c r="Q517">
        <v>2.3655817041099998</v>
      </c>
      <c r="R517" s="22"/>
      <c r="S517" s="22"/>
      <c r="T517" s="22"/>
      <c r="U517" s="24">
        <f>R517+S517/60+T517/3600</f>
        <v>0</v>
      </c>
      <c r="V517" s="28">
        <f>ABS(U517-P517)/P517</f>
        <v>1</v>
      </c>
      <c r="W517" s="22"/>
      <c r="X517" s="22"/>
      <c r="Y517" s="22"/>
      <c r="Z517" s="14">
        <f>W517+X517/60+Y517/3600</f>
        <v>0</v>
      </c>
      <c r="AA517" s="26">
        <f>ABS(Z517-Q517)/Q517</f>
        <v>1</v>
      </c>
      <c r="AB517" s="26"/>
      <c r="AC517" s="14">
        <f>P517</f>
        <v>48.842360082500001</v>
      </c>
      <c r="AD517" s="14">
        <f>Q517</f>
        <v>2.3655817041099998</v>
      </c>
    </row>
    <row r="518" spans="1:30" s="14" customFormat="1">
      <c r="A518" s="12">
        <v>38</v>
      </c>
      <c r="B518" s="12" t="s">
        <v>569</v>
      </c>
      <c r="C518" s="14" t="str">
        <f>VLOOKUP(B518,weights!A:B,2,FALSE)</f>
        <v>M</v>
      </c>
      <c r="D518" s="13">
        <v>516</v>
      </c>
      <c r="E518" s="14" t="s">
        <v>606</v>
      </c>
      <c r="G518" s="14" t="s">
        <v>665</v>
      </c>
      <c r="H518" s="18"/>
      <c r="I518" s="18" t="s">
        <v>1841</v>
      </c>
      <c r="J518" s="14">
        <v>517</v>
      </c>
      <c r="K518" s="14">
        <f>VLOOKUP(B518,weights!A:G,5,FALSE)</f>
        <v>3.29</v>
      </c>
      <c r="L518" s="14">
        <f>VLOOKUP(B518,weights!A:G,6,FALSE)</f>
        <v>7</v>
      </c>
      <c r="M518" s="14">
        <f>VLOOKUP(B518,weights!A:G,7,FALSE)</f>
        <v>10</v>
      </c>
      <c r="N518" t="s">
        <v>3331</v>
      </c>
      <c r="O518">
        <v>718</v>
      </c>
      <c r="P518">
        <v>48.830258457299998</v>
      </c>
      <c r="Q518">
        <v>2.3763107213899999</v>
      </c>
      <c r="R518" s="22"/>
      <c r="S518" s="22"/>
      <c r="T518" s="22"/>
      <c r="U518" s="24">
        <f>R518+S518/60+T518/3600</f>
        <v>0</v>
      </c>
      <c r="V518" s="28">
        <f>ABS(U518-P518)/P518</f>
        <v>1</v>
      </c>
      <c r="W518" s="22"/>
      <c r="X518" s="22"/>
      <c r="Y518" s="22"/>
      <c r="Z518" s="14">
        <f>W518+X518/60+Y518/3600</f>
        <v>0</v>
      </c>
      <c r="AA518" s="26">
        <f>ABS(Z518-Q518)/Q518</f>
        <v>1</v>
      </c>
      <c r="AB518" s="26"/>
      <c r="AC518" s="14">
        <f>P518</f>
        <v>48.830258457299998</v>
      </c>
      <c r="AD518" s="14">
        <f>Q518</f>
        <v>2.3763107213899999</v>
      </c>
    </row>
    <row r="519" spans="1:30" s="14" customFormat="1">
      <c r="A519" s="12">
        <v>39</v>
      </c>
      <c r="B519" s="12" t="s">
        <v>569</v>
      </c>
      <c r="C519" s="14" t="str">
        <f>VLOOKUP(B519,weights!A:B,2,FALSE)</f>
        <v>M</v>
      </c>
      <c r="D519" s="13">
        <v>517</v>
      </c>
      <c r="E519" s="14" t="s">
        <v>607</v>
      </c>
      <c r="H519" s="18"/>
      <c r="I519" s="18"/>
      <c r="J519" s="14">
        <v>518</v>
      </c>
      <c r="K519" s="14">
        <f>VLOOKUP(B519,weights!A:G,5,FALSE)</f>
        <v>3.29</v>
      </c>
      <c r="L519" s="14">
        <f>VLOOKUP(B519,weights!A:G,6,FALSE)</f>
        <v>7</v>
      </c>
      <c r="M519" s="14">
        <f>VLOOKUP(B519,weights!A:G,7,FALSE)</f>
        <v>10</v>
      </c>
      <c r="N519" t="s">
        <v>4281</v>
      </c>
      <c r="O519">
        <v>505</v>
      </c>
      <c r="P519">
        <v>48.813989051100002</v>
      </c>
      <c r="Q519">
        <v>2.39168697167</v>
      </c>
      <c r="R519" s="22"/>
      <c r="S519" s="22"/>
      <c r="T519" s="22"/>
      <c r="U519" s="24">
        <f>R519+S519/60+T519/3600</f>
        <v>0</v>
      </c>
      <c r="V519" s="28">
        <f>ABS(U519-P519)/P519</f>
        <v>1</v>
      </c>
      <c r="W519" s="22"/>
      <c r="X519" s="22"/>
      <c r="Y519" s="22"/>
      <c r="Z519" s="14">
        <f>W519+X519/60+Y519/3600</f>
        <v>0</v>
      </c>
      <c r="AA519" s="26">
        <f>ABS(Z519-Q519)/Q519</f>
        <v>1</v>
      </c>
      <c r="AB519" s="26"/>
      <c r="AC519" s="14">
        <f>P519</f>
        <v>48.813989051100002</v>
      </c>
      <c r="AD519" s="14">
        <f>Q519</f>
        <v>2.39168697167</v>
      </c>
    </row>
    <row r="520" spans="1:30" s="14" customFormat="1">
      <c r="A520" s="12">
        <v>40</v>
      </c>
      <c r="B520" s="12" t="s">
        <v>569</v>
      </c>
      <c r="C520" s="14" t="str">
        <f>VLOOKUP(B520,weights!A:B,2,FALSE)</f>
        <v>M</v>
      </c>
      <c r="D520" s="13">
        <v>518</v>
      </c>
      <c r="E520" s="14" t="s">
        <v>608</v>
      </c>
      <c r="H520" s="18"/>
      <c r="I520" s="18"/>
      <c r="J520" s="14">
        <v>519</v>
      </c>
      <c r="K520" s="14">
        <f>VLOOKUP(B520,weights!A:G,5,FALSE)</f>
        <v>3.29</v>
      </c>
      <c r="L520" s="14">
        <f>VLOOKUP(B520,weights!A:G,6,FALSE)</f>
        <v>7</v>
      </c>
      <c r="M520" s="14">
        <f>VLOOKUP(B520,weights!A:G,7,FALSE)</f>
        <v>10</v>
      </c>
      <c r="N520" t="s">
        <v>5994</v>
      </c>
      <c r="O520">
        <v>506</v>
      </c>
      <c r="P520">
        <v>48.800209400100002</v>
      </c>
      <c r="Q520">
        <v>2.4027128171599998</v>
      </c>
      <c r="R520" s="22"/>
      <c r="S520" s="22"/>
      <c r="T520" s="22"/>
      <c r="U520" s="24">
        <f>R520+S520/60+T520/3600</f>
        <v>0</v>
      </c>
      <c r="V520" s="28">
        <f>ABS(U520-P520)/P520</f>
        <v>1</v>
      </c>
      <c r="W520" s="22"/>
      <c r="X520" s="22"/>
      <c r="Y520" s="22"/>
      <c r="Z520" s="14">
        <f>W520+X520/60+Y520/3600</f>
        <v>0</v>
      </c>
      <c r="AA520" s="26">
        <f>ABS(Z520-Q520)/Q520</f>
        <v>1</v>
      </c>
      <c r="AB520" s="26"/>
      <c r="AC520" s="14">
        <f>P520</f>
        <v>48.800209400100002</v>
      </c>
      <c r="AD520" s="14">
        <f>Q520</f>
        <v>2.4027128171599998</v>
      </c>
    </row>
    <row r="521" spans="1:30" s="14" customFormat="1">
      <c r="A521" s="12">
        <v>41</v>
      </c>
      <c r="B521" s="12" t="s">
        <v>569</v>
      </c>
      <c r="C521" s="14" t="str">
        <f>VLOOKUP(B521,weights!A:B,2,FALSE)</f>
        <v>M</v>
      </c>
      <c r="D521" s="13">
        <v>519</v>
      </c>
      <c r="E521" s="14" t="s">
        <v>609</v>
      </c>
      <c r="H521" s="18"/>
      <c r="I521" s="18"/>
      <c r="J521" s="14">
        <v>520</v>
      </c>
      <c r="K521" s="14">
        <f>VLOOKUP(B521,weights!A:G,5,FALSE)</f>
        <v>3.29</v>
      </c>
      <c r="L521" s="14">
        <f>VLOOKUP(B521,weights!A:G,6,FALSE)</f>
        <v>7</v>
      </c>
      <c r="M521" s="14">
        <f>VLOOKUP(B521,weights!A:G,7,FALSE)</f>
        <v>10</v>
      </c>
      <c r="N521" t="s">
        <v>4545</v>
      </c>
      <c r="O521">
        <v>295</v>
      </c>
      <c r="P521">
        <v>48.782505435499999</v>
      </c>
      <c r="Q521">
        <v>2.4095416551</v>
      </c>
      <c r="R521" s="22"/>
      <c r="S521" s="22"/>
      <c r="T521" s="22"/>
      <c r="U521" s="24">
        <f>R521+S521/60+T521/3600</f>
        <v>0</v>
      </c>
      <c r="V521" s="28">
        <f>ABS(U521-P521)/P521</f>
        <v>1</v>
      </c>
      <c r="W521" s="22"/>
      <c r="X521" s="22"/>
      <c r="Y521" s="22"/>
      <c r="Z521" s="14">
        <f>W521+X521/60+Y521/3600</f>
        <v>0</v>
      </c>
      <c r="AA521" s="26">
        <f>ABS(Z521-Q521)/Q521</f>
        <v>1</v>
      </c>
      <c r="AB521" s="26"/>
      <c r="AC521" s="14">
        <f>P521</f>
        <v>48.782505435499999</v>
      </c>
      <c r="AD521" s="14">
        <f>Q521</f>
        <v>2.4095416551</v>
      </c>
    </row>
    <row r="522" spans="1:30" s="14" customFormat="1">
      <c r="A522" s="12">
        <v>42</v>
      </c>
      <c r="B522" s="12" t="s">
        <v>569</v>
      </c>
      <c r="C522" s="14" t="str">
        <f>VLOOKUP(B522,weights!A:B,2,FALSE)</f>
        <v>M</v>
      </c>
      <c r="D522" s="13">
        <v>520</v>
      </c>
      <c r="E522" s="14" t="s">
        <v>622</v>
      </c>
      <c r="H522" s="18"/>
      <c r="I522" s="18"/>
      <c r="J522" s="14">
        <v>532.53300000000002</v>
      </c>
      <c r="K522" s="14">
        <f>VLOOKUP(B522,weights!A:G,5,FALSE)</f>
        <v>3.29</v>
      </c>
      <c r="L522" s="14">
        <f>VLOOKUP(B522,weights!A:G,6,FALSE)</f>
        <v>7</v>
      </c>
      <c r="M522" s="14">
        <f>VLOOKUP(B522,weights!A:G,7,FALSE)</f>
        <v>10</v>
      </c>
      <c r="N522" t="s">
        <v>3690</v>
      </c>
      <c r="O522">
        <v>765</v>
      </c>
      <c r="P522">
        <v>48.763786806900001</v>
      </c>
      <c r="Q522">
        <v>2.41138672633</v>
      </c>
      <c r="R522" s="22"/>
      <c r="S522" s="22"/>
      <c r="T522" s="22"/>
      <c r="U522" s="24">
        <f>R522+S522/60+T522/3600</f>
        <v>0</v>
      </c>
      <c r="V522" s="28">
        <f>ABS(U522-P522)/P522</f>
        <v>1</v>
      </c>
      <c r="W522" s="22"/>
      <c r="X522" s="22"/>
      <c r="Y522" s="22"/>
      <c r="Z522" s="14">
        <f>W522+X522/60+Y522/3600</f>
        <v>0</v>
      </c>
      <c r="AA522" s="26">
        <f>ABS(Z522-Q522)/Q522</f>
        <v>1</v>
      </c>
      <c r="AB522" s="26"/>
      <c r="AC522" s="14">
        <f>P522</f>
        <v>48.763786806900001</v>
      </c>
      <c r="AD522" s="14">
        <f>Q522</f>
        <v>2.41138672633</v>
      </c>
    </row>
    <row r="523" spans="1:30" s="14" customFormat="1">
      <c r="A523" s="12">
        <v>43</v>
      </c>
      <c r="B523" s="12" t="s">
        <v>569</v>
      </c>
      <c r="C523" s="14" t="str">
        <f>VLOOKUP(B523,weights!A:B,2,FALSE)</f>
        <v>M</v>
      </c>
      <c r="D523" s="13">
        <v>521</v>
      </c>
      <c r="E523" s="14" t="s">
        <v>610</v>
      </c>
      <c r="H523" s="18"/>
      <c r="I523" s="18"/>
      <c r="J523" s="14">
        <v>522</v>
      </c>
      <c r="K523" s="14">
        <f>VLOOKUP(B523,weights!A:G,5,FALSE)</f>
        <v>3.29</v>
      </c>
      <c r="L523" s="14">
        <f>VLOOKUP(B523,weights!A:G,6,FALSE)</f>
        <v>7</v>
      </c>
      <c r="M523" s="14">
        <f>VLOOKUP(B523,weights!A:G,7,FALSE)</f>
        <v>10</v>
      </c>
      <c r="N523" t="s">
        <v>5159</v>
      </c>
      <c r="O523">
        <v>179</v>
      </c>
      <c r="P523">
        <v>48.770425206600002</v>
      </c>
      <c r="Q523">
        <v>2.1468316446900002</v>
      </c>
      <c r="R523" s="22"/>
      <c r="S523" s="22"/>
      <c r="T523" s="22"/>
      <c r="U523" s="24">
        <f>R523+S523/60+T523/3600</f>
        <v>0</v>
      </c>
      <c r="V523" s="28">
        <f>ABS(U523-P523)/P523</f>
        <v>1</v>
      </c>
      <c r="W523" s="22"/>
      <c r="X523" s="22"/>
      <c r="Y523" s="22"/>
      <c r="Z523" s="14">
        <f>W523+X523/60+Y523/3600</f>
        <v>0</v>
      </c>
      <c r="AA523" s="26">
        <f>ABS(Z523-Q523)/Q523</f>
        <v>1</v>
      </c>
      <c r="AB523" s="26"/>
      <c r="AC523" s="14">
        <f>P523</f>
        <v>48.770425206600002</v>
      </c>
      <c r="AD523" s="14">
        <f>Q523</f>
        <v>2.1468316446900002</v>
      </c>
    </row>
    <row r="524" spans="1:30" s="14" customFormat="1">
      <c r="A524" s="12">
        <v>44</v>
      </c>
      <c r="B524" s="12" t="s">
        <v>569</v>
      </c>
      <c r="C524" s="14" t="str">
        <f>VLOOKUP(B524,weights!A:B,2,FALSE)</f>
        <v>M</v>
      </c>
      <c r="D524" s="13">
        <v>522</v>
      </c>
      <c r="E524" s="14" t="s">
        <v>611</v>
      </c>
      <c r="H524" s="18"/>
      <c r="I524" s="18"/>
      <c r="J524" s="14">
        <v>523</v>
      </c>
      <c r="K524" s="14">
        <f>VLOOKUP(B524,weights!A:G,5,FALSE)</f>
        <v>3.29</v>
      </c>
      <c r="L524" s="14">
        <f>VLOOKUP(B524,weights!A:G,6,FALSE)</f>
        <v>7</v>
      </c>
      <c r="M524" s="14">
        <f>VLOOKUP(B524,weights!A:G,7,FALSE)</f>
        <v>10</v>
      </c>
      <c r="N524" t="s">
        <v>4331</v>
      </c>
      <c r="O524">
        <v>180</v>
      </c>
      <c r="P524">
        <v>48.764776012900001</v>
      </c>
      <c r="Q524">
        <v>2.1639470845200002</v>
      </c>
      <c r="R524" s="22"/>
      <c r="S524" s="22"/>
      <c r="T524" s="22"/>
      <c r="U524" s="24">
        <f>R524+S524/60+T524/3600</f>
        <v>0</v>
      </c>
      <c r="V524" s="28">
        <f>ABS(U524-P524)/P524</f>
        <v>1</v>
      </c>
      <c r="W524" s="22"/>
      <c r="X524" s="22"/>
      <c r="Y524" s="22"/>
      <c r="Z524" s="14">
        <f>W524+X524/60+Y524/3600</f>
        <v>0</v>
      </c>
      <c r="AA524" s="26">
        <f>ABS(Z524-Q524)/Q524</f>
        <v>1</v>
      </c>
      <c r="AB524" s="26"/>
      <c r="AC524" s="14">
        <f>P524</f>
        <v>48.764776012900001</v>
      </c>
      <c r="AD524" s="14">
        <f>Q524</f>
        <v>2.1639470845200002</v>
      </c>
    </row>
    <row r="525" spans="1:30" s="14" customFormat="1">
      <c r="A525" s="12">
        <v>45</v>
      </c>
      <c r="B525" s="12" t="s">
        <v>569</v>
      </c>
      <c r="C525" s="14" t="str">
        <f>VLOOKUP(B525,weights!A:B,2,FALSE)</f>
        <v>M</v>
      </c>
      <c r="D525" s="13">
        <v>523</v>
      </c>
      <c r="E525" s="14" t="s">
        <v>612</v>
      </c>
      <c r="H525" s="18"/>
      <c r="I525" s="18"/>
      <c r="J525" s="14">
        <v>524</v>
      </c>
      <c r="K525" s="14">
        <f>VLOOKUP(B525,weights!A:G,5,FALSE)</f>
        <v>3.29</v>
      </c>
      <c r="L525" s="14">
        <f>VLOOKUP(B525,weights!A:G,6,FALSE)</f>
        <v>7</v>
      </c>
      <c r="M525" s="14">
        <f>VLOOKUP(B525,weights!A:G,7,FALSE)</f>
        <v>10</v>
      </c>
      <c r="N525" t="s">
        <v>5861</v>
      </c>
      <c r="O525">
        <v>908</v>
      </c>
      <c r="P525">
        <v>48.759188985900003</v>
      </c>
      <c r="Q525">
        <v>2.19213580582</v>
      </c>
      <c r="R525" s="22"/>
      <c r="S525" s="22"/>
      <c r="T525" s="22"/>
      <c r="U525" s="24">
        <f>R525+S525/60+T525/3600</f>
        <v>0</v>
      </c>
      <c r="V525" s="28">
        <f>ABS(U525-P525)/P525</f>
        <v>1</v>
      </c>
      <c r="W525" s="22"/>
      <c r="X525" s="22"/>
      <c r="Y525" s="22"/>
      <c r="Z525" s="14">
        <f>W525+X525/60+Y525/3600</f>
        <v>0</v>
      </c>
      <c r="AA525" s="26">
        <f>ABS(Z525-Q525)/Q525</f>
        <v>1</v>
      </c>
      <c r="AB525" s="26"/>
      <c r="AC525" s="14">
        <f>P525</f>
        <v>48.759188985900003</v>
      </c>
      <c r="AD525" s="14">
        <f>Q525</f>
        <v>2.19213580582</v>
      </c>
    </row>
    <row r="526" spans="1:30" s="14" customFormat="1">
      <c r="A526" s="12">
        <v>46</v>
      </c>
      <c r="B526" s="12" t="s">
        <v>569</v>
      </c>
      <c r="C526" s="14" t="str">
        <f>VLOOKUP(B526,weights!A:B,2,FALSE)</f>
        <v>M</v>
      </c>
      <c r="D526" s="13">
        <v>524</v>
      </c>
      <c r="E526" s="14" t="s">
        <v>613</v>
      </c>
      <c r="H526" s="18"/>
      <c r="I526" s="18"/>
      <c r="J526" s="14">
        <v>525</v>
      </c>
      <c r="K526" s="14">
        <f>VLOOKUP(B526,weights!A:G,5,FALSE)</f>
        <v>3.29</v>
      </c>
      <c r="L526" s="14">
        <f>VLOOKUP(B526,weights!A:G,6,FALSE)</f>
        <v>7</v>
      </c>
      <c r="M526" s="14">
        <f>VLOOKUP(B526,weights!A:G,7,FALSE)</f>
        <v>10</v>
      </c>
      <c r="N526" t="s">
        <v>3335</v>
      </c>
      <c r="O526">
        <v>96</v>
      </c>
      <c r="P526">
        <v>48.751023275999998</v>
      </c>
      <c r="Q526">
        <v>2.2158608532600002</v>
      </c>
      <c r="R526" s="22"/>
      <c r="S526" s="22"/>
      <c r="T526" s="22"/>
      <c r="U526" s="24">
        <f>R526+S526/60+T526/3600</f>
        <v>0</v>
      </c>
      <c r="V526" s="28">
        <f>ABS(U526-P526)/P526</f>
        <v>1</v>
      </c>
      <c r="W526" s="22"/>
      <c r="X526" s="22"/>
      <c r="Y526" s="22"/>
      <c r="Z526" s="14">
        <f>W526+X526/60+Y526/3600</f>
        <v>0</v>
      </c>
      <c r="AA526" s="26">
        <f>ABS(Z526-Q526)/Q526</f>
        <v>1</v>
      </c>
      <c r="AB526" s="26"/>
      <c r="AC526" s="14">
        <f>P526</f>
        <v>48.751023275999998</v>
      </c>
      <c r="AD526" s="14">
        <f>Q526</f>
        <v>2.2158608532600002</v>
      </c>
    </row>
    <row r="527" spans="1:30" s="14" customFormat="1">
      <c r="A527" s="12">
        <v>47</v>
      </c>
      <c r="B527" s="12" t="s">
        <v>569</v>
      </c>
      <c r="C527" s="14" t="str">
        <f>VLOOKUP(B527,weights!A:B,2,FALSE)</f>
        <v>M</v>
      </c>
      <c r="D527" s="13">
        <v>525</v>
      </c>
      <c r="E527" s="14" t="s">
        <v>614</v>
      </c>
      <c r="H527" s="18"/>
      <c r="I527" s="18"/>
      <c r="J527" s="14">
        <v>526</v>
      </c>
      <c r="K527" s="14">
        <f>VLOOKUP(B527,weights!A:G,5,FALSE)</f>
        <v>3.29</v>
      </c>
      <c r="L527" s="14">
        <f>VLOOKUP(B527,weights!A:G,6,FALSE)</f>
        <v>7</v>
      </c>
      <c r="M527" s="14">
        <f>VLOOKUP(B527,weights!A:G,7,FALSE)</f>
        <v>10</v>
      </c>
      <c r="N527" t="s">
        <v>4258</v>
      </c>
      <c r="O527">
        <v>921</v>
      </c>
      <c r="P527">
        <v>48.740181522</v>
      </c>
      <c r="Q527">
        <v>2.2309611250499999</v>
      </c>
      <c r="R527" s="22"/>
      <c r="S527" s="22"/>
      <c r="T527" s="22"/>
      <c r="U527" s="24">
        <f>R527+S527/60+T527/3600</f>
        <v>0</v>
      </c>
      <c r="V527" s="28">
        <f>ABS(U527-P527)/P527</f>
        <v>1</v>
      </c>
      <c r="W527" s="22"/>
      <c r="X527" s="22"/>
      <c r="Y527" s="22"/>
      <c r="Z527" s="14">
        <f>W527+X527/60+Y527/3600</f>
        <v>0</v>
      </c>
      <c r="AA527" s="26">
        <f>ABS(Z527-Q527)/Q527</f>
        <v>1</v>
      </c>
      <c r="AB527" s="26"/>
      <c r="AC527" s="14">
        <f>P527</f>
        <v>48.740181522</v>
      </c>
      <c r="AD527" s="14">
        <f>Q527</f>
        <v>2.2309611250499999</v>
      </c>
    </row>
    <row r="528" spans="1:30" s="14" customFormat="1">
      <c r="A528" s="12">
        <v>48</v>
      </c>
      <c r="B528" s="12" t="s">
        <v>569</v>
      </c>
      <c r="C528" s="14" t="str">
        <f>VLOOKUP(B528,weights!A:B,2,FALSE)</f>
        <v>M</v>
      </c>
      <c r="D528" s="13">
        <v>526</v>
      </c>
      <c r="E528" s="14" t="s">
        <v>615</v>
      </c>
      <c r="G528" s="14" t="s">
        <v>571</v>
      </c>
      <c r="H528" s="18" t="s">
        <v>1842</v>
      </c>
      <c r="I528" s="18"/>
      <c r="J528" s="14">
        <v>527.53800000000001</v>
      </c>
      <c r="K528" s="14">
        <f>VLOOKUP(B528,weights!A:G,5,FALSE)</f>
        <v>3.29</v>
      </c>
      <c r="L528" s="14">
        <f>VLOOKUP(B528,weights!A:G,6,FALSE)</f>
        <v>7</v>
      </c>
      <c r="M528" s="14">
        <f>VLOOKUP(B528,weights!A:G,7,FALSE)</f>
        <v>10</v>
      </c>
      <c r="N528" t="s">
        <v>4812</v>
      </c>
      <c r="O528">
        <v>846</v>
      </c>
      <c r="P528">
        <v>48.724691243700001</v>
      </c>
      <c r="Q528">
        <v>2.2582774623300002</v>
      </c>
      <c r="R528" s="22"/>
      <c r="S528" s="22"/>
      <c r="T528" s="22"/>
      <c r="U528" s="24">
        <f>R528+S528/60+T528/3600</f>
        <v>0</v>
      </c>
      <c r="V528" s="28">
        <f>ABS(U528-P528)/P528</f>
        <v>1</v>
      </c>
      <c r="W528" s="22"/>
      <c r="X528" s="22"/>
      <c r="Y528" s="22"/>
      <c r="Z528" s="14">
        <f>W528+X528/60+Y528/3600</f>
        <v>0</v>
      </c>
      <c r="AA528" s="26">
        <f>ABS(Z528-Q528)/Q528</f>
        <v>1</v>
      </c>
      <c r="AB528" s="26"/>
      <c r="AC528" s="14">
        <f>P528</f>
        <v>48.724691243700001</v>
      </c>
      <c r="AD528" s="14">
        <f>Q528</f>
        <v>2.2582774623300002</v>
      </c>
    </row>
    <row r="529" spans="1:30" s="14" customFormat="1">
      <c r="A529" s="12">
        <v>49</v>
      </c>
      <c r="B529" s="12" t="s">
        <v>569</v>
      </c>
      <c r="C529" s="14" t="str">
        <f>VLOOKUP(B529,weights!A:B,2,FALSE)</f>
        <v>M</v>
      </c>
      <c r="D529" s="13">
        <v>527</v>
      </c>
      <c r="E529" s="14" t="s">
        <v>616</v>
      </c>
      <c r="G529" s="14" t="s">
        <v>571</v>
      </c>
      <c r="H529" s="18" t="s">
        <v>1843</v>
      </c>
      <c r="I529" s="18"/>
      <c r="J529" s="14">
        <v>528</v>
      </c>
      <c r="K529" s="14">
        <f>VLOOKUP(B529,weights!A:G,5,FALSE)</f>
        <v>3.29</v>
      </c>
      <c r="L529" s="14">
        <f>VLOOKUP(B529,weights!A:G,6,FALSE)</f>
        <v>7</v>
      </c>
      <c r="M529" s="14">
        <f>VLOOKUP(B529,weights!A:G,7,FALSE)</f>
        <v>10</v>
      </c>
      <c r="N529" t="s">
        <v>4816</v>
      </c>
      <c r="O529">
        <v>288</v>
      </c>
      <c r="P529">
        <v>48.734716586799998</v>
      </c>
      <c r="Q529">
        <v>2.2734834643999999</v>
      </c>
      <c r="R529" s="22"/>
      <c r="S529" s="22"/>
      <c r="T529" s="22"/>
      <c r="U529" s="24">
        <f>R529+S529/60+T529/3600</f>
        <v>0</v>
      </c>
      <c r="V529" s="28">
        <f>ABS(U529-P529)/P529</f>
        <v>1</v>
      </c>
      <c r="W529" s="22"/>
      <c r="X529" s="22"/>
      <c r="Y529" s="22"/>
      <c r="Z529" s="14">
        <f>W529+X529/60+Y529/3600</f>
        <v>0</v>
      </c>
      <c r="AA529" s="26">
        <f>ABS(Z529-Q529)/Q529</f>
        <v>1</v>
      </c>
      <c r="AB529" s="26"/>
      <c r="AC529" s="14">
        <f>P529</f>
        <v>48.734716586799998</v>
      </c>
      <c r="AD529" s="14">
        <f>Q529</f>
        <v>2.2734834643999999</v>
      </c>
    </row>
    <row r="530" spans="1:30" s="14" customFormat="1">
      <c r="A530" s="12">
        <v>50</v>
      </c>
      <c r="B530" s="12" t="s">
        <v>569</v>
      </c>
      <c r="C530" s="14" t="str">
        <f>VLOOKUP(B530,weights!A:B,2,FALSE)</f>
        <v>M</v>
      </c>
      <c r="D530" s="13">
        <v>528</v>
      </c>
      <c r="E530" s="14" t="s">
        <v>617</v>
      </c>
      <c r="H530" s="18"/>
      <c r="I530" s="18"/>
      <c r="J530" s="14">
        <v>529</v>
      </c>
      <c r="K530" s="14">
        <f>VLOOKUP(B530,weights!A:G,5,FALSE)</f>
        <v>3.29</v>
      </c>
      <c r="L530" s="14">
        <f>VLOOKUP(B530,weights!A:G,6,FALSE)</f>
        <v>7</v>
      </c>
      <c r="M530" s="14">
        <f>VLOOKUP(B530,weights!A:G,7,FALSE)</f>
        <v>10</v>
      </c>
      <c r="N530" t="s">
        <v>3669</v>
      </c>
      <c r="O530">
        <v>680</v>
      </c>
      <c r="P530">
        <v>48.747941901899999</v>
      </c>
      <c r="Q530">
        <v>2.3127110094400001</v>
      </c>
      <c r="R530" s="22"/>
      <c r="S530" s="22"/>
      <c r="T530" s="22"/>
      <c r="U530" s="24">
        <f>R530+S530/60+T530/3600</f>
        <v>0</v>
      </c>
      <c r="V530" s="28">
        <f>ABS(U530-P530)/P530</f>
        <v>1</v>
      </c>
      <c r="W530" s="22"/>
      <c r="X530" s="22"/>
      <c r="Y530" s="22"/>
      <c r="Z530" s="14">
        <f>W530+X530/60+Y530/3600</f>
        <v>0</v>
      </c>
      <c r="AA530" s="26">
        <f>ABS(Z530-Q530)/Q530</f>
        <v>1</v>
      </c>
      <c r="AB530" s="26"/>
      <c r="AC530" s="14">
        <f>P530</f>
        <v>48.747941901899999</v>
      </c>
      <c r="AD530" s="14">
        <f>Q530</f>
        <v>2.3127110094400001</v>
      </c>
    </row>
    <row r="531" spans="1:30" s="14" customFormat="1">
      <c r="A531" s="12">
        <v>51</v>
      </c>
      <c r="B531" s="12" t="s">
        <v>569</v>
      </c>
      <c r="C531" s="14" t="str">
        <f>VLOOKUP(B531,weights!A:B,2,FALSE)</f>
        <v>M</v>
      </c>
      <c r="D531" s="13">
        <v>529</v>
      </c>
      <c r="E531" s="14" t="s">
        <v>618</v>
      </c>
      <c r="G531" s="14" t="s">
        <v>1505</v>
      </c>
      <c r="H531" s="18"/>
      <c r="I531" s="18" t="s">
        <v>1844</v>
      </c>
      <c r="J531" s="14">
        <v>530</v>
      </c>
      <c r="K531" s="14">
        <f>VLOOKUP(B531,weights!A:G,5,FALSE)</f>
        <v>3.29</v>
      </c>
      <c r="L531" s="14">
        <f>VLOOKUP(B531,weights!A:G,6,FALSE)</f>
        <v>7</v>
      </c>
      <c r="M531" s="14">
        <f>VLOOKUP(B531,weights!A:G,7,FALSE)</f>
        <v>10</v>
      </c>
      <c r="N531" t="s">
        <v>5505</v>
      </c>
      <c r="O531">
        <v>827</v>
      </c>
      <c r="P531">
        <v>48.740584122800001</v>
      </c>
      <c r="Q531">
        <v>2.35330704843</v>
      </c>
      <c r="R531" s="22"/>
      <c r="S531" s="22"/>
      <c r="T531" s="22"/>
      <c r="U531" s="24">
        <f>R531+S531/60+T531/3600</f>
        <v>0</v>
      </c>
      <c r="V531" s="28">
        <f>ABS(U531-P531)/P531</f>
        <v>1</v>
      </c>
      <c r="W531" s="22"/>
      <c r="X531" s="22"/>
      <c r="Y531" s="22"/>
      <c r="Z531" s="14">
        <f>W531+X531/60+Y531/3600</f>
        <v>0</v>
      </c>
      <c r="AA531" s="26">
        <f>ABS(Z531-Q531)/Q531</f>
        <v>1</v>
      </c>
      <c r="AB531" s="26"/>
      <c r="AC531" s="14">
        <f>P531</f>
        <v>48.740584122800001</v>
      </c>
      <c r="AD531" s="14">
        <f>Q531</f>
        <v>2.35330704843</v>
      </c>
    </row>
    <row r="532" spans="1:30" s="14" customFormat="1">
      <c r="A532" s="12">
        <v>52</v>
      </c>
      <c r="B532" s="12" t="s">
        <v>569</v>
      </c>
      <c r="C532" s="14" t="str">
        <f>VLOOKUP(B532,weights!A:B,2,FALSE)</f>
        <v>M</v>
      </c>
      <c r="D532" s="13">
        <v>530</v>
      </c>
      <c r="E532" s="14" t="s">
        <v>619</v>
      </c>
      <c r="H532" s="18"/>
      <c r="I532" s="18"/>
      <c r="J532" s="14">
        <v>531</v>
      </c>
      <c r="K532" s="14">
        <f>VLOOKUP(B532,weights!A:G,5,FALSE)</f>
        <v>3.29</v>
      </c>
      <c r="L532" s="14">
        <f>VLOOKUP(B532,weights!A:G,6,FALSE)</f>
        <v>7</v>
      </c>
      <c r="M532" s="14">
        <f>VLOOKUP(B532,weights!A:G,7,FALSE)</f>
        <v>10</v>
      </c>
      <c r="N532" t="s">
        <v>5237</v>
      </c>
      <c r="O532">
        <v>764</v>
      </c>
      <c r="P532">
        <v>48.748349683299999</v>
      </c>
      <c r="Q532">
        <v>2.3731119406899999</v>
      </c>
      <c r="R532" s="22"/>
      <c r="S532" s="22"/>
      <c r="T532" s="22"/>
      <c r="U532" s="24">
        <f>R532+S532/60+T532/3600</f>
        <v>0</v>
      </c>
      <c r="V532" s="28">
        <f>ABS(U532-P532)/P532</f>
        <v>1</v>
      </c>
      <c r="W532" s="22"/>
      <c r="X532" s="22"/>
      <c r="Y532" s="22"/>
      <c r="Z532" s="14">
        <f>W532+X532/60+Y532/3600</f>
        <v>0</v>
      </c>
      <c r="AA532" s="26">
        <f>ABS(Z532-Q532)/Q532</f>
        <v>1</v>
      </c>
      <c r="AB532" s="26"/>
      <c r="AC532" s="14">
        <f>P532</f>
        <v>48.748349683299999</v>
      </c>
      <c r="AD532" s="14">
        <f>Q532</f>
        <v>2.3731119406899999</v>
      </c>
    </row>
    <row r="533" spans="1:30" s="14" customFormat="1">
      <c r="A533" s="12">
        <v>53</v>
      </c>
      <c r="B533" s="12" t="s">
        <v>569</v>
      </c>
      <c r="C533" s="14" t="str">
        <f>VLOOKUP(B533,weights!A:B,2,FALSE)</f>
        <v>M</v>
      </c>
      <c r="D533" s="13">
        <v>531</v>
      </c>
      <c r="E533" s="14" t="s">
        <v>620</v>
      </c>
      <c r="H533" s="18"/>
      <c r="I533" s="18"/>
      <c r="J533" s="14">
        <v>532</v>
      </c>
      <c r="K533" s="14">
        <f>VLOOKUP(B533,weights!A:G,5,FALSE)</f>
        <v>3.29</v>
      </c>
      <c r="L533" s="14">
        <f>VLOOKUP(B533,weights!A:G,6,FALSE)</f>
        <v>7</v>
      </c>
      <c r="M533" s="14">
        <f>VLOOKUP(B533,weights!A:G,7,FALSE)</f>
        <v>10</v>
      </c>
      <c r="N533" t="s">
        <v>5054</v>
      </c>
      <c r="O533">
        <v>763</v>
      </c>
      <c r="P533">
        <v>48.741878706599998</v>
      </c>
      <c r="Q533">
        <v>2.4029086073600001</v>
      </c>
      <c r="R533" s="22"/>
      <c r="S533" s="22"/>
      <c r="T533" s="22"/>
      <c r="U533" s="24">
        <f>R533+S533/60+T533/3600</f>
        <v>0</v>
      </c>
      <c r="V533" s="28">
        <f>ABS(U533-P533)/P533</f>
        <v>1</v>
      </c>
      <c r="W533" s="22"/>
      <c r="X533" s="22"/>
      <c r="Y533" s="22"/>
      <c r="Z533" s="14">
        <f>W533+X533/60+Y533/3600</f>
        <v>0</v>
      </c>
      <c r="AA533" s="26">
        <f>ABS(Z533-Q533)/Q533</f>
        <v>1</v>
      </c>
      <c r="AB533" s="26"/>
      <c r="AC533" s="14">
        <f>P533</f>
        <v>48.741878706599998</v>
      </c>
      <c r="AD533" s="14">
        <f>Q533</f>
        <v>2.4029086073600001</v>
      </c>
    </row>
    <row r="534" spans="1:30" s="14" customFormat="1">
      <c r="A534" s="12">
        <v>54</v>
      </c>
      <c r="B534" s="12" t="s">
        <v>569</v>
      </c>
      <c r="C534" s="14" t="str">
        <f>VLOOKUP(B534,weights!A:B,2,FALSE)</f>
        <v>M</v>
      </c>
      <c r="D534" s="13">
        <v>532</v>
      </c>
      <c r="E534" s="14" t="s">
        <v>621</v>
      </c>
      <c r="H534" s="18"/>
      <c r="I534" s="18"/>
      <c r="K534" s="14">
        <f>VLOOKUP(B534,weights!A:G,5,FALSE)</f>
        <v>3.29</v>
      </c>
      <c r="L534" s="14">
        <f>VLOOKUP(B534,weights!A:G,6,FALSE)</f>
        <v>7</v>
      </c>
      <c r="M534" s="14">
        <f>VLOOKUP(B534,weights!A:G,7,FALSE)</f>
        <v>10</v>
      </c>
      <c r="N534" t="s">
        <v>4608</v>
      </c>
      <c r="O534">
        <v>762</v>
      </c>
      <c r="P534">
        <v>48.745072171399997</v>
      </c>
      <c r="Q534">
        <v>2.4175209778500002</v>
      </c>
      <c r="R534" s="22"/>
      <c r="S534" s="22"/>
      <c r="T534" s="22"/>
      <c r="U534" s="24">
        <f>R534+S534/60+T534/3600</f>
        <v>0</v>
      </c>
      <c r="V534" s="28">
        <f>ABS(U534-P534)/P534</f>
        <v>1</v>
      </c>
      <c r="W534" s="22"/>
      <c r="X534" s="22"/>
      <c r="Y534" s="22"/>
      <c r="Z534" s="14">
        <f>W534+X534/60+Y534/3600</f>
        <v>0</v>
      </c>
      <c r="AA534" s="26">
        <f>ABS(Z534-Q534)/Q534</f>
        <v>1</v>
      </c>
      <c r="AB534" s="26"/>
      <c r="AC534" s="14">
        <f>P534</f>
        <v>48.745072171399997</v>
      </c>
      <c r="AD534" s="14">
        <f>Q534</f>
        <v>2.4175209778500002</v>
      </c>
    </row>
    <row r="535" spans="1:30" s="14" customFormat="1">
      <c r="A535" s="12">
        <v>55</v>
      </c>
      <c r="B535" s="12" t="s">
        <v>569</v>
      </c>
      <c r="C535" s="14" t="str">
        <f>VLOOKUP(B535,weights!A:B,2,FALSE)</f>
        <v>M</v>
      </c>
      <c r="D535" s="13">
        <v>533</v>
      </c>
      <c r="E535" s="14" t="s">
        <v>623</v>
      </c>
      <c r="H535" s="18"/>
      <c r="I535" s="18"/>
      <c r="J535" s="14">
        <v>534</v>
      </c>
      <c r="K535" s="14">
        <f>VLOOKUP(B535,weights!A:G,5,FALSE)</f>
        <v>3.29</v>
      </c>
      <c r="L535" s="14">
        <f>VLOOKUP(B535,weights!A:G,6,FALSE)</f>
        <v>7</v>
      </c>
      <c r="M535" s="14">
        <f>VLOOKUP(B535,weights!A:G,7,FALSE)</f>
        <v>10</v>
      </c>
      <c r="N535" t="s">
        <v>5937</v>
      </c>
      <c r="O535">
        <v>774</v>
      </c>
      <c r="P535">
        <v>48.7398306985</v>
      </c>
      <c r="Q535">
        <v>2.42639982184</v>
      </c>
      <c r="R535" s="22"/>
      <c r="S535" s="22"/>
      <c r="T535" s="22"/>
      <c r="U535" s="24">
        <f>R535+S535/60+T535/3600</f>
        <v>0</v>
      </c>
      <c r="V535" s="28">
        <f>ABS(U535-P535)/P535</f>
        <v>1</v>
      </c>
      <c r="W535" s="22"/>
      <c r="X535" s="22"/>
      <c r="Y535" s="22"/>
      <c r="Z535" s="14">
        <f>W535+X535/60+Y535/3600</f>
        <v>0</v>
      </c>
      <c r="AA535" s="26">
        <f>ABS(Z535-Q535)/Q535</f>
        <v>1</v>
      </c>
      <c r="AB535" s="26"/>
      <c r="AC535" s="14">
        <f>P535</f>
        <v>48.7398306985</v>
      </c>
      <c r="AD535" s="14">
        <f>Q535</f>
        <v>2.42639982184</v>
      </c>
    </row>
    <row r="536" spans="1:30" s="14" customFormat="1">
      <c r="A536" s="12">
        <v>56</v>
      </c>
      <c r="B536" s="12" t="s">
        <v>569</v>
      </c>
      <c r="C536" s="14" t="str">
        <f>VLOOKUP(B536,weights!A:B,2,FALSE)</f>
        <v>M</v>
      </c>
      <c r="D536" s="13">
        <v>534</v>
      </c>
      <c r="E536" s="14" t="s">
        <v>624</v>
      </c>
      <c r="H536" s="18"/>
      <c r="I536" s="18"/>
      <c r="J536" s="14">
        <v>535</v>
      </c>
      <c r="K536" s="14">
        <f>VLOOKUP(B536,weights!A:G,5,FALSE)</f>
        <v>3.29</v>
      </c>
      <c r="L536" s="14">
        <f>VLOOKUP(B536,weights!A:G,6,FALSE)</f>
        <v>7</v>
      </c>
      <c r="M536" s="14">
        <f>VLOOKUP(B536,weights!A:G,7,FALSE)</f>
        <v>10</v>
      </c>
      <c r="N536" t="s">
        <v>3122</v>
      </c>
      <c r="O536">
        <v>656</v>
      </c>
      <c r="P536">
        <v>48.725535305800001</v>
      </c>
      <c r="Q536">
        <v>2.4195650257399999</v>
      </c>
      <c r="R536" s="22"/>
      <c r="S536" s="22"/>
      <c r="T536" s="22"/>
      <c r="U536" s="24">
        <f>R536+S536/60+T536/3600</f>
        <v>0</v>
      </c>
      <c r="V536" s="28">
        <f>ABS(U536-P536)/P536</f>
        <v>1</v>
      </c>
      <c r="W536" s="22"/>
      <c r="X536" s="22"/>
      <c r="Y536" s="22"/>
      <c r="Z536" s="14">
        <f>W536+X536/60+Y536/3600</f>
        <v>0</v>
      </c>
      <c r="AA536" s="26">
        <f>ABS(Z536-Q536)/Q536</f>
        <v>1</v>
      </c>
      <c r="AB536" s="26"/>
      <c r="AC536" s="14">
        <f>P536</f>
        <v>48.725535305800001</v>
      </c>
      <c r="AD536" s="14">
        <f>Q536</f>
        <v>2.4195650257399999</v>
      </c>
    </row>
    <row r="537" spans="1:30" s="14" customFormat="1">
      <c r="A537" s="12">
        <v>57</v>
      </c>
      <c r="B537" s="12" t="s">
        <v>569</v>
      </c>
      <c r="C537" s="14" t="str">
        <f>VLOOKUP(B537,weights!A:B,2,FALSE)</f>
        <v>M</v>
      </c>
      <c r="D537" s="13">
        <v>535</v>
      </c>
      <c r="E537" s="14" t="s">
        <v>625</v>
      </c>
      <c r="H537" s="18"/>
      <c r="I537" s="18"/>
      <c r="J537" s="14">
        <v>536</v>
      </c>
      <c r="K537" s="14">
        <f>VLOOKUP(B537,weights!A:G,5,FALSE)</f>
        <v>3.29</v>
      </c>
      <c r="L537" s="14">
        <f>VLOOKUP(B537,weights!A:G,6,FALSE)</f>
        <v>7</v>
      </c>
      <c r="M537" s="14">
        <f>VLOOKUP(B537,weights!A:G,7,FALSE)</f>
        <v>10</v>
      </c>
      <c r="N537" t="s">
        <v>3211</v>
      </c>
      <c r="O537">
        <v>751</v>
      </c>
      <c r="P537">
        <v>48.7126289857</v>
      </c>
      <c r="Q537">
        <v>2.4036331022100001</v>
      </c>
      <c r="R537" s="22"/>
      <c r="S537" s="22"/>
      <c r="T537" s="22"/>
      <c r="U537" s="24">
        <f>R537+S537/60+T537/3600</f>
        <v>0</v>
      </c>
      <c r="V537" s="28">
        <f>ABS(U537-P537)/P537</f>
        <v>1</v>
      </c>
      <c r="W537" s="22"/>
      <c r="X537" s="22"/>
      <c r="Y537" s="22"/>
      <c r="Z537" s="14">
        <f>W537+X537/60+Y537/3600</f>
        <v>0</v>
      </c>
      <c r="AA537" s="26">
        <f>ABS(Z537-Q537)/Q537</f>
        <v>1</v>
      </c>
      <c r="AB537" s="26"/>
      <c r="AC537" s="14">
        <f>P537</f>
        <v>48.7126289857</v>
      </c>
      <c r="AD537" s="14">
        <f>Q537</f>
        <v>2.4036331022100001</v>
      </c>
    </row>
    <row r="538" spans="1:30" s="14" customFormat="1">
      <c r="A538" s="12">
        <v>58</v>
      </c>
      <c r="B538" s="12" t="s">
        <v>569</v>
      </c>
      <c r="C538" s="14" t="str">
        <f>VLOOKUP(B538,weights!A:B,2,FALSE)</f>
        <v>M</v>
      </c>
      <c r="D538" s="13">
        <v>536</v>
      </c>
      <c r="E538" s="14" t="s">
        <v>626</v>
      </c>
      <c r="G538" s="14" t="s">
        <v>666</v>
      </c>
      <c r="H538" s="18" t="s">
        <v>1845</v>
      </c>
      <c r="I538" s="18"/>
      <c r="J538" s="14">
        <v>537</v>
      </c>
      <c r="K538" s="14">
        <f>VLOOKUP(B538,weights!A:G,5,FALSE)</f>
        <v>3.29</v>
      </c>
      <c r="L538" s="14">
        <f>VLOOKUP(B538,weights!A:G,6,FALSE)</f>
        <v>7</v>
      </c>
      <c r="M538" s="14">
        <f>VLOOKUP(B538,weights!A:G,7,FALSE)</f>
        <v>10</v>
      </c>
      <c r="N538" t="s">
        <v>4341</v>
      </c>
      <c r="O538">
        <v>327</v>
      </c>
      <c r="P538">
        <v>48.689490204800002</v>
      </c>
      <c r="Q538">
        <v>2.3830198082999998</v>
      </c>
      <c r="R538" s="22"/>
      <c r="S538" s="22"/>
      <c r="T538" s="22"/>
      <c r="U538" s="24">
        <f>R538+S538/60+T538/3600</f>
        <v>0</v>
      </c>
      <c r="V538" s="28">
        <f>ABS(U538-P538)/P538</f>
        <v>1</v>
      </c>
      <c r="W538" s="22"/>
      <c r="X538" s="22"/>
      <c r="Y538" s="22"/>
      <c r="Z538" s="14">
        <f>W538+X538/60+Y538/3600</f>
        <v>0</v>
      </c>
      <c r="AA538" s="26">
        <f>ABS(Z538-Q538)/Q538</f>
        <v>1</v>
      </c>
      <c r="AB538" s="26"/>
      <c r="AC538" s="14">
        <f>P538</f>
        <v>48.689490204800002</v>
      </c>
      <c r="AD538" s="14">
        <f>Q538</f>
        <v>2.3830198082999998</v>
      </c>
    </row>
    <row r="539" spans="1:30" s="14" customFormat="1">
      <c r="A539" s="12">
        <v>59</v>
      </c>
      <c r="B539" s="12" t="s">
        <v>569</v>
      </c>
      <c r="C539" s="14" t="str">
        <f>VLOOKUP(B539,weights!A:B,2,FALSE)</f>
        <v>M</v>
      </c>
      <c r="D539" s="13">
        <v>537</v>
      </c>
      <c r="E539" s="14" t="s">
        <v>632</v>
      </c>
      <c r="H539" s="18"/>
      <c r="I539" s="18"/>
      <c r="J539" s="14">
        <v>541.54200000000003</v>
      </c>
      <c r="K539" s="14">
        <f>VLOOKUP(B539,weights!A:G,5,FALSE)</f>
        <v>3.29</v>
      </c>
      <c r="L539" s="14">
        <f>VLOOKUP(B539,weights!A:G,6,FALSE)</f>
        <v>7</v>
      </c>
      <c r="M539" s="14">
        <f>VLOOKUP(B539,weights!A:G,7,FALSE)</f>
        <v>10</v>
      </c>
      <c r="N539" t="s">
        <v>5667</v>
      </c>
      <c r="O539">
        <v>283</v>
      </c>
      <c r="P539">
        <v>48.676446657</v>
      </c>
      <c r="Q539">
        <v>2.3524814010499999</v>
      </c>
      <c r="R539" s="22"/>
      <c r="S539" s="22"/>
      <c r="T539" s="22"/>
      <c r="U539" s="24">
        <f>R539+S539/60+T539/3600</f>
        <v>0</v>
      </c>
      <c r="V539" s="28">
        <f>ABS(U539-P539)/P539</f>
        <v>1</v>
      </c>
      <c r="W539" s="22"/>
      <c r="X539" s="22"/>
      <c r="Y539" s="22"/>
      <c r="Z539" s="14">
        <f>W539+X539/60+Y539/3600</f>
        <v>0</v>
      </c>
      <c r="AA539" s="26">
        <f>ABS(Z539-Q539)/Q539</f>
        <v>1</v>
      </c>
      <c r="AB539" s="26"/>
      <c r="AC539" s="14">
        <f>P539</f>
        <v>48.676446657</v>
      </c>
      <c r="AD539" s="14">
        <f>Q539</f>
        <v>2.3524814010499999</v>
      </c>
    </row>
    <row r="540" spans="1:30" s="14" customFormat="1">
      <c r="A540" s="12">
        <v>60</v>
      </c>
      <c r="B540" s="12" t="s">
        <v>569</v>
      </c>
      <c r="C540" s="14" t="str">
        <f>VLOOKUP(B540,weights!A:B,2,FALSE)</f>
        <v>M</v>
      </c>
      <c r="D540" s="13">
        <v>538</v>
      </c>
      <c r="E540" s="14" t="s">
        <v>627</v>
      </c>
      <c r="H540" s="18"/>
      <c r="I540" s="18"/>
      <c r="J540" s="14">
        <v>539</v>
      </c>
      <c r="K540" s="14">
        <f>VLOOKUP(B540,weights!A:G,5,FALSE)</f>
        <v>3.29</v>
      </c>
      <c r="L540" s="14">
        <f>VLOOKUP(B540,weights!A:G,6,FALSE)</f>
        <v>7</v>
      </c>
      <c r="M540" s="14">
        <f>VLOOKUP(B540,weights!A:G,7,FALSE)</f>
        <v>10</v>
      </c>
      <c r="N540" t="s">
        <v>4647</v>
      </c>
      <c r="O540">
        <v>286</v>
      </c>
      <c r="P540">
        <v>48.702239387799999</v>
      </c>
      <c r="Q540">
        <v>2.2945577464800002</v>
      </c>
      <c r="R540" s="22"/>
      <c r="S540" s="22"/>
      <c r="T540" s="22"/>
      <c r="U540" s="24">
        <f>R540+S540/60+T540/3600</f>
        <v>0</v>
      </c>
      <c r="V540" s="28">
        <f>ABS(U540-P540)/P540</f>
        <v>1</v>
      </c>
      <c r="W540" s="22"/>
      <c r="X540" s="22"/>
      <c r="Y540" s="22"/>
      <c r="Z540" s="14">
        <f>W540+X540/60+Y540/3600</f>
        <v>0</v>
      </c>
      <c r="AA540" s="26">
        <f>ABS(Z540-Q540)/Q540</f>
        <v>1</v>
      </c>
      <c r="AB540" s="26"/>
      <c r="AC540" s="14">
        <f>P540</f>
        <v>48.702239387799999</v>
      </c>
      <c r="AD540" s="14">
        <f>Q540</f>
        <v>2.2945577464800002</v>
      </c>
    </row>
    <row r="541" spans="1:30" s="14" customFormat="1">
      <c r="A541" s="12">
        <v>61</v>
      </c>
      <c r="B541" s="12" t="s">
        <v>569</v>
      </c>
      <c r="C541" s="14" t="str">
        <f>VLOOKUP(B541,weights!A:B,2,FALSE)</f>
        <v>M</v>
      </c>
      <c r="D541" s="13">
        <v>539</v>
      </c>
      <c r="E541" s="14" t="s">
        <v>628</v>
      </c>
      <c r="H541" s="18"/>
      <c r="I541" s="18"/>
      <c r="J541" s="14">
        <v>540</v>
      </c>
      <c r="K541" s="14">
        <f>VLOOKUP(B541,weights!A:G,5,FALSE)</f>
        <v>3.29</v>
      </c>
      <c r="L541" s="14">
        <f>VLOOKUP(B541,weights!A:G,6,FALSE)</f>
        <v>7</v>
      </c>
      <c r="M541" s="14">
        <f>VLOOKUP(B541,weights!A:G,7,FALSE)</f>
        <v>10</v>
      </c>
      <c r="N541" t="s">
        <v>3687</v>
      </c>
      <c r="O541">
        <v>754</v>
      </c>
      <c r="P541">
        <v>48.700680804599997</v>
      </c>
      <c r="Q541">
        <v>2.30784118461</v>
      </c>
      <c r="R541" s="22"/>
      <c r="S541" s="22"/>
      <c r="T541" s="22"/>
      <c r="U541" s="24">
        <f>R541+S541/60+T541/3600</f>
        <v>0</v>
      </c>
      <c r="V541" s="28">
        <f>ABS(U541-P541)/P541</f>
        <v>1</v>
      </c>
      <c r="W541" s="22"/>
      <c r="X541" s="22"/>
      <c r="Y541" s="22"/>
      <c r="Z541" s="14">
        <f>W541+X541/60+Y541/3600</f>
        <v>0</v>
      </c>
      <c r="AA541" s="26">
        <f>ABS(Z541-Q541)/Q541</f>
        <v>1</v>
      </c>
      <c r="AB541" s="26"/>
      <c r="AC541" s="14">
        <f>P541</f>
        <v>48.700680804599997</v>
      </c>
      <c r="AD541" s="14">
        <f>Q541</f>
        <v>2.30784118461</v>
      </c>
    </row>
    <row r="542" spans="1:30" s="14" customFormat="1">
      <c r="A542" s="12">
        <v>62</v>
      </c>
      <c r="B542" s="12" t="s">
        <v>569</v>
      </c>
      <c r="C542" s="14" t="str">
        <f>VLOOKUP(B542,weights!A:B,2,FALSE)</f>
        <v>M</v>
      </c>
      <c r="D542" s="13">
        <v>540</v>
      </c>
      <c r="E542" s="14" t="s">
        <v>629</v>
      </c>
      <c r="H542" s="18"/>
      <c r="I542" s="18"/>
      <c r="J542" s="14">
        <v>541</v>
      </c>
      <c r="K542" s="14">
        <f>VLOOKUP(B542,weights!A:G,5,FALSE)</f>
        <v>3.29</v>
      </c>
      <c r="L542" s="14">
        <f>VLOOKUP(B542,weights!A:G,6,FALSE)</f>
        <v>7</v>
      </c>
      <c r="M542" s="14">
        <f>VLOOKUP(B542,weights!A:G,7,FALSE)</f>
        <v>10</v>
      </c>
      <c r="N542" t="s">
        <v>4178</v>
      </c>
      <c r="O542">
        <v>94</v>
      </c>
      <c r="P542">
        <v>48.685713628199998</v>
      </c>
      <c r="Q542">
        <v>2.3176264035899998</v>
      </c>
      <c r="R542" s="22"/>
      <c r="S542" s="22"/>
      <c r="T542" s="22"/>
      <c r="U542" s="24">
        <f>R542+S542/60+T542/3600</f>
        <v>0</v>
      </c>
      <c r="V542" s="28">
        <f>ABS(U542-P542)/P542</f>
        <v>1</v>
      </c>
      <c r="W542" s="22"/>
      <c r="X542" s="22"/>
      <c r="Y542" s="22"/>
      <c r="Z542" s="14">
        <f>W542+X542/60+Y542/3600</f>
        <v>0</v>
      </c>
      <c r="AA542" s="26">
        <f>ABS(Z542-Q542)/Q542</f>
        <v>1</v>
      </c>
      <c r="AB542" s="26"/>
      <c r="AC542" s="14">
        <f>P542</f>
        <v>48.685713628199998</v>
      </c>
      <c r="AD542" s="14">
        <f>Q542</f>
        <v>2.3176264035899998</v>
      </c>
    </row>
    <row r="543" spans="1:30" s="14" customFormat="1">
      <c r="A543" s="12">
        <v>63</v>
      </c>
      <c r="B543" s="12" t="s">
        <v>569</v>
      </c>
      <c r="C543" s="14" t="str">
        <f>VLOOKUP(B543,weights!A:B,2,FALSE)</f>
        <v>M</v>
      </c>
      <c r="D543" s="13">
        <v>541</v>
      </c>
      <c r="E543" s="14" t="s">
        <v>630</v>
      </c>
      <c r="H543" s="18"/>
      <c r="I543" s="18"/>
      <c r="K543" s="14">
        <f>VLOOKUP(B543,weights!A:G,5,FALSE)</f>
        <v>3.29</v>
      </c>
      <c r="L543" s="14">
        <f>VLOOKUP(B543,weights!A:G,6,FALSE)</f>
        <v>7</v>
      </c>
      <c r="M543" s="14">
        <f>VLOOKUP(B543,weights!A:G,7,FALSE)</f>
        <v>10</v>
      </c>
      <c r="N543" t="s">
        <v>5162</v>
      </c>
      <c r="O543">
        <v>753</v>
      </c>
      <c r="P543">
        <v>48.676381323500003</v>
      </c>
      <c r="Q543">
        <v>2.3332494626</v>
      </c>
      <c r="R543" s="22"/>
      <c r="S543" s="22"/>
      <c r="T543" s="22"/>
      <c r="U543" s="24">
        <f>R543+S543/60+T543/3600</f>
        <v>0</v>
      </c>
      <c r="V543" s="28">
        <f>ABS(U543-P543)/P543</f>
        <v>1</v>
      </c>
      <c r="W543" s="22"/>
      <c r="X543" s="22"/>
      <c r="Y543" s="22"/>
      <c r="Z543" s="14">
        <f>W543+X543/60+Y543/3600</f>
        <v>0</v>
      </c>
      <c r="AA543" s="26">
        <f>ABS(Z543-Q543)/Q543</f>
        <v>1</v>
      </c>
      <c r="AB543" s="26"/>
      <c r="AC543" s="14">
        <f>P543</f>
        <v>48.676381323500003</v>
      </c>
      <c r="AD543" s="14">
        <f>Q543</f>
        <v>2.3332494626</v>
      </c>
    </row>
    <row r="544" spans="1:30" s="14" customFormat="1">
      <c r="A544" s="12">
        <v>64</v>
      </c>
      <c r="B544" s="12" t="s">
        <v>569</v>
      </c>
      <c r="C544" s="14" t="str">
        <f>VLOOKUP(B544,weights!A:B,2,FALSE)</f>
        <v>M</v>
      </c>
      <c r="D544" s="13">
        <v>542</v>
      </c>
      <c r="E544" s="14" t="s">
        <v>631</v>
      </c>
      <c r="H544" s="18"/>
      <c r="I544" s="18"/>
      <c r="J544" s="14">
        <v>543</v>
      </c>
      <c r="K544" s="14">
        <f>VLOOKUP(B544,weights!A:G,5,FALSE)</f>
        <v>3.29</v>
      </c>
      <c r="L544" s="14">
        <f>VLOOKUP(B544,weights!A:G,6,FALSE)</f>
        <v>7</v>
      </c>
      <c r="M544" s="14">
        <f>VLOOKUP(B544,weights!A:G,7,FALSE)</f>
        <v>10</v>
      </c>
      <c r="N544" t="s">
        <v>3938</v>
      </c>
      <c r="O544">
        <v>920</v>
      </c>
      <c r="P544">
        <v>48.669483726099998</v>
      </c>
      <c r="Q544">
        <v>2.3326229291999998</v>
      </c>
      <c r="R544" s="22"/>
      <c r="S544" s="22"/>
      <c r="T544" s="22"/>
      <c r="U544" s="24">
        <f>R544+S544/60+T544/3600</f>
        <v>0</v>
      </c>
      <c r="V544" s="28">
        <f>ABS(U544-P544)/P544</f>
        <v>1</v>
      </c>
      <c r="W544" s="22"/>
      <c r="X544" s="22"/>
      <c r="Y544" s="22"/>
      <c r="Z544" s="14">
        <f>W544+X544/60+Y544/3600</f>
        <v>0</v>
      </c>
      <c r="AA544" s="26">
        <f>ABS(Z544-Q544)/Q544</f>
        <v>1</v>
      </c>
      <c r="AB544" s="26"/>
      <c r="AC544" s="14">
        <f>P544</f>
        <v>48.669483726099998</v>
      </c>
      <c r="AD544" s="14">
        <f>Q544</f>
        <v>2.3326229291999998</v>
      </c>
    </row>
    <row r="545" spans="1:30" s="14" customFormat="1">
      <c r="A545" s="12">
        <v>65</v>
      </c>
      <c r="B545" s="12" t="s">
        <v>569</v>
      </c>
      <c r="C545" s="14" t="str">
        <f>VLOOKUP(B545,weights!A:B,2,FALSE)</f>
        <v>M</v>
      </c>
      <c r="D545" s="13">
        <v>543</v>
      </c>
      <c r="E545" s="14" t="s">
        <v>633</v>
      </c>
      <c r="H545" s="18"/>
      <c r="I545" s="18"/>
      <c r="J545" s="14">
        <v>544</v>
      </c>
      <c r="K545" s="14">
        <f>VLOOKUP(B545,weights!A:G,5,FALSE)</f>
        <v>3.29</v>
      </c>
      <c r="L545" s="14">
        <f>VLOOKUP(B545,weights!A:G,6,FALSE)</f>
        <v>7</v>
      </c>
      <c r="M545" s="14">
        <f>VLOOKUP(B545,weights!A:G,7,FALSE)</f>
        <v>10</v>
      </c>
      <c r="N545" t="s">
        <v>5649</v>
      </c>
      <c r="O545">
        <v>284</v>
      </c>
      <c r="P545">
        <v>48.652811399599997</v>
      </c>
      <c r="Q545">
        <v>2.3127362470100001</v>
      </c>
      <c r="R545" s="22"/>
      <c r="S545" s="22"/>
      <c r="T545" s="22"/>
      <c r="U545" s="24">
        <f>R545+S545/60+T545/3600</f>
        <v>0</v>
      </c>
      <c r="V545" s="28">
        <f>ABS(U545-P545)/P545</f>
        <v>1</v>
      </c>
      <c r="W545" s="22"/>
      <c r="X545" s="22"/>
      <c r="Y545" s="22"/>
      <c r="Z545" s="14">
        <f>W545+X545/60+Y545/3600</f>
        <v>0</v>
      </c>
      <c r="AA545" s="26">
        <f>ABS(Z545-Q545)/Q545</f>
        <v>1</v>
      </c>
      <c r="AB545" s="26"/>
      <c r="AC545" s="14">
        <f>P545</f>
        <v>48.652811399599997</v>
      </c>
      <c r="AD545" s="14">
        <f>Q545</f>
        <v>2.3127362470100001</v>
      </c>
    </row>
    <row r="546" spans="1:30" s="14" customFormat="1">
      <c r="A546" s="12">
        <v>66</v>
      </c>
      <c r="B546" s="12" t="s">
        <v>569</v>
      </c>
      <c r="C546" s="14" t="str">
        <f>VLOOKUP(B546,weights!A:B,2,FALSE)</f>
        <v>M</v>
      </c>
      <c r="D546" s="13">
        <v>544</v>
      </c>
      <c r="E546" s="14" t="s">
        <v>634</v>
      </c>
      <c r="H546" s="18"/>
      <c r="I546" s="18"/>
      <c r="J546" s="14">
        <v>545</v>
      </c>
      <c r="K546" s="14">
        <f>VLOOKUP(B546,weights!A:G,5,FALSE)</f>
        <v>3.29</v>
      </c>
      <c r="L546" s="14">
        <f>VLOOKUP(B546,weights!A:G,6,FALSE)</f>
        <v>7</v>
      </c>
      <c r="M546" s="14">
        <f>VLOOKUP(B546,weights!A:G,7,FALSE)</f>
        <v>10</v>
      </c>
      <c r="N546" t="s">
        <v>5604</v>
      </c>
      <c r="O546">
        <v>285</v>
      </c>
      <c r="P546">
        <v>48.635875865800003</v>
      </c>
      <c r="Q546">
        <v>2.3068331639599999</v>
      </c>
      <c r="R546" s="22"/>
      <c r="S546" s="22"/>
      <c r="T546" s="22"/>
      <c r="U546" s="24">
        <f>R546+S546/60+T546/3600</f>
        <v>0</v>
      </c>
      <c r="V546" s="28">
        <f>ABS(U546-P546)/P546</f>
        <v>1</v>
      </c>
      <c r="W546" s="22"/>
      <c r="X546" s="22"/>
      <c r="Y546" s="22"/>
      <c r="Z546" s="14">
        <f>W546+X546/60+Y546/3600</f>
        <v>0</v>
      </c>
      <c r="AA546" s="26">
        <f>ABS(Z546-Q546)/Q546</f>
        <v>1</v>
      </c>
      <c r="AB546" s="26"/>
      <c r="AC546" s="14">
        <f>P546</f>
        <v>48.635875865800003</v>
      </c>
      <c r="AD546" s="14">
        <f>Q546</f>
        <v>2.3068331639599999</v>
      </c>
    </row>
    <row r="547" spans="1:30" s="14" customFormat="1">
      <c r="A547" s="12">
        <v>67</v>
      </c>
      <c r="B547" s="12" t="s">
        <v>569</v>
      </c>
      <c r="C547" s="14" t="str">
        <f>VLOOKUP(B547,weights!A:B,2,FALSE)</f>
        <v>M</v>
      </c>
      <c r="D547" s="13">
        <v>545</v>
      </c>
      <c r="E547" s="14" t="s">
        <v>635</v>
      </c>
      <c r="H547" s="18"/>
      <c r="I547" s="18"/>
      <c r="J547" s="14">
        <v>546.55499999999995</v>
      </c>
      <c r="K547" s="14">
        <f>VLOOKUP(B547,weights!A:G,5,FALSE)</f>
        <v>3.29</v>
      </c>
      <c r="L547" s="14">
        <f>VLOOKUP(B547,weights!A:G,6,FALSE)</f>
        <v>7</v>
      </c>
      <c r="M547" s="14">
        <f>VLOOKUP(B547,weights!A:G,7,FALSE)</f>
        <v>10</v>
      </c>
      <c r="N547" t="s">
        <v>3447</v>
      </c>
      <c r="O547">
        <v>192</v>
      </c>
      <c r="P547">
        <v>48.606744948900001</v>
      </c>
      <c r="Q547">
        <v>2.3020596915799998</v>
      </c>
      <c r="R547" s="22"/>
      <c r="S547" s="22"/>
      <c r="T547" s="22"/>
      <c r="U547" s="24">
        <f>R547+S547/60+T547/3600</f>
        <v>0</v>
      </c>
      <c r="V547" s="28">
        <f>ABS(U547-P547)/P547</f>
        <v>1</v>
      </c>
      <c r="W547" s="22"/>
      <c r="X547" s="22"/>
      <c r="Y547" s="22"/>
      <c r="Z547" s="14">
        <f>W547+X547/60+Y547/3600</f>
        <v>0</v>
      </c>
      <c r="AA547" s="26">
        <f>ABS(Z547-Q547)/Q547</f>
        <v>1</v>
      </c>
      <c r="AB547" s="26"/>
      <c r="AC547" s="14">
        <f>P547</f>
        <v>48.606744948900001</v>
      </c>
      <c r="AD547" s="14">
        <f>Q547</f>
        <v>2.3020596915799998</v>
      </c>
    </row>
    <row r="548" spans="1:30" s="14" customFormat="1">
      <c r="A548" s="12">
        <v>68</v>
      </c>
      <c r="B548" s="12" t="s">
        <v>569</v>
      </c>
      <c r="C548" s="14" t="str">
        <f>VLOOKUP(B548,weights!A:B,2,FALSE)</f>
        <v>M</v>
      </c>
      <c r="D548" s="13">
        <v>546</v>
      </c>
      <c r="E548" s="14" t="s">
        <v>636</v>
      </c>
      <c r="H548" s="18"/>
      <c r="I548" s="18"/>
      <c r="J548" s="14">
        <v>547</v>
      </c>
      <c r="K548" s="14">
        <f>VLOOKUP(B548,weights!A:G,5,FALSE)</f>
        <v>3.29</v>
      </c>
      <c r="L548" s="14">
        <f>VLOOKUP(B548,weights!A:G,6,FALSE)</f>
        <v>7</v>
      </c>
      <c r="M548" s="14">
        <f>VLOOKUP(B548,weights!A:G,7,FALSE)</f>
        <v>10</v>
      </c>
      <c r="N548" t="s">
        <v>4426</v>
      </c>
      <c r="O548">
        <v>386</v>
      </c>
      <c r="P548">
        <v>48.591460820199998</v>
      </c>
      <c r="Q548">
        <v>2.26693797126</v>
      </c>
      <c r="R548" s="22"/>
      <c r="S548" s="22"/>
      <c r="T548" s="22"/>
      <c r="U548" s="24">
        <f>R548+S548/60+T548/3600</f>
        <v>0</v>
      </c>
      <c r="V548" s="28">
        <f>ABS(U548-P548)/P548</f>
        <v>1</v>
      </c>
      <c r="W548" s="22"/>
      <c r="X548" s="22"/>
      <c r="Y548" s="22"/>
      <c r="Z548" s="14">
        <f>W548+X548/60+Y548/3600</f>
        <v>0</v>
      </c>
      <c r="AA548" s="26">
        <f>ABS(Z548-Q548)/Q548</f>
        <v>1</v>
      </c>
      <c r="AB548" s="26"/>
      <c r="AC548" s="14">
        <f>P548</f>
        <v>48.591460820199998</v>
      </c>
      <c r="AD548" s="14">
        <f>Q548</f>
        <v>2.26693797126</v>
      </c>
    </row>
    <row r="549" spans="1:30" s="14" customFormat="1">
      <c r="A549" s="12">
        <v>69</v>
      </c>
      <c r="B549" s="12" t="s">
        <v>569</v>
      </c>
      <c r="C549" s="14" t="str">
        <f>VLOOKUP(B549,weights!A:B,2,FALSE)</f>
        <v>M</v>
      </c>
      <c r="D549" s="13">
        <v>547</v>
      </c>
      <c r="E549" s="14" t="s">
        <v>637</v>
      </c>
      <c r="H549" s="18"/>
      <c r="I549" s="18"/>
      <c r="J549" s="14">
        <v>548</v>
      </c>
      <c r="K549" s="14">
        <f>VLOOKUP(B549,weights!A:G,5,FALSE)</f>
        <v>3.29</v>
      </c>
      <c r="L549" s="14">
        <f>VLOOKUP(B549,weights!A:G,6,FALSE)</f>
        <v>7</v>
      </c>
      <c r="M549" s="14">
        <f>VLOOKUP(B549,weights!A:G,7,FALSE)</f>
        <v>10</v>
      </c>
      <c r="N549" t="s">
        <v>3198</v>
      </c>
      <c r="O549">
        <v>255</v>
      </c>
      <c r="P549">
        <v>48.586007890799998</v>
      </c>
      <c r="Q549">
        <v>2.2410700781899999</v>
      </c>
      <c r="R549" s="22"/>
      <c r="S549" s="22"/>
      <c r="T549" s="22"/>
      <c r="U549" s="24">
        <f>R549+S549/60+T549/3600</f>
        <v>0</v>
      </c>
      <c r="V549" s="28">
        <f>ABS(U549-P549)/P549</f>
        <v>1</v>
      </c>
      <c r="W549" s="22"/>
      <c r="X549" s="22"/>
      <c r="Y549" s="22"/>
      <c r="Z549" s="14">
        <f>W549+X549/60+Y549/3600</f>
        <v>0</v>
      </c>
      <c r="AA549" s="26">
        <f>ABS(Z549-Q549)/Q549</f>
        <v>1</v>
      </c>
      <c r="AB549" s="26"/>
      <c r="AC549" s="14">
        <f>P549</f>
        <v>48.586007890799998</v>
      </c>
      <c r="AD549" s="14">
        <f>Q549</f>
        <v>2.2410700781899999</v>
      </c>
    </row>
    <row r="550" spans="1:30" s="14" customFormat="1">
      <c r="A550" s="12">
        <v>70</v>
      </c>
      <c r="B550" s="12" t="s">
        <v>569</v>
      </c>
      <c r="C550" s="14" t="str">
        <f>VLOOKUP(B550,weights!A:B,2,FALSE)</f>
        <v>M</v>
      </c>
      <c r="D550" s="13">
        <v>548</v>
      </c>
      <c r="E550" s="14" t="s">
        <v>638</v>
      </c>
      <c r="H550" s="18"/>
      <c r="I550" s="18"/>
      <c r="J550" s="14">
        <v>549</v>
      </c>
      <c r="K550" s="14">
        <f>VLOOKUP(B550,weights!A:G,5,FALSE)</f>
        <v>3.29</v>
      </c>
      <c r="L550" s="14">
        <f>VLOOKUP(B550,weights!A:G,6,FALSE)</f>
        <v>7</v>
      </c>
      <c r="M550" s="14">
        <f>VLOOKUP(B550,weights!A:G,7,FALSE)</f>
        <v>10</v>
      </c>
      <c r="N550" t="s">
        <v>3920</v>
      </c>
      <c r="O550">
        <v>387</v>
      </c>
      <c r="P550">
        <v>48.5824855969</v>
      </c>
      <c r="Q550">
        <v>2.2224333124800002</v>
      </c>
      <c r="R550" s="22"/>
      <c r="S550" s="22"/>
      <c r="T550" s="22"/>
      <c r="U550" s="24">
        <f>R550+S550/60+T550/3600</f>
        <v>0</v>
      </c>
      <c r="V550" s="28">
        <f>ABS(U550-P550)/P550</f>
        <v>1</v>
      </c>
      <c r="W550" s="22"/>
      <c r="X550" s="22"/>
      <c r="Y550" s="22"/>
      <c r="Z550" s="14">
        <f>W550+X550/60+Y550/3600</f>
        <v>0</v>
      </c>
      <c r="AA550" s="26">
        <f>ABS(Z550-Q550)/Q550</f>
        <v>1</v>
      </c>
      <c r="AB550" s="26"/>
      <c r="AC550" s="14">
        <f>P550</f>
        <v>48.5824855969</v>
      </c>
      <c r="AD550" s="14">
        <f>Q550</f>
        <v>2.2224333124800002</v>
      </c>
    </row>
    <row r="551" spans="1:30" s="14" customFormat="1">
      <c r="A551" s="12">
        <v>71</v>
      </c>
      <c r="B551" s="12" t="s">
        <v>569</v>
      </c>
      <c r="C551" s="14" t="str">
        <f>VLOOKUP(B551,weights!A:B,2,FALSE)</f>
        <v>M</v>
      </c>
      <c r="D551" s="13">
        <v>549</v>
      </c>
      <c r="E551" s="14" t="s">
        <v>639</v>
      </c>
      <c r="H551" s="18"/>
      <c r="I551" s="18"/>
      <c r="J551" s="14">
        <v>550</v>
      </c>
      <c r="K551" s="14">
        <f>VLOOKUP(B551,weights!A:G,5,FALSE)</f>
        <v>3.29</v>
      </c>
      <c r="L551" s="14">
        <f>VLOOKUP(B551,weights!A:G,6,FALSE)</f>
        <v>7</v>
      </c>
      <c r="M551" s="14">
        <f>VLOOKUP(B551,weights!A:G,7,FALSE)</f>
        <v>10</v>
      </c>
      <c r="N551" t="s">
        <v>3450</v>
      </c>
      <c r="O551">
        <v>256</v>
      </c>
      <c r="P551">
        <v>48.577508490299998</v>
      </c>
      <c r="Q551">
        <v>2.1920630714699998</v>
      </c>
      <c r="R551" s="22"/>
      <c r="S551" s="22"/>
      <c r="T551" s="22"/>
      <c r="U551" s="24">
        <f>R551+S551/60+T551/3600</f>
        <v>0</v>
      </c>
      <c r="V551" s="28">
        <f>ABS(U551-P551)/P551</f>
        <v>1</v>
      </c>
      <c r="W551" s="22"/>
      <c r="X551" s="22"/>
      <c r="Y551" s="22"/>
      <c r="Z551" s="14">
        <f>W551+X551/60+Y551/3600</f>
        <v>0</v>
      </c>
      <c r="AA551" s="26">
        <f>ABS(Z551-Q551)/Q551</f>
        <v>1</v>
      </c>
      <c r="AB551" s="26"/>
      <c r="AC551" s="14">
        <f>P551</f>
        <v>48.577508490299998</v>
      </c>
      <c r="AD551" s="14">
        <f>Q551</f>
        <v>2.1920630714699998</v>
      </c>
    </row>
    <row r="552" spans="1:30" s="14" customFormat="1">
      <c r="A552" s="12">
        <v>72</v>
      </c>
      <c r="B552" s="12" t="s">
        <v>569</v>
      </c>
      <c r="C552" s="14" t="str">
        <f>VLOOKUP(B552,weights!A:B,2,FALSE)</f>
        <v>M</v>
      </c>
      <c r="D552" s="13">
        <v>550</v>
      </c>
      <c r="E552" s="14" t="s">
        <v>640</v>
      </c>
      <c r="H552" s="18"/>
      <c r="I552" s="18"/>
      <c r="J552" s="14">
        <v>551</v>
      </c>
      <c r="K552" s="14">
        <f>VLOOKUP(B552,weights!A:G,5,FALSE)</f>
        <v>3.29</v>
      </c>
      <c r="L552" s="14">
        <f>VLOOKUP(B552,weights!A:G,6,FALSE)</f>
        <v>7</v>
      </c>
      <c r="M552" s="14">
        <f>VLOOKUP(B552,weights!A:G,7,FALSE)</f>
        <v>10</v>
      </c>
      <c r="N552" t="s">
        <v>3453</v>
      </c>
      <c r="O552">
        <v>893</v>
      </c>
      <c r="P552">
        <v>48.564597027399998</v>
      </c>
      <c r="Q552">
        <v>2.17097626776</v>
      </c>
      <c r="R552" s="22"/>
      <c r="S552" s="22"/>
      <c r="T552" s="22"/>
      <c r="U552" s="24">
        <f>R552+S552/60+T552/3600</f>
        <v>0</v>
      </c>
      <c r="V552" s="28">
        <f>ABS(U552-P552)/P552</f>
        <v>1</v>
      </c>
      <c r="W552" s="22"/>
      <c r="X552" s="22"/>
      <c r="Y552" s="22"/>
      <c r="Z552" s="14">
        <f>W552+X552/60+Y552/3600</f>
        <v>0</v>
      </c>
      <c r="AA552" s="26">
        <f>ABS(Z552-Q552)/Q552</f>
        <v>1</v>
      </c>
      <c r="AB552" s="26"/>
      <c r="AC552" s="14">
        <f>P552</f>
        <v>48.564597027399998</v>
      </c>
      <c r="AD552" s="14">
        <f>Q552</f>
        <v>2.17097626776</v>
      </c>
    </row>
    <row r="553" spans="1:30" s="14" customFormat="1">
      <c r="A553" s="12">
        <v>73</v>
      </c>
      <c r="B553" s="12" t="s">
        <v>569</v>
      </c>
      <c r="C553" s="14" t="str">
        <f>VLOOKUP(B553,weights!A:B,2,FALSE)</f>
        <v>M</v>
      </c>
      <c r="D553" s="13">
        <v>551</v>
      </c>
      <c r="E553" s="14" t="s">
        <v>641</v>
      </c>
      <c r="H553" s="18"/>
      <c r="I553" s="18"/>
      <c r="J553" s="14">
        <v>552</v>
      </c>
      <c r="K553" s="14">
        <f>VLOOKUP(B553,weights!A:G,5,FALSE)</f>
        <v>3.29</v>
      </c>
      <c r="L553" s="14">
        <f>VLOOKUP(B553,weights!A:G,6,FALSE)</f>
        <v>7</v>
      </c>
      <c r="M553" s="14">
        <f>VLOOKUP(B553,weights!A:G,7,FALSE)</f>
        <v>10</v>
      </c>
      <c r="N553" t="s">
        <v>5518</v>
      </c>
      <c r="O553">
        <v>388</v>
      </c>
      <c r="P553">
        <v>48.551091975600002</v>
      </c>
      <c r="Q553">
        <v>2.1257072677000002</v>
      </c>
      <c r="R553" s="22"/>
      <c r="S553" s="22"/>
      <c r="T553" s="22"/>
      <c r="U553" s="24">
        <f>R553+S553/60+T553/3600</f>
        <v>0</v>
      </c>
      <c r="V553" s="28">
        <f>ABS(U553-P553)/P553</f>
        <v>1</v>
      </c>
      <c r="W553" s="22"/>
      <c r="X553" s="22"/>
      <c r="Y553" s="22"/>
      <c r="Z553" s="14">
        <f>W553+X553/60+Y553/3600</f>
        <v>0</v>
      </c>
      <c r="AA553" s="26">
        <f>ABS(Z553-Q553)/Q553</f>
        <v>1</v>
      </c>
      <c r="AB553" s="26"/>
      <c r="AC553" s="14">
        <f>P553</f>
        <v>48.551091975600002</v>
      </c>
      <c r="AD553" s="14">
        <f>Q553</f>
        <v>2.1257072677000002</v>
      </c>
    </row>
    <row r="554" spans="1:30" s="14" customFormat="1">
      <c r="A554" s="12">
        <v>74</v>
      </c>
      <c r="B554" s="12" t="s">
        <v>569</v>
      </c>
      <c r="C554" s="14" t="str">
        <f>VLOOKUP(B554,weights!A:B,2,FALSE)</f>
        <v>M</v>
      </c>
      <c r="D554" s="13">
        <v>552</v>
      </c>
      <c r="E554" s="14" t="s">
        <v>642</v>
      </c>
      <c r="H554" s="18"/>
      <c r="I554" s="18"/>
      <c r="J554" s="14">
        <v>553</v>
      </c>
      <c r="K554" s="14">
        <f>VLOOKUP(B554,weights!A:G,5,FALSE)</f>
        <v>3.29</v>
      </c>
      <c r="L554" s="14">
        <f>VLOOKUP(B554,weights!A:G,6,FALSE)</f>
        <v>7</v>
      </c>
      <c r="M554" s="14">
        <f>VLOOKUP(B554,weights!A:G,7,FALSE)</f>
        <v>10</v>
      </c>
      <c r="N554" t="s">
        <v>5682</v>
      </c>
      <c r="O554">
        <v>389</v>
      </c>
      <c r="P554">
        <v>48.5358065092</v>
      </c>
      <c r="Q554">
        <v>2.0693815248899998</v>
      </c>
      <c r="R554" s="22"/>
      <c r="S554" s="22"/>
      <c r="T554" s="22"/>
      <c r="U554" s="24">
        <f>R554+S554/60+T554/3600</f>
        <v>0</v>
      </c>
      <c r="V554" s="28">
        <f>ABS(U554-P554)/P554</f>
        <v>1</v>
      </c>
      <c r="W554" s="22"/>
      <c r="X554" s="22"/>
      <c r="Y554" s="22"/>
      <c r="Z554" s="14">
        <f>W554+X554/60+Y554/3600</f>
        <v>0</v>
      </c>
      <c r="AA554" s="26">
        <f>ABS(Z554-Q554)/Q554</f>
        <v>1</v>
      </c>
      <c r="AB554" s="26"/>
      <c r="AC554" s="14">
        <f>P554</f>
        <v>48.5358065092</v>
      </c>
      <c r="AD554" s="14">
        <f>Q554</f>
        <v>2.0693815248899998</v>
      </c>
    </row>
    <row r="555" spans="1:30" s="14" customFormat="1">
      <c r="A555" s="12">
        <v>75</v>
      </c>
      <c r="B555" s="12" t="s">
        <v>569</v>
      </c>
      <c r="C555" s="14" t="str">
        <f>VLOOKUP(B555,weights!A:B,2,FALSE)</f>
        <v>M</v>
      </c>
      <c r="D555" s="13">
        <v>553</v>
      </c>
      <c r="E555" s="14" t="s">
        <v>643</v>
      </c>
      <c r="H555" s="18"/>
      <c r="I555" s="18"/>
      <c r="J555" s="14">
        <v>554</v>
      </c>
      <c r="K555" s="14">
        <f>VLOOKUP(B555,weights!A:G,5,FALSE)</f>
        <v>3.29</v>
      </c>
      <c r="L555" s="14">
        <f>VLOOKUP(B555,weights!A:G,6,FALSE)</f>
        <v>7</v>
      </c>
      <c r="M555" s="14">
        <f>VLOOKUP(B555,weights!A:G,7,FALSE)</f>
        <v>10</v>
      </c>
      <c r="N555" t="s">
        <v>3877</v>
      </c>
      <c r="O555">
        <v>390</v>
      </c>
      <c r="P555">
        <v>48.533732833999998</v>
      </c>
      <c r="Q555">
        <v>2.0087718152299998</v>
      </c>
      <c r="R555" s="22"/>
      <c r="S555" s="22"/>
      <c r="T555" s="22"/>
      <c r="U555" s="24">
        <f>R555+S555/60+T555/3600</f>
        <v>0</v>
      </c>
      <c r="V555" s="28">
        <f>ABS(U555-P555)/P555</f>
        <v>1</v>
      </c>
      <c r="W555" s="22"/>
      <c r="X555" s="22"/>
      <c r="Y555" s="22"/>
      <c r="Z555" s="14">
        <f>W555+X555/60+Y555/3600</f>
        <v>0</v>
      </c>
      <c r="AA555" s="26">
        <f>ABS(Z555-Q555)/Q555</f>
        <v>1</v>
      </c>
      <c r="AB555" s="26"/>
      <c r="AC555" s="14">
        <f>P555</f>
        <v>48.533732833999998</v>
      </c>
      <c r="AD555" s="14">
        <f>Q555</f>
        <v>2.0087718152299998</v>
      </c>
    </row>
    <row r="556" spans="1:30" s="14" customFormat="1">
      <c r="A556" s="12">
        <v>76</v>
      </c>
      <c r="B556" s="12" t="s">
        <v>569</v>
      </c>
      <c r="C556" s="14" t="str">
        <f>VLOOKUP(B556,weights!A:B,2,FALSE)</f>
        <v>M</v>
      </c>
      <c r="D556" s="13">
        <v>554</v>
      </c>
      <c r="E556" s="14" t="s">
        <v>644</v>
      </c>
      <c r="H556" s="18"/>
      <c r="I556" s="18"/>
      <c r="K556" s="14">
        <f>VLOOKUP(B556,weights!A:G,5,FALSE)</f>
        <v>3.29</v>
      </c>
      <c r="L556" s="14">
        <f>VLOOKUP(B556,weights!A:G,6,FALSE)</f>
        <v>7</v>
      </c>
      <c r="M556" s="14">
        <f>VLOOKUP(B556,weights!A:G,7,FALSE)</f>
        <v>10</v>
      </c>
      <c r="N556" t="s">
        <v>3880</v>
      </c>
      <c r="O556">
        <v>586</v>
      </c>
      <c r="P556">
        <v>48.5356206226</v>
      </c>
      <c r="Q556">
        <v>1.9959019903599999</v>
      </c>
      <c r="R556" s="22"/>
      <c r="S556" s="22"/>
      <c r="T556" s="22"/>
      <c r="U556" s="24">
        <f>R556+S556/60+T556/3600</f>
        <v>0</v>
      </c>
      <c r="V556" s="28">
        <f>ABS(U556-P556)/P556</f>
        <v>1</v>
      </c>
      <c r="W556" s="22"/>
      <c r="X556" s="22"/>
      <c r="Y556" s="22"/>
      <c r="Z556" s="14">
        <f>W556+X556/60+Y556/3600</f>
        <v>0</v>
      </c>
      <c r="AA556" s="26">
        <f>ABS(Z556-Q556)/Q556</f>
        <v>1</v>
      </c>
      <c r="AB556" s="26"/>
      <c r="AC556" s="14">
        <f>P556</f>
        <v>48.5356206226</v>
      </c>
      <c r="AD556" s="14">
        <f>Q556</f>
        <v>1.9959019903599999</v>
      </c>
    </row>
    <row r="557" spans="1:30" s="14" customFormat="1">
      <c r="A557" s="12">
        <v>77</v>
      </c>
      <c r="B557" s="12" t="s">
        <v>569</v>
      </c>
      <c r="C557" s="14" t="str">
        <f>VLOOKUP(B557,weights!A:B,2,FALSE)</f>
        <v>M</v>
      </c>
      <c r="D557" s="13">
        <v>555</v>
      </c>
      <c r="E557" s="14" t="s">
        <v>645</v>
      </c>
      <c r="H557" s="18"/>
      <c r="I557" s="18"/>
      <c r="J557" s="14">
        <v>556</v>
      </c>
      <c r="K557" s="14">
        <f>VLOOKUP(B557,weights!A:G,5,FALSE)</f>
        <v>3.29</v>
      </c>
      <c r="L557" s="14">
        <f>VLOOKUP(B557,weights!A:G,6,FALSE)</f>
        <v>7</v>
      </c>
      <c r="M557" s="14">
        <f>VLOOKUP(B557,weights!A:G,7,FALSE)</f>
        <v>10</v>
      </c>
      <c r="N557" t="s">
        <v>4803</v>
      </c>
      <c r="O557">
        <v>290</v>
      </c>
      <c r="P557">
        <v>48.565593861899998</v>
      </c>
      <c r="Q557">
        <v>2.2909244698600002</v>
      </c>
      <c r="R557" s="22"/>
      <c r="S557" s="22"/>
      <c r="T557" s="22"/>
      <c r="U557" s="24">
        <f>R557+S557/60+T557/3600</f>
        <v>0</v>
      </c>
      <c r="V557" s="28">
        <f>ABS(U557-P557)/P557</f>
        <v>1</v>
      </c>
      <c r="W557" s="22"/>
      <c r="X557" s="22"/>
      <c r="Y557" s="22"/>
      <c r="Z557" s="14">
        <f>W557+X557/60+Y557/3600</f>
        <v>0</v>
      </c>
      <c r="AA557" s="26">
        <f>ABS(Z557-Q557)/Q557</f>
        <v>1</v>
      </c>
      <c r="AB557" s="26"/>
      <c r="AC557" s="14">
        <f>P557</f>
        <v>48.565593861899998</v>
      </c>
      <c r="AD557" s="14">
        <f>Q557</f>
        <v>2.2909244698600002</v>
      </c>
    </row>
    <row r="558" spans="1:30" s="14" customFormat="1">
      <c r="A558" s="12">
        <v>78</v>
      </c>
      <c r="B558" s="12" t="s">
        <v>569</v>
      </c>
      <c r="C558" s="14" t="str">
        <f>VLOOKUP(B558,weights!A:B,2,FALSE)</f>
        <v>M</v>
      </c>
      <c r="D558" s="13">
        <v>556</v>
      </c>
      <c r="E558" s="14" t="s">
        <v>646</v>
      </c>
      <c r="H558" s="18"/>
      <c r="I558" s="18"/>
      <c r="J558" s="14">
        <v>557</v>
      </c>
      <c r="K558" s="14">
        <f>VLOOKUP(B558,weights!A:G,5,FALSE)</f>
        <v>3.29</v>
      </c>
      <c r="L558" s="14">
        <f>VLOOKUP(B558,weights!A:G,6,FALSE)</f>
        <v>7</v>
      </c>
      <c r="M558" s="14">
        <f>VLOOKUP(B558,weights!A:G,7,FALSE)</f>
        <v>10</v>
      </c>
      <c r="N558" t="s">
        <v>3423</v>
      </c>
      <c r="O558">
        <v>100</v>
      </c>
      <c r="P558">
        <v>48.532890104099998</v>
      </c>
      <c r="Q558">
        <v>2.2900825138299998</v>
      </c>
      <c r="R558" s="22"/>
      <c r="S558" s="22"/>
      <c r="T558" s="22"/>
      <c r="U558" s="24">
        <f>R558+S558/60+T558/3600</f>
        <v>0</v>
      </c>
      <c r="V558" s="28">
        <f>ABS(U558-P558)/P558</f>
        <v>1</v>
      </c>
      <c r="W558" s="22"/>
      <c r="X558" s="22"/>
      <c r="Y558" s="22"/>
      <c r="Z558" s="14">
        <f>W558+X558/60+Y558/3600</f>
        <v>0</v>
      </c>
      <c r="AA558" s="26">
        <f>ABS(Z558-Q558)/Q558</f>
        <v>1</v>
      </c>
      <c r="AB558" s="26"/>
      <c r="AC558" s="14">
        <f>P558</f>
        <v>48.532890104099998</v>
      </c>
      <c r="AD558" s="14">
        <f>Q558</f>
        <v>2.2900825138299998</v>
      </c>
    </row>
    <row r="559" spans="1:30" s="14" customFormat="1">
      <c r="A559" s="12">
        <v>79</v>
      </c>
      <c r="B559" s="12" t="s">
        <v>569</v>
      </c>
      <c r="C559" s="14" t="str">
        <f>VLOOKUP(B559,weights!A:B,2,FALSE)</f>
        <v>M</v>
      </c>
      <c r="D559" s="13">
        <v>557</v>
      </c>
      <c r="E559" s="14" t="s">
        <v>647</v>
      </c>
      <c r="H559" s="18"/>
      <c r="I559" s="18"/>
      <c r="J559" s="14">
        <v>558</v>
      </c>
      <c r="K559" s="14">
        <f>VLOOKUP(B559,weights!A:G,5,FALSE)</f>
        <v>3.29</v>
      </c>
      <c r="L559" s="14">
        <f>VLOOKUP(B559,weights!A:G,6,FALSE)</f>
        <v>7</v>
      </c>
      <c r="M559" s="14">
        <f>VLOOKUP(B559,weights!A:G,7,FALSE)</f>
        <v>10</v>
      </c>
      <c r="N559" t="s">
        <v>4469</v>
      </c>
      <c r="O559">
        <v>193</v>
      </c>
      <c r="P559">
        <v>48.520403591099999</v>
      </c>
      <c r="Q559">
        <v>2.2547397010700001</v>
      </c>
      <c r="R559" s="22"/>
      <c r="S559" s="22"/>
      <c r="T559" s="22"/>
      <c r="U559" s="24">
        <f>R559+S559/60+T559/3600</f>
        <v>0</v>
      </c>
      <c r="V559" s="28">
        <f>ABS(U559-P559)/P559</f>
        <v>1</v>
      </c>
      <c r="W559" s="22"/>
      <c r="X559" s="22"/>
      <c r="Y559" s="22"/>
      <c r="Z559" s="14">
        <f>W559+X559/60+Y559/3600</f>
        <v>0</v>
      </c>
      <c r="AA559" s="26">
        <f>ABS(Z559-Q559)/Q559</f>
        <v>1</v>
      </c>
      <c r="AB559" s="26"/>
      <c r="AC559" s="14">
        <f>P559</f>
        <v>48.520403591099999</v>
      </c>
      <c r="AD559" s="14">
        <f>Q559</f>
        <v>2.2547397010700001</v>
      </c>
    </row>
    <row r="560" spans="1:30" s="14" customFormat="1">
      <c r="A560" s="12">
        <v>80</v>
      </c>
      <c r="B560" s="12" t="s">
        <v>569</v>
      </c>
      <c r="C560" s="14" t="str">
        <f>VLOOKUP(B560,weights!A:B,2,FALSE)</f>
        <v>M</v>
      </c>
      <c r="D560" s="13">
        <v>558</v>
      </c>
      <c r="E560" s="14" t="s">
        <v>648</v>
      </c>
      <c r="H560" s="18"/>
      <c r="I560" s="18"/>
      <c r="J560" s="14">
        <v>559</v>
      </c>
      <c r="K560" s="14">
        <f>VLOOKUP(B560,weights!A:G,5,FALSE)</f>
        <v>3.29</v>
      </c>
      <c r="L560" s="14">
        <f>VLOOKUP(B560,weights!A:G,6,FALSE)</f>
        <v>7</v>
      </c>
      <c r="M560" s="14">
        <f>VLOOKUP(B560,weights!A:G,7,FALSE)</f>
        <v>10</v>
      </c>
      <c r="N560" t="s">
        <v>3547</v>
      </c>
      <c r="O560">
        <v>194</v>
      </c>
      <c r="P560">
        <v>48.5142458762</v>
      </c>
      <c r="Q560">
        <v>2.2155178105800002</v>
      </c>
      <c r="R560" s="22"/>
      <c r="S560" s="22"/>
      <c r="T560" s="22"/>
      <c r="U560" s="24">
        <f>R560+S560/60+T560/3600</f>
        <v>0</v>
      </c>
      <c r="V560" s="28">
        <f>ABS(U560-P560)/P560</f>
        <v>1</v>
      </c>
      <c r="W560" s="22"/>
      <c r="X560" s="22"/>
      <c r="Y560" s="22"/>
      <c r="Z560" s="14">
        <f>W560+X560/60+Y560/3600</f>
        <v>0</v>
      </c>
      <c r="AA560" s="26">
        <f>ABS(Z560-Q560)/Q560</f>
        <v>1</v>
      </c>
      <c r="AB560" s="26"/>
      <c r="AC560" s="14">
        <f>P560</f>
        <v>48.5142458762</v>
      </c>
      <c r="AD560" s="14">
        <f>Q560</f>
        <v>2.2155178105800002</v>
      </c>
    </row>
    <row r="561" spans="1:30" s="14" customFormat="1">
      <c r="A561" s="12">
        <v>81</v>
      </c>
      <c r="B561" s="12" t="s">
        <v>569</v>
      </c>
      <c r="C561" s="14" t="str">
        <f>VLOOKUP(B561,weights!A:B,2,FALSE)</f>
        <v>M</v>
      </c>
      <c r="D561" s="13">
        <v>559</v>
      </c>
      <c r="E561" s="14" t="s">
        <v>649</v>
      </c>
      <c r="H561" s="18"/>
      <c r="I561" s="18"/>
      <c r="J561" s="14">
        <v>560</v>
      </c>
      <c r="K561" s="14">
        <f>VLOOKUP(B561,weights!A:G,5,FALSE)</f>
        <v>3.29</v>
      </c>
      <c r="L561" s="14">
        <f>VLOOKUP(B561,weights!A:G,6,FALSE)</f>
        <v>7</v>
      </c>
      <c r="M561" s="14">
        <f>VLOOKUP(B561,weights!A:G,7,FALSE)</f>
        <v>10</v>
      </c>
      <c r="N561" t="s">
        <v>3990</v>
      </c>
      <c r="O561">
        <v>501</v>
      </c>
      <c r="P561">
        <v>48.493644578500003</v>
      </c>
      <c r="Q561">
        <v>2.19458169917</v>
      </c>
      <c r="R561" s="22"/>
      <c r="S561" s="22"/>
      <c r="T561" s="22"/>
      <c r="U561" s="24">
        <f>R561+S561/60+T561/3600</f>
        <v>0</v>
      </c>
      <c r="V561" s="28">
        <f>ABS(U561-P561)/P561</f>
        <v>1</v>
      </c>
      <c r="W561" s="22"/>
      <c r="X561" s="22"/>
      <c r="Y561" s="22"/>
      <c r="Z561" s="14">
        <f>W561+X561/60+Y561/3600</f>
        <v>0</v>
      </c>
      <c r="AA561" s="26">
        <f>ABS(Z561-Q561)/Q561</f>
        <v>1</v>
      </c>
      <c r="AB561" s="26"/>
      <c r="AC561" s="14">
        <f>P561</f>
        <v>48.493644578500003</v>
      </c>
      <c r="AD561" s="14">
        <f>Q561</f>
        <v>2.19458169917</v>
      </c>
    </row>
    <row r="562" spans="1:30" s="14" customFormat="1">
      <c r="A562" s="12">
        <v>82</v>
      </c>
      <c r="B562" s="12" t="s">
        <v>569</v>
      </c>
      <c r="C562" s="14" t="str">
        <f>VLOOKUP(B562,weights!A:B,2,FALSE)</f>
        <v>M</v>
      </c>
      <c r="D562" s="13">
        <v>560</v>
      </c>
      <c r="E562" s="14" t="s">
        <v>650</v>
      </c>
      <c r="H562" s="18"/>
      <c r="I562" s="18"/>
      <c r="J562" s="14">
        <v>561</v>
      </c>
      <c r="K562" s="14">
        <f>VLOOKUP(B562,weights!A:G,5,FALSE)</f>
        <v>3.29</v>
      </c>
      <c r="L562" s="14">
        <f>VLOOKUP(B562,weights!A:G,6,FALSE)</f>
        <v>7</v>
      </c>
      <c r="M562" s="14">
        <f>VLOOKUP(B562,weights!A:G,7,FALSE)</f>
        <v>10</v>
      </c>
      <c r="N562" t="s">
        <v>3981</v>
      </c>
      <c r="O562">
        <v>291</v>
      </c>
      <c r="P562">
        <v>48.4369239376</v>
      </c>
      <c r="Q562">
        <v>2.1595305875699999</v>
      </c>
      <c r="R562" s="22"/>
      <c r="S562" s="22"/>
      <c r="T562" s="22"/>
      <c r="U562" s="24">
        <f>R562+S562/60+T562/3600</f>
        <v>0</v>
      </c>
      <c r="V562" s="28">
        <f>ABS(U562-P562)/P562</f>
        <v>1</v>
      </c>
      <c r="W562" s="22"/>
      <c r="X562" s="22"/>
      <c r="Y562" s="22"/>
      <c r="Z562" s="14">
        <f>W562+X562/60+Y562/3600</f>
        <v>0</v>
      </c>
      <c r="AA562" s="26">
        <f>ABS(Z562-Q562)/Q562</f>
        <v>1</v>
      </c>
      <c r="AB562" s="26"/>
      <c r="AC562" s="14">
        <f>P562</f>
        <v>48.4369239376</v>
      </c>
      <c r="AD562" s="14">
        <f>Q562</f>
        <v>2.1595305875699999</v>
      </c>
    </row>
    <row r="563" spans="1:30" s="14" customFormat="1">
      <c r="A563" s="12">
        <v>83</v>
      </c>
      <c r="B563" s="12" t="s">
        <v>569</v>
      </c>
      <c r="C563" s="14" t="str">
        <f>VLOOKUP(B563,weights!A:B,2,FALSE)</f>
        <v>M</v>
      </c>
      <c r="D563" s="13">
        <v>561</v>
      </c>
      <c r="E563" s="14" t="s">
        <v>651</v>
      </c>
      <c r="H563" s="18"/>
      <c r="I563" s="18"/>
      <c r="K563" s="14">
        <f>VLOOKUP(B563,weights!A:G,5,FALSE)</f>
        <v>3.29</v>
      </c>
      <c r="L563" s="14">
        <f>VLOOKUP(B563,weights!A:G,6,FALSE)</f>
        <v>7</v>
      </c>
      <c r="M563" s="14">
        <f>VLOOKUP(B563,weights!A:G,7,FALSE)</f>
        <v>10</v>
      </c>
      <c r="N563" t="s">
        <v>5591</v>
      </c>
      <c r="O563">
        <v>71</v>
      </c>
      <c r="P563">
        <v>48.427362584199997</v>
      </c>
      <c r="Q563">
        <v>2.1452465929</v>
      </c>
      <c r="R563" s="22"/>
      <c r="S563" s="22"/>
      <c r="T563" s="22"/>
      <c r="U563" s="24">
        <f>R563+S563/60+T563/3600</f>
        <v>0</v>
      </c>
      <c r="V563" s="28">
        <f>ABS(U563-P563)/P563</f>
        <v>1</v>
      </c>
      <c r="W563" s="22"/>
      <c r="X563" s="22"/>
      <c r="Y563" s="22"/>
      <c r="Z563" s="14">
        <f>W563+X563/60+Y563/3600</f>
        <v>0</v>
      </c>
      <c r="AA563" s="26">
        <f>ABS(Z563-Q563)/Q563</f>
        <v>1</v>
      </c>
      <c r="AB563" s="26"/>
      <c r="AC563" s="14">
        <f>P563</f>
        <v>48.427362584199997</v>
      </c>
      <c r="AD563" s="14">
        <f>Q563</f>
        <v>2.1452465929</v>
      </c>
    </row>
    <row r="564" spans="1:30" s="14" customFormat="1">
      <c r="A564" s="12">
        <v>0</v>
      </c>
      <c r="B564" s="12" t="s">
        <v>666</v>
      </c>
      <c r="C564" s="14" t="str">
        <f>VLOOKUP(B564,weights!A:B,2,FALSE)</f>
        <v>M</v>
      </c>
      <c r="D564" s="13">
        <v>562</v>
      </c>
      <c r="E564" s="14" t="s">
        <v>667</v>
      </c>
      <c r="G564" s="14" t="s">
        <v>653</v>
      </c>
      <c r="H564" s="18"/>
      <c r="I564" s="18" t="s">
        <v>1846</v>
      </c>
      <c r="J564" s="14">
        <v>563</v>
      </c>
      <c r="K564" s="14">
        <f>VLOOKUP(B564,weights!A:G,5,FALSE)</f>
        <v>4</v>
      </c>
      <c r="L564" s="14">
        <f>VLOOKUP(B564,weights!A:G,6,FALSE)</f>
        <v>7</v>
      </c>
      <c r="M564" s="14">
        <f>VLOOKUP(B564,weights!A:G,7,FALSE)</f>
        <v>10</v>
      </c>
      <c r="N564" t="s">
        <v>3796</v>
      </c>
      <c r="O564">
        <v>619</v>
      </c>
      <c r="P564">
        <v>49.263944144500002</v>
      </c>
      <c r="Q564">
        <v>2.46891411535</v>
      </c>
      <c r="R564" s="22"/>
      <c r="S564" s="22"/>
      <c r="T564" s="22"/>
      <c r="U564" s="24">
        <f>R564+S564/60+T564/3600</f>
        <v>0</v>
      </c>
      <c r="V564" s="28">
        <f>ABS(U564-P564)/P564</f>
        <v>1</v>
      </c>
      <c r="W564" s="22"/>
      <c r="X564" s="22"/>
      <c r="Y564" s="22"/>
      <c r="Z564" s="14">
        <f>W564+X564/60+Y564/3600</f>
        <v>0</v>
      </c>
      <c r="AA564" s="26">
        <f>ABS(Z564-Q564)/Q564</f>
        <v>1</v>
      </c>
      <c r="AB564" s="26"/>
      <c r="AC564" s="14">
        <f>P564</f>
        <v>49.263944144500002</v>
      </c>
      <c r="AD564" s="14">
        <f>Q564</f>
        <v>2.46891411535</v>
      </c>
    </row>
    <row r="565" spans="1:30" s="14" customFormat="1">
      <c r="A565" s="12">
        <v>1</v>
      </c>
      <c r="B565" s="12" t="s">
        <v>666</v>
      </c>
      <c r="C565" s="14" t="str">
        <f>VLOOKUP(B565,weights!A:B,2,FALSE)</f>
        <v>M</v>
      </c>
      <c r="D565" s="13">
        <v>563</v>
      </c>
      <c r="E565" s="14" t="s">
        <v>668</v>
      </c>
      <c r="H565" s="18"/>
      <c r="I565" s="18"/>
      <c r="J565" s="14">
        <v>564</v>
      </c>
      <c r="K565" s="14">
        <f>VLOOKUP(B565,weights!A:G,5,FALSE)</f>
        <v>4</v>
      </c>
      <c r="L565" s="14">
        <f>VLOOKUP(B565,weights!A:G,6,FALSE)</f>
        <v>7</v>
      </c>
      <c r="M565" s="14">
        <f>VLOOKUP(B565,weights!A:G,7,FALSE)</f>
        <v>10</v>
      </c>
      <c r="N565" t="s">
        <v>3582</v>
      </c>
      <c r="O565">
        <v>542</v>
      </c>
      <c r="P565">
        <v>49.187333536499999</v>
      </c>
      <c r="Q565">
        <v>2.45952008111</v>
      </c>
      <c r="R565" s="22"/>
      <c r="S565" s="22"/>
      <c r="T565" s="22"/>
      <c r="U565" s="24">
        <f>R565+S565/60+T565/3600</f>
        <v>0</v>
      </c>
      <c r="V565" s="28">
        <f>ABS(U565-P565)/P565</f>
        <v>1</v>
      </c>
      <c r="W565" s="22"/>
      <c r="X565" s="22"/>
      <c r="Y565" s="22"/>
      <c r="Z565" s="14">
        <f>W565+X565/60+Y565/3600</f>
        <v>0</v>
      </c>
      <c r="AA565" s="26">
        <f>ABS(Z565-Q565)/Q565</f>
        <v>1</v>
      </c>
      <c r="AB565" s="26"/>
      <c r="AC565" s="14">
        <f>P565</f>
        <v>49.187333536499999</v>
      </c>
      <c r="AD565" s="14">
        <f>Q565</f>
        <v>2.45952008111</v>
      </c>
    </row>
    <row r="566" spans="1:30" s="14" customFormat="1">
      <c r="A566" s="12">
        <v>2</v>
      </c>
      <c r="B566" s="12" t="s">
        <v>666</v>
      </c>
      <c r="C566" s="14" t="str">
        <f>VLOOKUP(B566,weights!A:B,2,FALSE)</f>
        <v>M</v>
      </c>
      <c r="D566" s="13">
        <v>564</v>
      </c>
      <c r="E566" s="14" t="s">
        <v>669</v>
      </c>
      <c r="H566" s="18"/>
      <c r="I566" s="18"/>
      <c r="J566" s="14">
        <v>565</v>
      </c>
      <c r="K566" s="14">
        <f>VLOOKUP(B566,weights!A:G,5,FALSE)</f>
        <v>4</v>
      </c>
      <c r="L566" s="14">
        <f>VLOOKUP(B566,weights!A:G,6,FALSE)</f>
        <v>7</v>
      </c>
      <c r="M566" s="14">
        <f>VLOOKUP(B566,weights!A:G,7,FALSE)</f>
        <v>10</v>
      </c>
      <c r="N566" t="s">
        <v>5060</v>
      </c>
      <c r="O566">
        <v>777</v>
      </c>
      <c r="P566">
        <v>49.138286375299998</v>
      </c>
      <c r="Q566">
        <v>2.49017898542</v>
      </c>
      <c r="R566" s="22"/>
      <c r="S566" s="22"/>
      <c r="T566" s="22"/>
      <c r="U566" s="24">
        <f>R566+S566/60+T566/3600</f>
        <v>0</v>
      </c>
      <c r="V566" s="28">
        <f>ABS(U566-P566)/P566</f>
        <v>1</v>
      </c>
      <c r="W566" s="22"/>
      <c r="X566" s="22"/>
      <c r="Y566" s="22"/>
      <c r="Z566" s="14">
        <f>W566+X566/60+Y566/3600</f>
        <v>0</v>
      </c>
      <c r="AA566" s="26">
        <f>ABS(Z566-Q566)/Q566</f>
        <v>1</v>
      </c>
      <c r="AB566" s="26"/>
      <c r="AC566" s="14">
        <f>P566</f>
        <v>49.138286375299998</v>
      </c>
      <c r="AD566" s="14">
        <f>Q566</f>
        <v>2.49017898542</v>
      </c>
    </row>
    <row r="567" spans="1:30" s="14" customFormat="1">
      <c r="A567" s="12">
        <v>3</v>
      </c>
      <c r="B567" s="12" t="s">
        <v>666</v>
      </c>
      <c r="C567" s="14" t="str">
        <f>VLOOKUP(B567,weights!A:B,2,FALSE)</f>
        <v>M</v>
      </c>
      <c r="D567" s="13">
        <v>565</v>
      </c>
      <c r="E567" s="14" t="s">
        <v>670</v>
      </c>
      <c r="H567" s="18"/>
      <c r="I567" s="18"/>
      <c r="J567" s="14">
        <v>566</v>
      </c>
      <c r="K567" s="14">
        <f>VLOOKUP(B567,weights!A:G,5,FALSE)</f>
        <v>4</v>
      </c>
      <c r="L567" s="14">
        <f>VLOOKUP(B567,weights!A:G,6,FALSE)</f>
        <v>7</v>
      </c>
      <c r="M567" s="14">
        <f>VLOOKUP(B567,weights!A:G,7,FALSE)</f>
        <v>10</v>
      </c>
      <c r="N567" t="s">
        <v>4372</v>
      </c>
      <c r="O567">
        <v>597</v>
      </c>
      <c r="P567">
        <v>49.126780941100002</v>
      </c>
      <c r="Q567">
        <v>2.5061436906300001</v>
      </c>
      <c r="R567" s="22"/>
      <c r="S567" s="22"/>
      <c r="T567" s="22"/>
      <c r="U567" s="24">
        <f>R567+S567/60+T567/3600</f>
        <v>0</v>
      </c>
      <c r="V567" s="28">
        <f>ABS(U567-P567)/P567</f>
        <v>1</v>
      </c>
      <c r="W567" s="22"/>
      <c r="X567" s="22"/>
      <c r="Y567" s="22"/>
      <c r="Z567" s="14">
        <f>W567+X567/60+Y567/3600</f>
        <v>0</v>
      </c>
      <c r="AA567" s="26">
        <f>ABS(Z567-Q567)/Q567</f>
        <v>1</v>
      </c>
      <c r="AB567" s="26"/>
      <c r="AC567" s="14">
        <f>P567</f>
        <v>49.126780941100002</v>
      </c>
      <c r="AD567" s="14">
        <f>Q567</f>
        <v>2.5061436906300001</v>
      </c>
    </row>
    <row r="568" spans="1:30" s="14" customFormat="1">
      <c r="A568" s="12">
        <v>4</v>
      </c>
      <c r="B568" s="12" t="s">
        <v>666</v>
      </c>
      <c r="C568" s="14" t="str">
        <f>VLOOKUP(B568,weights!A:B,2,FALSE)</f>
        <v>M</v>
      </c>
      <c r="D568" s="13">
        <v>566</v>
      </c>
      <c r="E568" s="14" t="s">
        <v>671</v>
      </c>
      <c r="H568" s="18"/>
      <c r="I568" s="18"/>
      <c r="J568" s="14">
        <v>567</v>
      </c>
      <c r="K568" s="14">
        <f>VLOOKUP(B568,weights!A:G,5,FALSE)</f>
        <v>4</v>
      </c>
      <c r="L568" s="14">
        <f>VLOOKUP(B568,weights!A:G,6,FALSE)</f>
        <v>7</v>
      </c>
      <c r="M568" s="14">
        <f>VLOOKUP(B568,weights!A:G,7,FALSE)</f>
        <v>10</v>
      </c>
      <c r="N568" t="s">
        <v>5757</v>
      </c>
      <c r="O568">
        <v>671</v>
      </c>
      <c r="P568">
        <v>49.0995869383</v>
      </c>
      <c r="Q568">
        <v>2.525531714</v>
      </c>
      <c r="R568" s="22"/>
      <c r="S568" s="22"/>
      <c r="T568" s="22"/>
      <c r="U568" s="24">
        <f>R568+S568/60+T568/3600</f>
        <v>0</v>
      </c>
      <c r="V568" s="28">
        <f>ABS(U568-P568)/P568</f>
        <v>1</v>
      </c>
      <c r="W568" s="22"/>
      <c r="X568" s="22"/>
      <c r="Y568" s="22"/>
      <c r="Z568" s="14">
        <f>W568+X568/60+Y568/3600</f>
        <v>0</v>
      </c>
      <c r="AA568" s="26">
        <f>ABS(Z568-Q568)/Q568</f>
        <v>1</v>
      </c>
      <c r="AB568" s="26"/>
      <c r="AC568" s="14">
        <f>P568</f>
        <v>49.0995869383</v>
      </c>
      <c r="AD568" s="14">
        <f>Q568</f>
        <v>2.525531714</v>
      </c>
    </row>
    <row r="569" spans="1:30" s="14" customFormat="1">
      <c r="A569" s="12">
        <v>5</v>
      </c>
      <c r="B569" s="12" t="s">
        <v>666</v>
      </c>
      <c r="C569" s="14" t="str">
        <f>VLOOKUP(B569,weights!A:B,2,FALSE)</f>
        <v>M</v>
      </c>
      <c r="D569" s="13">
        <v>567</v>
      </c>
      <c r="E569" s="14" t="s">
        <v>672</v>
      </c>
      <c r="H569" s="18"/>
      <c r="I569" s="18"/>
      <c r="J569" s="14">
        <v>568</v>
      </c>
      <c r="K569" s="14">
        <f>VLOOKUP(B569,weights!A:G,5,FALSE)</f>
        <v>4</v>
      </c>
      <c r="L569" s="14">
        <f>VLOOKUP(B569,weights!A:G,6,FALSE)</f>
        <v>7</v>
      </c>
      <c r="M569" s="14">
        <f>VLOOKUP(B569,weights!A:G,7,FALSE)</f>
        <v>10</v>
      </c>
      <c r="N569" t="s">
        <v>4672</v>
      </c>
      <c r="O569">
        <v>670</v>
      </c>
      <c r="P569">
        <v>49.049325598199999</v>
      </c>
      <c r="Q569">
        <v>2.5017580617699999</v>
      </c>
      <c r="R569" s="22"/>
      <c r="S569" s="22"/>
      <c r="T569" s="22"/>
      <c r="U569" s="24">
        <f>R569+S569/60+T569/3600</f>
        <v>0</v>
      </c>
      <c r="V569" s="28">
        <f>ABS(U569-P569)/P569</f>
        <v>1</v>
      </c>
      <c r="W569" s="22"/>
      <c r="X569" s="22"/>
      <c r="Y569" s="22"/>
      <c r="Z569" s="14">
        <f>W569+X569/60+Y569/3600</f>
        <v>0</v>
      </c>
      <c r="AA569" s="26">
        <f>ABS(Z569-Q569)/Q569</f>
        <v>1</v>
      </c>
      <c r="AB569" s="26"/>
      <c r="AC569" s="14">
        <f>P569</f>
        <v>49.049325598199999</v>
      </c>
      <c r="AD569" s="14">
        <f>Q569</f>
        <v>2.5017580617699999</v>
      </c>
    </row>
    <row r="570" spans="1:30" s="14" customFormat="1">
      <c r="A570" s="12">
        <v>6</v>
      </c>
      <c r="B570" s="12" t="s">
        <v>666</v>
      </c>
      <c r="C570" s="14" t="str">
        <f>VLOOKUP(B570,weights!A:B,2,FALSE)</f>
        <v>M</v>
      </c>
      <c r="D570" s="13">
        <v>568</v>
      </c>
      <c r="E570" s="14" t="s">
        <v>673</v>
      </c>
      <c r="H570" s="18"/>
      <c r="I570" s="18"/>
      <c r="J570" s="14">
        <v>569</v>
      </c>
      <c r="K570" s="14">
        <f>VLOOKUP(B570,weights!A:G,5,FALSE)</f>
        <v>4</v>
      </c>
      <c r="L570" s="14">
        <f>VLOOKUP(B570,weights!A:G,6,FALSE)</f>
        <v>7</v>
      </c>
      <c r="M570" s="14">
        <f>VLOOKUP(B570,weights!A:G,7,FALSE)</f>
        <v>10</v>
      </c>
      <c r="N570" t="s">
        <v>4599</v>
      </c>
      <c r="O570">
        <v>426</v>
      </c>
      <c r="P570">
        <v>49.033182768099998</v>
      </c>
      <c r="Q570">
        <v>2.4780333664900001</v>
      </c>
      <c r="R570" s="22"/>
      <c r="S570" s="22"/>
      <c r="T570" s="22"/>
      <c r="U570" s="24">
        <f>R570+S570/60+T570/3600</f>
        <v>0</v>
      </c>
      <c r="V570" s="28">
        <f>ABS(U570-P570)/P570</f>
        <v>1</v>
      </c>
      <c r="W570" s="22"/>
      <c r="X570" s="22"/>
      <c r="Y570" s="22"/>
      <c r="Z570" s="14">
        <f>W570+X570/60+Y570/3600</f>
        <v>0</v>
      </c>
      <c r="AA570" s="26">
        <f>ABS(Z570-Q570)/Q570</f>
        <v>1</v>
      </c>
      <c r="AB570" s="26"/>
      <c r="AC570" s="14">
        <f>P570</f>
        <v>49.033182768099998</v>
      </c>
      <c r="AD570" s="14">
        <f>Q570</f>
        <v>2.4780333664900001</v>
      </c>
    </row>
    <row r="571" spans="1:30" s="14" customFormat="1">
      <c r="A571" s="12">
        <v>7</v>
      </c>
      <c r="B571" s="12" t="s">
        <v>666</v>
      </c>
      <c r="C571" s="14" t="str">
        <f>VLOOKUP(B571,weights!A:B,2,FALSE)</f>
        <v>M</v>
      </c>
      <c r="D571" s="13">
        <v>569</v>
      </c>
      <c r="E571" s="14" t="s">
        <v>674</v>
      </c>
      <c r="H571" s="18"/>
      <c r="I571" s="18"/>
      <c r="J571" s="14">
        <v>570</v>
      </c>
      <c r="K571" s="14">
        <f>VLOOKUP(B571,weights!A:G,5,FALSE)</f>
        <v>4</v>
      </c>
      <c r="L571" s="14">
        <f>VLOOKUP(B571,weights!A:G,6,FALSE)</f>
        <v>7</v>
      </c>
      <c r="M571" s="14">
        <f>VLOOKUP(B571,weights!A:G,7,FALSE)</f>
        <v>10</v>
      </c>
      <c r="N571" t="s">
        <v>4169</v>
      </c>
      <c r="O571">
        <v>783</v>
      </c>
      <c r="P571">
        <v>49.023161996299997</v>
      </c>
      <c r="Q571">
        <v>2.4621689620599998</v>
      </c>
      <c r="R571" s="22"/>
      <c r="S571" s="22"/>
      <c r="T571" s="22"/>
      <c r="U571" s="24">
        <f>R571+S571/60+T571/3600</f>
        <v>0</v>
      </c>
      <c r="V571" s="28">
        <f>ABS(U571-P571)/P571</f>
        <v>1</v>
      </c>
      <c r="W571" s="22"/>
      <c r="X571" s="22"/>
      <c r="Y571" s="22"/>
      <c r="Z571" s="14">
        <f>W571+X571/60+Y571/3600</f>
        <v>0</v>
      </c>
      <c r="AA571" s="26">
        <f>ABS(Z571-Q571)/Q571</f>
        <v>1</v>
      </c>
      <c r="AB571" s="26"/>
      <c r="AC571" s="14">
        <f>P571</f>
        <v>49.023161996299997</v>
      </c>
      <c r="AD571" s="14">
        <f>Q571</f>
        <v>2.4621689620599998</v>
      </c>
    </row>
    <row r="572" spans="1:30" s="14" customFormat="1">
      <c r="A572" s="12">
        <v>8</v>
      </c>
      <c r="B572" s="12" t="s">
        <v>666</v>
      </c>
      <c r="C572" s="14" t="str">
        <f>VLOOKUP(B572,weights!A:B,2,FALSE)</f>
        <v>M</v>
      </c>
      <c r="D572" s="13">
        <v>570</v>
      </c>
      <c r="E572" s="14" t="s">
        <v>675</v>
      </c>
      <c r="H572" s="18"/>
      <c r="I572" s="18"/>
      <c r="J572" s="14">
        <v>571</v>
      </c>
      <c r="K572" s="14">
        <f>VLOOKUP(B572,weights!A:G,5,FALSE)</f>
        <v>4</v>
      </c>
      <c r="L572" s="14">
        <f>VLOOKUP(B572,weights!A:G,6,FALSE)</f>
        <v>7</v>
      </c>
      <c r="M572" s="14">
        <f>VLOOKUP(B572,weights!A:G,7,FALSE)</f>
        <v>10</v>
      </c>
      <c r="N572" t="s">
        <v>5968</v>
      </c>
      <c r="O572">
        <v>425</v>
      </c>
      <c r="P572">
        <v>48.993777147800003</v>
      </c>
      <c r="Q572">
        <v>2.4161874916500001</v>
      </c>
      <c r="R572" s="22"/>
      <c r="S572" s="22"/>
      <c r="T572" s="22"/>
      <c r="U572" s="24">
        <f>R572+S572/60+T572/3600</f>
        <v>0</v>
      </c>
      <c r="V572" s="28">
        <f>ABS(U572-P572)/P572</f>
        <v>1</v>
      </c>
      <c r="W572" s="22"/>
      <c r="X572" s="22"/>
      <c r="Y572" s="22"/>
      <c r="Z572" s="14">
        <f>W572+X572/60+Y572/3600</f>
        <v>0</v>
      </c>
      <c r="AA572" s="26">
        <f>ABS(Z572-Q572)/Q572</f>
        <v>1</v>
      </c>
      <c r="AB572" s="26"/>
      <c r="AC572" s="14">
        <f>P572</f>
        <v>48.993777147800003</v>
      </c>
      <c r="AD572" s="14">
        <f>Q572</f>
        <v>2.4161874916500001</v>
      </c>
    </row>
    <row r="573" spans="1:30" s="14" customFormat="1">
      <c r="A573" s="12">
        <v>9</v>
      </c>
      <c r="B573" s="12" t="s">
        <v>666</v>
      </c>
      <c r="C573" s="14" t="str">
        <f>VLOOKUP(B573,weights!A:B,2,FALSE)</f>
        <v>M</v>
      </c>
      <c r="D573" s="13">
        <v>571</v>
      </c>
      <c r="E573" s="14" t="s">
        <v>676</v>
      </c>
      <c r="G573" s="14" t="s">
        <v>523</v>
      </c>
      <c r="H573" s="18"/>
      <c r="I573" s="18" t="s">
        <v>1847</v>
      </c>
      <c r="J573" s="14">
        <v>572</v>
      </c>
      <c r="K573" s="14">
        <f>VLOOKUP(B573,weights!A:G,5,FALSE)</f>
        <v>4</v>
      </c>
      <c r="L573" s="14">
        <f>VLOOKUP(B573,weights!A:G,6,FALSE)</f>
        <v>7</v>
      </c>
      <c r="M573" s="14">
        <f>VLOOKUP(B573,weights!A:G,7,FALSE)</f>
        <v>10</v>
      </c>
      <c r="N573" t="s">
        <v>4119</v>
      </c>
      <c r="O573">
        <v>490</v>
      </c>
      <c r="P573">
        <v>48.976868588499997</v>
      </c>
      <c r="Q573">
        <v>2.3907639327100001</v>
      </c>
      <c r="R573" s="22"/>
      <c r="S573" s="22"/>
      <c r="T573" s="22"/>
      <c r="U573" s="24">
        <f>R573+S573/60+T573/3600</f>
        <v>0</v>
      </c>
      <c r="V573" s="28">
        <f>ABS(U573-P573)/P573</f>
        <v>1</v>
      </c>
      <c r="W573" s="22"/>
      <c r="X573" s="22"/>
      <c r="Y573" s="22"/>
      <c r="Z573" s="14">
        <f>W573+X573/60+Y573/3600</f>
        <v>0</v>
      </c>
      <c r="AA573" s="26">
        <f>ABS(Z573-Q573)/Q573</f>
        <v>1</v>
      </c>
      <c r="AB573" s="26"/>
      <c r="AC573" s="14">
        <f>P573</f>
        <v>48.976868588499997</v>
      </c>
      <c r="AD573" s="14">
        <f>Q573</f>
        <v>2.3907639327100001</v>
      </c>
    </row>
    <row r="574" spans="1:30" s="14" customFormat="1">
      <c r="A574" s="12">
        <v>10</v>
      </c>
      <c r="B574" s="12" t="s">
        <v>666</v>
      </c>
      <c r="C574" s="14" t="str">
        <f>VLOOKUP(B574,weights!A:B,2,FALSE)</f>
        <v>M</v>
      </c>
      <c r="D574" s="13">
        <v>572</v>
      </c>
      <c r="E574" s="14" t="s">
        <v>677</v>
      </c>
      <c r="G574" s="14" t="s">
        <v>563</v>
      </c>
      <c r="H574" s="18"/>
      <c r="I574" s="18" t="s">
        <v>1848</v>
      </c>
      <c r="J574" s="14">
        <v>573</v>
      </c>
      <c r="K574" s="14">
        <f>VLOOKUP(B574,weights!A:G,5,FALSE)</f>
        <v>4</v>
      </c>
      <c r="L574" s="14">
        <f>VLOOKUP(B574,weights!A:G,6,FALSE)</f>
        <v>7</v>
      </c>
      <c r="M574" s="14">
        <f>VLOOKUP(B574,weights!A:G,7,FALSE)</f>
        <v>10</v>
      </c>
      <c r="N574" t="s">
        <v>5177</v>
      </c>
      <c r="O574">
        <v>923</v>
      </c>
      <c r="P574">
        <v>48.963755426900001</v>
      </c>
      <c r="Q574">
        <v>2.3721031343400001</v>
      </c>
      <c r="R574" s="22"/>
      <c r="S574" s="22"/>
      <c r="T574" s="22"/>
      <c r="U574" s="24">
        <f>R574+S574/60+T574/3600</f>
        <v>0</v>
      </c>
      <c r="V574" s="28">
        <f>ABS(U574-P574)/P574</f>
        <v>1</v>
      </c>
      <c r="W574" s="22"/>
      <c r="X574" s="22"/>
      <c r="Y574" s="22"/>
      <c r="Z574" s="14">
        <f>W574+X574/60+Y574/3600</f>
        <v>0</v>
      </c>
      <c r="AA574" s="26">
        <f>ABS(Z574-Q574)/Q574</f>
        <v>1</v>
      </c>
      <c r="AB574" s="26"/>
      <c r="AC574" s="14">
        <f>P574</f>
        <v>48.963755426900001</v>
      </c>
      <c r="AD574" s="14">
        <f>Q574</f>
        <v>2.3721031343400001</v>
      </c>
    </row>
    <row r="575" spans="1:30" s="14" customFormat="1">
      <c r="A575" s="12">
        <v>11</v>
      </c>
      <c r="B575" s="12" t="s">
        <v>666</v>
      </c>
      <c r="C575" s="14" t="str">
        <f>VLOOKUP(B575,weights!A:B,2,FALSE)</f>
        <v>M</v>
      </c>
      <c r="D575" s="13">
        <v>573</v>
      </c>
      <c r="E575" s="14" t="s">
        <v>559</v>
      </c>
      <c r="G575" s="14" t="s">
        <v>1506</v>
      </c>
      <c r="H575" s="18"/>
      <c r="I575" s="18" t="s">
        <v>1849</v>
      </c>
      <c r="J575" s="14">
        <v>574</v>
      </c>
      <c r="K575" s="14">
        <f>VLOOKUP(B575,weights!A:G,5,FALSE)</f>
        <v>4</v>
      </c>
      <c r="L575" s="14">
        <f>VLOOKUP(B575,weights!A:G,6,FALSE)</f>
        <v>7</v>
      </c>
      <c r="M575" s="14">
        <f>VLOOKUP(B575,weights!A:G,7,FALSE)</f>
        <v>10</v>
      </c>
      <c r="N575" t="s">
        <v>5529</v>
      </c>
      <c r="O575">
        <v>565</v>
      </c>
      <c r="P575">
        <v>48.936030605900001</v>
      </c>
      <c r="Q575">
        <v>2.3452746846800001</v>
      </c>
      <c r="R575" s="22"/>
      <c r="S575" s="22"/>
      <c r="T575" s="22"/>
      <c r="U575" s="24">
        <f>R575+S575/60+T575/3600</f>
        <v>0</v>
      </c>
      <c r="V575" s="28">
        <f>ABS(U575-P575)/P575</f>
        <v>1</v>
      </c>
      <c r="W575" s="22"/>
      <c r="X575" s="22"/>
      <c r="Y575" s="22"/>
      <c r="Z575" s="14">
        <f>W575+X575/60+Y575/3600</f>
        <v>0</v>
      </c>
      <c r="AA575" s="26">
        <f>ABS(Z575-Q575)/Q575</f>
        <v>1</v>
      </c>
      <c r="AB575" s="26"/>
      <c r="AC575" s="14">
        <f>P575</f>
        <v>48.936030605900001</v>
      </c>
      <c r="AD575" s="14">
        <f>Q575</f>
        <v>2.3452746846800001</v>
      </c>
    </row>
    <row r="576" spans="1:30" s="14" customFormat="1">
      <c r="A576" s="12">
        <v>12</v>
      </c>
      <c r="B576" s="12" t="s">
        <v>666</v>
      </c>
      <c r="C576" s="14" t="str">
        <f>VLOOKUP(B576,weights!A:B,2,FALSE)</f>
        <v>M</v>
      </c>
      <c r="D576" s="13">
        <v>574</v>
      </c>
      <c r="E576" s="14" t="s">
        <v>678</v>
      </c>
      <c r="H576" s="18"/>
      <c r="I576" s="18"/>
      <c r="J576" s="14">
        <v>575</v>
      </c>
      <c r="K576" s="14">
        <f>VLOOKUP(B576,weights!A:G,5,FALSE)</f>
        <v>4</v>
      </c>
      <c r="L576" s="14">
        <f>VLOOKUP(B576,weights!A:G,6,FALSE)</f>
        <v>7</v>
      </c>
      <c r="M576" s="14">
        <f>VLOOKUP(B576,weights!A:G,7,FALSE)</f>
        <v>10</v>
      </c>
      <c r="N576" t="s">
        <v>5728</v>
      </c>
      <c r="O576">
        <v>594</v>
      </c>
      <c r="P576">
        <v>48.917567173000002</v>
      </c>
      <c r="Q576">
        <v>2.3503895379299999</v>
      </c>
      <c r="R576" s="22"/>
      <c r="S576" s="22"/>
      <c r="T576" s="22"/>
      <c r="U576" s="24">
        <f>R576+S576/60+T576/3600</f>
        <v>0</v>
      </c>
      <c r="V576" s="28">
        <f>ABS(U576-P576)/P576</f>
        <v>1</v>
      </c>
      <c r="W576" s="22"/>
      <c r="X576" s="22"/>
      <c r="Y576" s="22"/>
      <c r="Z576" s="14">
        <f>W576+X576/60+Y576/3600</f>
        <v>0</v>
      </c>
      <c r="AA576" s="26">
        <f>ABS(Z576-Q576)/Q576</f>
        <v>1</v>
      </c>
      <c r="AB576" s="26"/>
      <c r="AC576" s="14">
        <f>P576</f>
        <v>48.917567173000002</v>
      </c>
      <c r="AD576" s="14">
        <f>Q576</f>
        <v>2.3503895379299999</v>
      </c>
    </row>
    <row r="577" spans="1:30" s="14" customFormat="1">
      <c r="A577" s="12">
        <v>13</v>
      </c>
      <c r="B577" s="12" t="s">
        <v>666</v>
      </c>
      <c r="C577" s="14" t="str">
        <f>VLOOKUP(B577,weights!A:B,2,FALSE)</f>
        <v>M</v>
      </c>
      <c r="D577" s="13">
        <v>575</v>
      </c>
      <c r="E577" s="14" t="s">
        <v>679</v>
      </c>
      <c r="G577" s="14" t="s">
        <v>1460</v>
      </c>
      <c r="H577" s="18" t="s">
        <v>1850</v>
      </c>
      <c r="I577" s="18" t="s">
        <v>1799</v>
      </c>
      <c r="J577" s="14">
        <v>576</v>
      </c>
      <c r="K577" s="14">
        <f>VLOOKUP(B577,weights!A:G,5,FALSE)</f>
        <v>4</v>
      </c>
      <c r="L577" s="14">
        <f>VLOOKUP(B577,weights!A:G,6,FALSE)</f>
        <v>7</v>
      </c>
      <c r="M577" s="14">
        <f>VLOOKUP(B577,weights!A:G,7,FALSE)</f>
        <v>10</v>
      </c>
      <c r="N577" t="s">
        <v>4109</v>
      </c>
      <c r="O577">
        <v>817</v>
      </c>
      <c r="P577">
        <v>48.880922007599999</v>
      </c>
      <c r="Q577">
        <v>2.3563285436600001</v>
      </c>
      <c r="R577" s="22"/>
      <c r="S577" s="22"/>
      <c r="T577" s="22"/>
      <c r="U577" s="24">
        <f>R577+S577/60+T577/3600</f>
        <v>0</v>
      </c>
      <c r="V577" s="28">
        <f>ABS(U577-P577)/P577</f>
        <v>1</v>
      </c>
      <c r="W577" s="22"/>
      <c r="X577" s="22"/>
      <c r="Y577" s="22"/>
      <c r="Z577" s="14">
        <f>W577+X577/60+Y577/3600</f>
        <v>0</v>
      </c>
      <c r="AA577" s="26">
        <f>ABS(Z577-Q577)/Q577</f>
        <v>1</v>
      </c>
      <c r="AB577" s="26"/>
      <c r="AC577" s="14">
        <f>P577</f>
        <v>48.880922007599999</v>
      </c>
      <c r="AD577" s="14">
        <f>Q577</f>
        <v>2.3563285436600001</v>
      </c>
    </row>
    <row r="578" spans="1:30" s="14" customFormat="1">
      <c r="A578" s="12">
        <v>14</v>
      </c>
      <c r="B578" s="12" t="s">
        <v>666</v>
      </c>
      <c r="C578" s="14" t="str">
        <f>VLOOKUP(B578,weights!A:B,2,FALSE)</f>
        <v>M</v>
      </c>
      <c r="D578" s="13">
        <v>576</v>
      </c>
      <c r="E578" s="14" t="s">
        <v>680</v>
      </c>
      <c r="G578" s="14" t="s">
        <v>721</v>
      </c>
      <c r="H578" s="18" t="s">
        <v>1591</v>
      </c>
      <c r="I578" s="18" t="s">
        <v>1577</v>
      </c>
      <c r="J578" s="14">
        <v>577</v>
      </c>
      <c r="K578" s="14">
        <f>VLOOKUP(B578,weights!A:G,5,FALSE)</f>
        <v>4</v>
      </c>
      <c r="L578" s="14">
        <f>VLOOKUP(B578,weights!A:G,6,FALSE)</f>
        <v>7</v>
      </c>
      <c r="M578" s="14">
        <f>VLOOKUP(B578,weights!A:G,7,FALSE)</f>
        <v>10</v>
      </c>
      <c r="N578" t="s">
        <v>3638</v>
      </c>
      <c r="O578">
        <v>616</v>
      </c>
      <c r="P578">
        <v>48.861822271900003</v>
      </c>
      <c r="Q578">
        <v>2.34701268861</v>
      </c>
      <c r="R578" s="22"/>
      <c r="S578" s="22"/>
      <c r="T578" s="22"/>
      <c r="U578" s="24">
        <f>R578+S578/60+T578/3600</f>
        <v>0</v>
      </c>
      <c r="V578" s="28">
        <f>ABS(U578-P578)/P578</f>
        <v>1</v>
      </c>
      <c r="W578" s="22"/>
      <c r="X578" s="22"/>
      <c r="Y578" s="22"/>
      <c r="Z578" s="14">
        <f>W578+X578/60+Y578/3600</f>
        <v>0</v>
      </c>
      <c r="AA578" s="26">
        <f>ABS(Z578-Q578)/Q578</f>
        <v>1</v>
      </c>
      <c r="AB578" s="26"/>
      <c r="AC578" s="14">
        <f>P578</f>
        <v>48.861822271900003</v>
      </c>
      <c r="AD578" s="14">
        <f>Q578</f>
        <v>2.34701268861</v>
      </c>
    </row>
    <row r="579" spans="1:30" s="14" customFormat="1">
      <c r="A579" s="12">
        <v>15</v>
      </c>
      <c r="B579" s="12" t="s">
        <v>666</v>
      </c>
      <c r="C579" s="14" t="str">
        <f>VLOOKUP(B579,weights!A:B,2,FALSE)</f>
        <v>M</v>
      </c>
      <c r="D579" s="13">
        <v>577</v>
      </c>
      <c r="E579" s="14" t="s">
        <v>681</v>
      </c>
      <c r="G579" s="14" t="s">
        <v>1507</v>
      </c>
      <c r="H579" s="18" t="s">
        <v>1596</v>
      </c>
      <c r="I579" s="18" t="s">
        <v>1792</v>
      </c>
      <c r="J579" s="14">
        <v>578</v>
      </c>
      <c r="K579" s="14">
        <f>VLOOKUP(B579,weights!A:G,5,FALSE)</f>
        <v>4</v>
      </c>
      <c r="L579" s="14">
        <f>VLOOKUP(B579,weights!A:G,6,FALSE)</f>
        <v>7</v>
      </c>
      <c r="M579" s="14">
        <f>VLOOKUP(B579,weights!A:G,7,FALSE)</f>
        <v>10</v>
      </c>
      <c r="N579" t="s">
        <v>4102</v>
      </c>
      <c r="O579">
        <v>638</v>
      </c>
      <c r="P579">
        <v>48.844139349899997</v>
      </c>
      <c r="Q579">
        <v>2.3732599780700001</v>
      </c>
      <c r="R579" s="22"/>
      <c r="S579" s="22"/>
      <c r="T579" s="22"/>
      <c r="U579" s="24">
        <f>R579+S579/60+T579/3600</f>
        <v>0</v>
      </c>
      <c r="V579" s="28">
        <f>ABS(U579-P579)/P579</f>
        <v>1</v>
      </c>
      <c r="W579" s="22"/>
      <c r="X579" s="22"/>
      <c r="Y579" s="22"/>
      <c r="Z579" s="14">
        <f>W579+X579/60+Y579/3600</f>
        <v>0</v>
      </c>
      <c r="AA579" s="26">
        <f>ABS(Z579-Q579)/Q579</f>
        <v>1</v>
      </c>
      <c r="AB579" s="26"/>
      <c r="AC579" s="14">
        <f>P579</f>
        <v>48.844139349899997</v>
      </c>
      <c r="AD579" s="14">
        <f>Q579</f>
        <v>2.3732599780700001</v>
      </c>
    </row>
    <row r="580" spans="1:30" s="14" customFormat="1">
      <c r="A580" s="12">
        <v>16</v>
      </c>
      <c r="B580" s="12" t="s">
        <v>666</v>
      </c>
      <c r="C580" s="14" t="str">
        <f>VLOOKUP(B580,weights!A:B,2,FALSE)</f>
        <v>M</v>
      </c>
      <c r="D580" s="13">
        <v>578</v>
      </c>
      <c r="E580" s="14" t="s">
        <v>682</v>
      </c>
      <c r="H580" s="18"/>
      <c r="I580" s="18"/>
      <c r="J580" s="14">
        <v>579</v>
      </c>
      <c r="K580" s="14">
        <f>VLOOKUP(B580,weights!A:G,5,FALSE)</f>
        <v>4</v>
      </c>
      <c r="L580" s="14">
        <f>VLOOKUP(B580,weights!A:G,6,FALSE)</f>
        <v>7</v>
      </c>
      <c r="M580" s="14">
        <f>VLOOKUP(B580,weights!A:G,7,FALSE)</f>
        <v>10</v>
      </c>
      <c r="N580" t="s">
        <v>4736</v>
      </c>
      <c r="O580">
        <v>197</v>
      </c>
      <c r="P580">
        <v>48.802049380299998</v>
      </c>
      <c r="Q580">
        <v>2.4264824084800001</v>
      </c>
      <c r="R580" s="22"/>
      <c r="S580" s="22"/>
      <c r="T580" s="22"/>
      <c r="U580" s="24">
        <f>R580+S580/60+T580/3600</f>
        <v>0</v>
      </c>
      <c r="V580" s="28">
        <f>ABS(U580-P580)/P580</f>
        <v>1</v>
      </c>
      <c r="W580" s="22"/>
      <c r="X580" s="22"/>
      <c r="Y580" s="22"/>
      <c r="Z580" s="14">
        <f>W580+X580/60+Y580/3600</f>
        <v>0</v>
      </c>
      <c r="AA580" s="26">
        <f>ABS(Z580-Q580)/Q580</f>
        <v>1</v>
      </c>
      <c r="AB580" s="26"/>
      <c r="AC580" s="14">
        <f>P580</f>
        <v>48.802049380299998</v>
      </c>
      <c r="AD580" s="14">
        <f>Q580</f>
        <v>2.4264824084800001</v>
      </c>
    </row>
    <row r="581" spans="1:30" s="14" customFormat="1">
      <c r="A581" s="12">
        <v>17</v>
      </c>
      <c r="B581" s="12" t="s">
        <v>666</v>
      </c>
      <c r="C581" s="14" t="str">
        <f>VLOOKUP(B581,weights!A:B,2,FALSE)</f>
        <v>M</v>
      </c>
      <c r="D581" s="13">
        <v>579</v>
      </c>
      <c r="E581" s="14" t="s">
        <v>683</v>
      </c>
      <c r="H581" s="18"/>
      <c r="I581" s="18"/>
      <c r="J581" s="14">
        <v>580</v>
      </c>
      <c r="K581" s="14">
        <f>VLOOKUP(B581,weights!A:G,5,FALSE)</f>
        <v>4</v>
      </c>
      <c r="L581" s="14">
        <f>VLOOKUP(B581,weights!A:G,6,FALSE)</f>
        <v>7</v>
      </c>
      <c r="M581" s="14">
        <f>VLOOKUP(B581,weights!A:G,7,FALSE)</f>
        <v>10</v>
      </c>
      <c r="N581" t="s">
        <v>4527</v>
      </c>
      <c r="O581">
        <v>408</v>
      </c>
      <c r="P581">
        <v>48.788914899399998</v>
      </c>
      <c r="Q581">
        <v>2.4320701165599998</v>
      </c>
      <c r="R581" s="22"/>
      <c r="S581" s="22"/>
      <c r="T581" s="22"/>
      <c r="U581" s="24">
        <f>R581+S581/60+T581/3600</f>
        <v>0</v>
      </c>
      <c r="V581" s="28">
        <f>ABS(U581-P581)/P581</f>
        <v>1</v>
      </c>
      <c r="W581" s="22"/>
      <c r="X581" s="22"/>
      <c r="Y581" s="22"/>
      <c r="Z581" s="14">
        <f>W581+X581/60+Y581/3600</f>
        <v>0</v>
      </c>
      <c r="AA581" s="26">
        <f>ABS(Z581-Q581)/Q581</f>
        <v>1</v>
      </c>
      <c r="AB581" s="26"/>
      <c r="AC581" s="14">
        <f>P581</f>
        <v>48.788914899399998</v>
      </c>
      <c r="AD581" s="14">
        <f>Q581</f>
        <v>2.4320701165599998</v>
      </c>
    </row>
    <row r="582" spans="1:30" s="14" customFormat="1">
      <c r="A582" s="12">
        <v>18</v>
      </c>
      <c r="B582" s="12" t="s">
        <v>666</v>
      </c>
      <c r="C582" s="14" t="str">
        <f>VLOOKUP(B582,weights!A:B,2,FALSE)</f>
        <v>M</v>
      </c>
      <c r="D582" s="13">
        <v>580</v>
      </c>
      <c r="E582" s="14" t="s">
        <v>684</v>
      </c>
      <c r="H582" s="18"/>
      <c r="I582" s="18"/>
      <c r="J582" s="14">
        <v>581</v>
      </c>
      <c r="K582" s="14">
        <f>VLOOKUP(B582,weights!A:G,5,FALSE)</f>
        <v>4</v>
      </c>
      <c r="L582" s="14">
        <f>VLOOKUP(B582,weights!A:G,6,FALSE)</f>
        <v>7</v>
      </c>
      <c r="M582" s="14">
        <f>VLOOKUP(B582,weights!A:G,7,FALSE)</f>
        <v>10</v>
      </c>
      <c r="N582" t="s">
        <v>3803</v>
      </c>
      <c r="O582">
        <v>694</v>
      </c>
      <c r="P582">
        <v>48.771266038100002</v>
      </c>
      <c r="Q582">
        <v>2.4353063397099999</v>
      </c>
      <c r="R582" s="22"/>
      <c r="S582" s="22"/>
      <c r="T582" s="22"/>
      <c r="U582" s="24">
        <f>R582+S582/60+T582/3600</f>
        <v>0</v>
      </c>
      <c r="V582" s="28">
        <f>ABS(U582-P582)/P582</f>
        <v>1</v>
      </c>
      <c r="W582" s="22"/>
      <c r="X582" s="22"/>
      <c r="Y582" s="22"/>
      <c r="Z582" s="14">
        <f>W582+X582/60+Y582/3600</f>
        <v>0</v>
      </c>
      <c r="AA582" s="26">
        <f>ABS(Z582-Q582)/Q582</f>
        <v>1</v>
      </c>
      <c r="AB582" s="26"/>
      <c r="AC582" s="14">
        <f>P582</f>
        <v>48.771266038100002</v>
      </c>
      <c r="AD582" s="14">
        <f>Q582</f>
        <v>2.4353063397099999</v>
      </c>
    </row>
    <row r="583" spans="1:30" s="14" customFormat="1">
      <c r="A583" s="12">
        <v>19</v>
      </c>
      <c r="B583" s="12" t="s">
        <v>666</v>
      </c>
      <c r="C583" s="14" t="str">
        <f>VLOOKUP(B583,weights!A:B,2,FALSE)</f>
        <v>M</v>
      </c>
      <c r="D583" s="13">
        <v>581</v>
      </c>
      <c r="E583" s="14" t="s">
        <v>685</v>
      </c>
      <c r="H583" s="18"/>
      <c r="I583" s="18"/>
      <c r="J583" s="14">
        <v>582</v>
      </c>
      <c r="K583" s="14">
        <f>VLOOKUP(B583,weights!A:G,5,FALSE)</f>
        <v>4</v>
      </c>
      <c r="L583" s="14">
        <f>VLOOKUP(B583,weights!A:G,6,FALSE)</f>
        <v>7</v>
      </c>
      <c r="M583" s="14">
        <f>VLOOKUP(B583,weights!A:G,7,FALSE)</f>
        <v>10</v>
      </c>
      <c r="N583" t="s">
        <v>5946</v>
      </c>
      <c r="O583">
        <v>655</v>
      </c>
      <c r="P583">
        <v>48.745230814899998</v>
      </c>
      <c r="Q583">
        <v>2.4383442405700002</v>
      </c>
      <c r="R583" s="22"/>
      <c r="S583" s="22"/>
      <c r="T583" s="22"/>
      <c r="U583" s="24">
        <f>R583+S583/60+T583/3600</f>
        <v>0</v>
      </c>
      <c r="V583" s="28">
        <f>ABS(U583-P583)/P583</f>
        <v>1</v>
      </c>
      <c r="W583" s="22"/>
      <c r="X583" s="22"/>
      <c r="Y583" s="22"/>
      <c r="Z583" s="14">
        <f>W583+X583/60+Y583/3600</f>
        <v>0</v>
      </c>
      <c r="AA583" s="26">
        <f>ABS(Z583-Q583)/Q583</f>
        <v>1</v>
      </c>
      <c r="AB583" s="26"/>
      <c r="AC583" s="14">
        <f>P583</f>
        <v>48.745230814899998</v>
      </c>
      <c r="AD583" s="14">
        <f>Q583</f>
        <v>2.4383442405700002</v>
      </c>
    </row>
    <row r="584" spans="1:30" s="14" customFormat="1">
      <c r="A584" s="12">
        <v>20</v>
      </c>
      <c r="B584" s="12" t="s">
        <v>666</v>
      </c>
      <c r="C584" s="14" t="str">
        <f>VLOOKUP(B584,weights!A:B,2,FALSE)</f>
        <v>M</v>
      </c>
      <c r="D584" s="13">
        <v>582</v>
      </c>
      <c r="E584" s="14" t="s">
        <v>686</v>
      </c>
      <c r="H584" s="18"/>
      <c r="I584" s="18"/>
      <c r="J584" s="14">
        <v>583.59199999999998</v>
      </c>
      <c r="K584" s="14">
        <f>VLOOKUP(B584,weights!A:G,5,FALSE)</f>
        <v>4</v>
      </c>
      <c r="L584" s="14">
        <f>VLOOKUP(B584,weights!A:G,6,FALSE)</f>
        <v>7</v>
      </c>
      <c r="M584" s="14">
        <f>VLOOKUP(B584,weights!A:G,7,FALSE)</f>
        <v>10</v>
      </c>
      <c r="N584" t="s">
        <v>5940</v>
      </c>
      <c r="O584">
        <v>654</v>
      </c>
      <c r="P584">
        <v>48.730116827800003</v>
      </c>
      <c r="Q584">
        <v>2.4461358296100002</v>
      </c>
      <c r="R584" s="22"/>
      <c r="S584" s="22"/>
      <c r="T584" s="22"/>
      <c r="U584" s="24">
        <f>R584+S584/60+T584/3600</f>
        <v>0</v>
      </c>
      <c r="V584" s="28">
        <f>ABS(U584-P584)/P584</f>
        <v>1</v>
      </c>
      <c r="W584" s="22"/>
      <c r="X584" s="22"/>
      <c r="Y584" s="22"/>
      <c r="Z584" s="14">
        <f>W584+X584/60+Y584/3600</f>
        <v>0</v>
      </c>
      <c r="AA584" s="26">
        <f>ABS(Z584-Q584)/Q584</f>
        <v>1</v>
      </c>
      <c r="AB584" s="26"/>
      <c r="AC584" s="14">
        <f>P584</f>
        <v>48.730116827800003</v>
      </c>
      <c r="AD584" s="14">
        <f>Q584</f>
        <v>2.4461358296100002</v>
      </c>
    </row>
    <row r="585" spans="1:30" s="14" customFormat="1">
      <c r="A585" s="12">
        <v>21</v>
      </c>
      <c r="B585" s="12" t="s">
        <v>666</v>
      </c>
      <c r="C585" s="14" t="str">
        <f>VLOOKUP(B585,weights!A:B,2,FALSE)</f>
        <v>M</v>
      </c>
      <c r="D585" s="13">
        <v>583</v>
      </c>
      <c r="E585" s="14" t="s">
        <v>687</v>
      </c>
      <c r="H585" s="18"/>
      <c r="I585" s="18"/>
      <c r="J585" s="14">
        <v>584</v>
      </c>
      <c r="K585" s="14">
        <f>VLOOKUP(B585,weights!A:G,5,FALSE)</f>
        <v>4</v>
      </c>
      <c r="L585" s="14">
        <f>VLOOKUP(B585,weights!A:G,6,FALSE)</f>
        <v>7</v>
      </c>
      <c r="M585" s="14">
        <f>VLOOKUP(B585,weights!A:G,7,FALSE)</f>
        <v>10</v>
      </c>
      <c r="N585" t="s">
        <v>4907</v>
      </c>
      <c r="O585">
        <v>402</v>
      </c>
      <c r="P585">
        <v>48.708237830400002</v>
      </c>
      <c r="Q585">
        <v>2.4622822419500001</v>
      </c>
      <c r="R585" s="22"/>
      <c r="S585" s="22"/>
      <c r="T585" s="22"/>
      <c r="U585" s="24">
        <f>R585+S585/60+T585/3600</f>
        <v>0</v>
      </c>
      <c r="V585" s="28">
        <f>ABS(U585-P585)/P585</f>
        <v>1</v>
      </c>
      <c r="W585" s="22"/>
      <c r="X585" s="22"/>
      <c r="Y585" s="22"/>
      <c r="Z585" s="14">
        <f>W585+X585/60+Y585/3600</f>
        <v>0</v>
      </c>
      <c r="AA585" s="26">
        <f>ABS(Z585-Q585)/Q585</f>
        <v>1</v>
      </c>
      <c r="AB585" s="26"/>
      <c r="AC585" s="14">
        <f>P585</f>
        <v>48.708237830400002</v>
      </c>
      <c r="AD585" s="14">
        <f>Q585</f>
        <v>2.4622822419500001</v>
      </c>
    </row>
    <row r="586" spans="1:30" s="14" customFormat="1">
      <c r="A586" s="12">
        <v>22</v>
      </c>
      <c r="B586" s="12" t="s">
        <v>666</v>
      </c>
      <c r="C586" s="14" t="str">
        <f>VLOOKUP(B586,weights!A:B,2,FALSE)</f>
        <v>M</v>
      </c>
      <c r="D586" s="13">
        <v>584</v>
      </c>
      <c r="E586" s="14" t="s">
        <v>688</v>
      </c>
      <c r="H586" s="18"/>
      <c r="I586" s="18"/>
      <c r="J586" s="14">
        <v>585</v>
      </c>
      <c r="K586" s="14">
        <f>VLOOKUP(B586,weights!A:G,5,FALSE)</f>
        <v>4</v>
      </c>
      <c r="L586" s="14">
        <f>VLOOKUP(B586,weights!A:G,6,FALSE)</f>
        <v>7</v>
      </c>
      <c r="M586" s="14">
        <f>VLOOKUP(B586,weights!A:G,7,FALSE)</f>
        <v>10</v>
      </c>
      <c r="N586" t="s">
        <v>6015</v>
      </c>
      <c r="O586">
        <v>191</v>
      </c>
      <c r="P586">
        <v>48.7066109469</v>
      </c>
      <c r="Q586">
        <v>2.4842451493</v>
      </c>
      <c r="R586" s="22"/>
      <c r="S586" s="22"/>
      <c r="T586" s="22"/>
      <c r="U586" s="24">
        <f>R586+S586/60+T586/3600</f>
        <v>0</v>
      </c>
      <c r="V586" s="28">
        <f>ABS(U586-P586)/P586</f>
        <v>1</v>
      </c>
      <c r="W586" s="22"/>
      <c r="X586" s="22"/>
      <c r="Y586" s="22"/>
      <c r="Z586" s="14">
        <f>W586+X586/60+Y586/3600</f>
        <v>0</v>
      </c>
      <c r="AA586" s="26">
        <f>ABS(Z586-Q586)/Q586</f>
        <v>1</v>
      </c>
      <c r="AB586" s="26"/>
      <c r="AC586" s="14">
        <f>P586</f>
        <v>48.7066109469</v>
      </c>
      <c r="AD586" s="14">
        <f>Q586</f>
        <v>2.4842451493</v>
      </c>
    </row>
    <row r="587" spans="1:30" s="14" customFormat="1">
      <c r="A587" s="12">
        <v>23</v>
      </c>
      <c r="B587" s="12" t="s">
        <v>666</v>
      </c>
      <c r="C587" s="14" t="str">
        <f>VLOOKUP(B587,weights!A:B,2,FALSE)</f>
        <v>M</v>
      </c>
      <c r="D587" s="13">
        <v>585</v>
      </c>
      <c r="E587" s="14" t="s">
        <v>689</v>
      </c>
      <c r="H587" s="18"/>
      <c r="I587" s="18"/>
      <c r="J587" s="14">
        <v>586</v>
      </c>
      <c r="K587" s="14">
        <f>VLOOKUP(B587,weights!A:G,5,FALSE)</f>
        <v>4</v>
      </c>
      <c r="L587" s="14">
        <f>VLOOKUP(B587,weights!A:G,6,FALSE)</f>
        <v>7</v>
      </c>
      <c r="M587" s="14">
        <f>VLOOKUP(B587,weights!A:G,7,FALSE)</f>
        <v>10</v>
      </c>
      <c r="N587" t="s">
        <v>3465</v>
      </c>
      <c r="O587">
        <v>289</v>
      </c>
      <c r="P587">
        <v>48.6997324357</v>
      </c>
      <c r="Q587">
        <v>2.5060781531899998</v>
      </c>
      <c r="R587" s="22"/>
      <c r="S587" s="22"/>
      <c r="T587" s="22"/>
      <c r="U587" s="24">
        <f>R587+S587/60+T587/3600</f>
        <v>0</v>
      </c>
      <c r="V587" s="28">
        <f>ABS(U587-P587)/P587</f>
        <v>1</v>
      </c>
      <c r="W587" s="22"/>
      <c r="X587" s="22"/>
      <c r="Y587" s="22"/>
      <c r="Z587" s="14">
        <f>W587+X587/60+Y587/3600</f>
        <v>0</v>
      </c>
      <c r="AA587" s="26">
        <f>ABS(Z587-Q587)/Q587</f>
        <v>1</v>
      </c>
      <c r="AB587" s="26"/>
      <c r="AC587" s="14">
        <f>P587</f>
        <v>48.6997324357</v>
      </c>
      <c r="AD587" s="14">
        <f>Q587</f>
        <v>2.5060781531899998</v>
      </c>
    </row>
    <row r="588" spans="1:30" s="14" customFormat="1">
      <c r="A588" s="12">
        <v>24</v>
      </c>
      <c r="B588" s="12" t="s">
        <v>666</v>
      </c>
      <c r="C588" s="14" t="str">
        <f>VLOOKUP(B588,weights!A:B,2,FALSE)</f>
        <v>M</v>
      </c>
      <c r="D588" s="13">
        <v>586</v>
      </c>
      <c r="E588" s="14" t="s">
        <v>690</v>
      </c>
      <c r="H588" s="18"/>
      <c r="I588" s="18"/>
      <c r="J588" s="14">
        <v>587</v>
      </c>
      <c r="K588" s="14">
        <f>VLOOKUP(B588,weights!A:G,5,FALSE)</f>
        <v>4</v>
      </c>
      <c r="L588" s="14">
        <f>VLOOKUP(B588,weights!A:G,6,FALSE)</f>
        <v>7</v>
      </c>
      <c r="M588" s="14">
        <f>VLOOKUP(B588,weights!A:G,7,FALSE)</f>
        <v>10</v>
      </c>
      <c r="N588" t="s">
        <v>3435</v>
      </c>
      <c r="O588">
        <v>895</v>
      </c>
      <c r="P588">
        <v>48.681016613700002</v>
      </c>
      <c r="Q588">
        <v>2.5331306633900001</v>
      </c>
      <c r="R588" s="22"/>
      <c r="S588" s="22"/>
      <c r="T588" s="22"/>
      <c r="U588" s="24">
        <f>R588+S588/60+T588/3600</f>
        <v>0</v>
      </c>
      <c r="V588" s="28">
        <f>ABS(U588-P588)/P588</f>
        <v>1</v>
      </c>
      <c r="W588" s="22"/>
      <c r="X588" s="22"/>
      <c r="Y588" s="22"/>
      <c r="Z588" s="14">
        <f>W588+X588/60+Y588/3600</f>
        <v>0</v>
      </c>
      <c r="AA588" s="26">
        <f>ABS(Z588-Q588)/Q588</f>
        <v>1</v>
      </c>
      <c r="AB588" s="26"/>
      <c r="AC588" s="14">
        <f>P588</f>
        <v>48.681016613700002</v>
      </c>
      <c r="AD588" s="14">
        <f>Q588</f>
        <v>2.5331306633900001</v>
      </c>
    </row>
    <row r="589" spans="1:30" s="14" customFormat="1">
      <c r="A589" s="12">
        <v>25</v>
      </c>
      <c r="B589" s="12" t="s">
        <v>666</v>
      </c>
      <c r="C589" s="14" t="str">
        <f>VLOOKUP(B589,weights!A:B,2,FALSE)</f>
        <v>M</v>
      </c>
      <c r="D589" s="13">
        <v>587</v>
      </c>
      <c r="E589" s="14" t="s">
        <v>691</v>
      </c>
      <c r="H589" s="18"/>
      <c r="I589" s="18"/>
      <c r="J589" s="14">
        <v>588</v>
      </c>
      <c r="K589" s="14">
        <f>VLOOKUP(B589,weights!A:G,5,FALSE)</f>
        <v>4</v>
      </c>
      <c r="L589" s="14">
        <f>VLOOKUP(B589,weights!A:G,6,FALSE)</f>
        <v>7</v>
      </c>
      <c r="M589" s="14">
        <f>VLOOKUP(B589,weights!A:G,7,FALSE)</f>
        <v>10</v>
      </c>
      <c r="N589" t="s">
        <v>3730</v>
      </c>
      <c r="O589">
        <v>739</v>
      </c>
      <c r="P589">
        <v>48.6679019575</v>
      </c>
      <c r="Q589">
        <v>2.5475480485599999</v>
      </c>
      <c r="R589" s="22"/>
      <c r="S589" s="22"/>
      <c r="T589" s="22"/>
      <c r="U589" s="24">
        <f>R589+S589/60+T589/3600</f>
        <v>0</v>
      </c>
      <c r="V589" s="28">
        <f>ABS(U589-P589)/P589</f>
        <v>1</v>
      </c>
      <c r="W589" s="22"/>
      <c r="X589" s="22"/>
      <c r="Y589" s="22"/>
      <c r="Z589" s="14">
        <f>W589+X589/60+Y589/3600</f>
        <v>0</v>
      </c>
      <c r="AA589" s="26">
        <f>ABS(Z589-Q589)/Q589</f>
        <v>1</v>
      </c>
      <c r="AB589" s="26"/>
      <c r="AC589" s="14">
        <f>P589</f>
        <v>48.6679019575</v>
      </c>
      <c r="AD589" s="14">
        <f>Q589</f>
        <v>2.5475480485599999</v>
      </c>
    </row>
    <row r="590" spans="1:30" s="14" customFormat="1">
      <c r="A590" s="12">
        <v>26</v>
      </c>
      <c r="B590" s="12" t="s">
        <v>666</v>
      </c>
      <c r="C590" s="14" t="str">
        <f>VLOOKUP(B590,weights!A:B,2,FALSE)</f>
        <v>M</v>
      </c>
      <c r="D590" s="13">
        <v>588</v>
      </c>
      <c r="E590" s="14" t="s">
        <v>692</v>
      </c>
      <c r="H590" s="18"/>
      <c r="I590" s="18"/>
      <c r="J590" s="14">
        <v>589</v>
      </c>
      <c r="K590" s="14">
        <f>VLOOKUP(B590,weights!A:G,5,FALSE)</f>
        <v>4</v>
      </c>
      <c r="L590" s="14">
        <f>VLOOKUP(B590,weights!A:G,6,FALSE)</f>
        <v>7</v>
      </c>
      <c r="M590" s="14">
        <f>VLOOKUP(B590,weights!A:G,7,FALSE)</f>
        <v>10</v>
      </c>
      <c r="N590" t="s">
        <v>4632</v>
      </c>
      <c r="O590">
        <v>913</v>
      </c>
      <c r="P590">
        <v>48.628375551700003</v>
      </c>
      <c r="Q590">
        <v>2.5695835482399998</v>
      </c>
      <c r="R590" s="22"/>
      <c r="S590" s="22"/>
      <c r="T590" s="22"/>
      <c r="U590" s="24">
        <f>R590+S590/60+T590/3600</f>
        <v>0</v>
      </c>
      <c r="V590" s="28">
        <f>ABS(U590-P590)/P590</f>
        <v>1</v>
      </c>
      <c r="W590" s="22"/>
      <c r="X590" s="22"/>
      <c r="Y590" s="22"/>
      <c r="Z590" s="14">
        <f>W590+X590/60+Y590/3600</f>
        <v>0</v>
      </c>
      <c r="AA590" s="26">
        <f>ABS(Z590-Q590)/Q590</f>
        <v>1</v>
      </c>
      <c r="AB590" s="26"/>
      <c r="AC590" s="14">
        <f>P590</f>
        <v>48.628375551700003</v>
      </c>
      <c r="AD590" s="14">
        <f>Q590</f>
        <v>2.5695835482399998</v>
      </c>
    </row>
    <row r="591" spans="1:30" s="14" customFormat="1">
      <c r="A591" s="12">
        <v>27</v>
      </c>
      <c r="B591" s="12" t="s">
        <v>666</v>
      </c>
      <c r="C591" s="14" t="str">
        <f>VLOOKUP(B591,weights!A:B,2,FALSE)</f>
        <v>M</v>
      </c>
      <c r="D591" s="13">
        <v>589</v>
      </c>
      <c r="E591" s="14" t="s">
        <v>693</v>
      </c>
      <c r="H591" s="18"/>
      <c r="I591" s="18"/>
      <c r="J591" s="14">
        <v>590</v>
      </c>
      <c r="K591" s="14">
        <f>VLOOKUP(B591,weights!A:G,5,FALSE)</f>
        <v>4</v>
      </c>
      <c r="L591" s="14">
        <f>VLOOKUP(B591,weights!A:G,6,FALSE)</f>
        <v>7</v>
      </c>
      <c r="M591" s="14">
        <f>VLOOKUP(B591,weights!A:G,7,FALSE)</f>
        <v>10</v>
      </c>
      <c r="N591" t="s">
        <v>5664</v>
      </c>
      <c r="O591">
        <v>740</v>
      </c>
      <c r="P591">
        <v>48.5955638398</v>
      </c>
      <c r="Q591">
        <v>2.5839477096899999</v>
      </c>
      <c r="R591" s="22"/>
      <c r="S591" s="22"/>
      <c r="T591" s="22"/>
      <c r="U591" s="24">
        <f>R591+S591/60+T591/3600</f>
        <v>0</v>
      </c>
      <c r="V591" s="28">
        <f>ABS(U591-P591)/P591</f>
        <v>1</v>
      </c>
      <c r="W591" s="22"/>
      <c r="X591" s="22"/>
      <c r="Y591" s="22"/>
      <c r="Z591" s="14">
        <f>W591+X591/60+Y591/3600</f>
        <v>0</v>
      </c>
      <c r="AA591" s="26">
        <f>ABS(Z591-Q591)/Q591</f>
        <v>1</v>
      </c>
      <c r="AB591" s="26"/>
      <c r="AC591" s="14">
        <f>P591</f>
        <v>48.5955638398</v>
      </c>
      <c r="AD591" s="14">
        <f>Q591</f>
        <v>2.5839477096899999</v>
      </c>
    </row>
    <row r="592" spans="1:30" s="14" customFormat="1">
      <c r="A592" s="12">
        <v>28</v>
      </c>
      <c r="B592" s="12" t="s">
        <v>666</v>
      </c>
      <c r="C592" s="14" t="str">
        <f>VLOOKUP(B592,weights!A:B,2,FALSE)</f>
        <v>M</v>
      </c>
      <c r="D592" s="13">
        <v>590</v>
      </c>
      <c r="E592" s="14" t="s">
        <v>694</v>
      </c>
      <c r="H592" s="18"/>
      <c r="I592" s="18"/>
      <c r="J592" s="14">
        <v>591</v>
      </c>
      <c r="K592" s="14">
        <f>VLOOKUP(B592,weights!A:G,5,FALSE)</f>
        <v>4</v>
      </c>
      <c r="L592" s="14">
        <f>VLOOKUP(B592,weights!A:G,6,FALSE)</f>
        <v>7</v>
      </c>
      <c r="M592" s="14">
        <f>VLOOKUP(B592,weights!A:G,7,FALSE)</f>
        <v>10</v>
      </c>
      <c r="N592" t="s">
        <v>3541</v>
      </c>
      <c r="O592">
        <v>741</v>
      </c>
      <c r="P592">
        <v>48.564949493900002</v>
      </c>
      <c r="Q592">
        <v>2.5945518160200001</v>
      </c>
      <c r="R592" s="22"/>
      <c r="S592" s="22"/>
      <c r="T592" s="22"/>
      <c r="U592" s="24">
        <f>R592+S592/60+T592/3600</f>
        <v>0</v>
      </c>
      <c r="V592" s="28">
        <f>ABS(U592-P592)/P592</f>
        <v>1</v>
      </c>
      <c r="W592" s="22"/>
      <c r="X592" s="22"/>
      <c r="Y592" s="22"/>
      <c r="Z592" s="14">
        <f>W592+X592/60+Y592/3600</f>
        <v>0</v>
      </c>
      <c r="AA592" s="26">
        <f>ABS(Z592-Q592)/Q592</f>
        <v>1</v>
      </c>
      <c r="AB592" s="26"/>
      <c r="AC592" s="14">
        <f>P592</f>
        <v>48.564949493900002</v>
      </c>
      <c r="AD592" s="14">
        <f>Q592</f>
        <v>2.5945518160200001</v>
      </c>
    </row>
    <row r="593" spans="1:30" s="14" customFormat="1">
      <c r="A593" s="12">
        <v>29</v>
      </c>
      <c r="B593" s="12" t="s">
        <v>666</v>
      </c>
      <c r="C593" s="14" t="str">
        <f>VLOOKUP(B593,weights!A:B,2,FALSE)</f>
        <v>M</v>
      </c>
      <c r="D593" s="13">
        <v>591</v>
      </c>
      <c r="E593" s="14" t="s">
        <v>695</v>
      </c>
      <c r="H593" s="18"/>
      <c r="I593" s="18"/>
      <c r="J593" s="14">
        <v>611</v>
      </c>
      <c r="K593" s="14">
        <f>VLOOKUP(B593,weights!A:G,5,FALSE)</f>
        <v>4</v>
      </c>
      <c r="L593" s="14">
        <f>VLOOKUP(B593,weights!A:G,6,FALSE)</f>
        <v>7</v>
      </c>
      <c r="M593" s="14">
        <f>VLOOKUP(B593,weights!A:G,7,FALSE)</f>
        <v>10</v>
      </c>
      <c r="N593" t="s">
        <v>4500</v>
      </c>
      <c r="O593">
        <v>742</v>
      </c>
      <c r="P593">
        <v>48.538775259300003</v>
      </c>
      <c r="Q593">
        <v>2.6255221509800002</v>
      </c>
      <c r="R593" s="22"/>
      <c r="S593" s="22"/>
      <c r="T593" s="22"/>
      <c r="U593" s="24">
        <f>R593+S593/60+T593/3600</f>
        <v>0</v>
      </c>
      <c r="V593" s="28">
        <f>ABS(U593-P593)/P593</f>
        <v>1</v>
      </c>
      <c r="W593" s="22"/>
      <c r="X593" s="22"/>
      <c r="Y593" s="22"/>
      <c r="Z593" s="14">
        <f>W593+X593/60+Y593/3600</f>
        <v>0</v>
      </c>
      <c r="AA593" s="26">
        <f>ABS(Z593-Q593)/Q593</f>
        <v>1</v>
      </c>
      <c r="AB593" s="26"/>
      <c r="AC593" s="14">
        <f>P593</f>
        <v>48.538775259300003</v>
      </c>
      <c r="AD593" s="14">
        <f>Q593</f>
        <v>2.6255221509800002</v>
      </c>
    </row>
    <row r="594" spans="1:30" s="14" customFormat="1">
      <c r="A594" s="12">
        <v>30</v>
      </c>
      <c r="B594" s="12" t="s">
        <v>666</v>
      </c>
      <c r="C594" s="14" t="str">
        <f>VLOOKUP(B594,weights!A:B,2,FALSE)</f>
        <v>M</v>
      </c>
      <c r="D594" s="13">
        <v>592</v>
      </c>
      <c r="E594" s="14" t="s">
        <v>696</v>
      </c>
      <c r="H594" s="18"/>
      <c r="I594" s="18"/>
      <c r="J594" s="14">
        <v>593</v>
      </c>
      <c r="K594" s="14">
        <f>VLOOKUP(B594,weights!A:G,5,FALSE)</f>
        <v>4</v>
      </c>
      <c r="L594" s="14">
        <f>VLOOKUP(B594,weights!A:G,6,FALSE)</f>
        <v>7</v>
      </c>
      <c r="M594" s="14">
        <f>VLOOKUP(B594,weights!A:G,7,FALSE)</f>
        <v>10</v>
      </c>
      <c r="N594" t="s">
        <v>5915</v>
      </c>
      <c r="O594">
        <v>97</v>
      </c>
      <c r="P594">
        <v>48.708366432600002</v>
      </c>
      <c r="Q594">
        <v>2.4143588798</v>
      </c>
      <c r="R594" s="22"/>
      <c r="S594" s="22"/>
      <c r="T594" s="22"/>
      <c r="U594" s="24">
        <f>R594+S594/60+T594/3600</f>
        <v>0</v>
      </c>
      <c r="V594" s="28">
        <f>ABS(U594-P594)/P594</f>
        <v>1</v>
      </c>
      <c r="W594" s="22"/>
      <c r="X594" s="22"/>
      <c r="Y594" s="22"/>
      <c r="Z594" s="14">
        <f>W594+X594/60+Y594/3600</f>
        <v>0</v>
      </c>
      <c r="AA594" s="26">
        <f>ABS(Z594-Q594)/Q594</f>
        <v>1</v>
      </c>
      <c r="AB594" s="26"/>
      <c r="AC594" s="14">
        <f>P594</f>
        <v>48.708366432600002</v>
      </c>
      <c r="AD594" s="14">
        <f>Q594</f>
        <v>2.4143588798</v>
      </c>
    </row>
    <row r="595" spans="1:30" s="14" customFormat="1">
      <c r="A595" s="12">
        <v>31</v>
      </c>
      <c r="B595" s="12" t="s">
        <v>666</v>
      </c>
      <c r="C595" s="14" t="str">
        <f>VLOOKUP(B595,weights!A:B,2,FALSE)</f>
        <v>M</v>
      </c>
      <c r="D595" s="13">
        <v>593</v>
      </c>
      <c r="E595" s="14" t="s">
        <v>626</v>
      </c>
      <c r="H595" s="18"/>
      <c r="I595" s="18"/>
      <c r="J595" s="14">
        <v>594</v>
      </c>
      <c r="K595" s="14">
        <f>VLOOKUP(B595,weights!A:G,5,FALSE)</f>
        <v>4</v>
      </c>
      <c r="L595" s="14">
        <f>VLOOKUP(B595,weights!A:G,6,FALSE)</f>
        <v>7</v>
      </c>
      <c r="M595" s="14">
        <f>VLOOKUP(B595,weights!A:G,7,FALSE)</f>
        <v>10</v>
      </c>
      <c r="N595" t="s">
        <v>4341</v>
      </c>
      <c r="O595">
        <v>327</v>
      </c>
      <c r="P595">
        <v>48.689490204800002</v>
      </c>
      <c r="Q595">
        <v>2.3830198082999998</v>
      </c>
      <c r="R595" s="22"/>
      <c r="S595" s="22"/>
      <c r="T595" s="22"/>
      <c r="U595" s="24">
        <f>R595+S595/60+T595/3600</f>
        <v>0</v>
      </c>
      <c r="V595" s="28">
        <f>ABS(U595-P595)/P595</f>
        <v>1</v>
      </c>
      <c r="W595" s="22"/>
      <c r="X595" s="22"/>
      <c r="Y595" s="22"/>
      <c r="Z595" s="14">
        <f>W595+X595/60+Y595/3600</f>
        <v>0</v>
      </c>
      <c r="AA595" s="26">
        <f>ABS(Z595-Q595)/Q595</f>
        <v>1</v>
      </c>
      <c r="AB595" s="26"/>
      <c r="AC595" s="14">
        <f>P595</f>
        <v>48.689490204800002</v>
      </c>
      <c r="AD595" s="14">
        <f>Q595</f>
        <v>2.3830198082999998</v>
      </c>
    </row>
    <row r="596" spans="1:30" s="14" customFormat="1">
      <c r="A596" s="12">
        <v>32</v>
      </c>
      <c r="B596" s="12" t="s">
        <v>666</v>
      </c>
      <c r="C596" s="14" t="str">
        <f>VLOOKUP(B596,weights!A:B,2,FALSE)</f>
        <v>M</v>
      </c>
      <c r="D596" s="13">
        <v>594</v>
      </c>
      <c r="E596" s="14" t="s">
        <v>697</v>
      </c>
      <c r="H596" s="18"/>
      <c r="I596" s="18"/>
      <c r="J596" s="14">
        <v>595.59799999999996</v>
      </c>
      <c r="K596" s="14">
        <f>VLOOKUP(B596,weights!A:G,5,FALSE)</f>
        <v>4</v>
      </c>
      <c r="L596" s="14">
        <f>VLOOKUP(B596,weights!A:G,6,FALSE)</f>
        <v>7</v>
      </c>
      <c r="M596" s="14">
        <f>VLOOKUP(B596,weights!A:G,7,FALSE)</f>
        <v>10</v>
      </c>
      <c r="N596" t="s">
        <v>5991</v>
      </c>
      <c r="O596">
        <v>752</v>
      </c>
      <c r="P596">
        <v>48.676092433999997</v>
      </c>
      <c r="Q596">
        <v>2.3867837970300001</v>
      </c>
      <c r="R596" s="22"/>
      <c r="S596" s="22"/>
      <c r="T596" s="22"/>
      <c r="U596" s="24">
        <f>R596+S596/60+T596/3600</f>
        <v>0</v>
      </c>
      <c r="V596" s="28">
        <f>ABS(U596-P596)/P596</f>
        <v>1</v>
      </c>
      <c r="W596" s="22"/>
      <c r="X596" s="22"/>
      <c r="Y596" s="22"/>
      <c r="Z596" s="14">
        <f>W596+X596/60+Y596/3600</f>
        <v>0</v>
      </c>
      <c r="AA596" s="26">
        <f>ABS(Z596-Q596)/Q596</f>
        <v>1</v>
      </c>
      <c r="AB596" s="26"/>
      <c r="AC596" s="14">
        <f>P596</f>
        <v>48.676092433999997</v>
      </c>
      <c r="AD596" s="14">
        <f>Q596</f>
        <v>2.3867837970300001</v>
      </c>
    </row>
    <row r="597" spans="1:30" s="14" customFormat="1">
      <c r="A597" s="12">
        <v>33</v>
      </c>
      <c r="B597" s="12" t="s">
        <v>666</v>
      </c>
      <c r="C597" s="14" t="str">
        <f>VLOOKUP(B597,weights!A:B,2,FALSE)</f>
        <v>M</v>
      </c>
      <c r="D597" s="13">
        <v>595</v>
      </c>
      <c r="E597" s="14" t="s">
        <v>698</v>
      </c>
      <c r="H597" s="18"/>
      <c r="I597" s="18"/>
      <c r="J597" s="14">
        <v>596</v>
      </c>
      <c r="K597" s="14">
        <f>VLOOKUP(B597,weights!A:G,5,FALSE)</f>
        <v>4</v>
      </c>
      <c r="L597" s="14">
        <f>VLOOKUP(B597,weights!A:G,6,FALSE)</f>
        <v>7</v>
      </c>
      <c r="M597" s="14">
        <f>VLOOKUP(B597,weights!A:G,7,FALSE)</f>
        <v>10</v>
      </c>
      <c r="N597" t="s">
        <v>5450</v>
      </c>
      <c r="O597">
        <v>188</v>
      </c>
      <c r="P597">
        <v>48.658975422899999</v>
      </c>
      <c r="Q597">
        <v>2.4152068427</v>
      </c>
      <c r="R597" s="22"/>
      <c r="S597" s="22"/>
      <c r="T597" s="22"/>
      <c r="U597" s="24">
        <f>R597+S597/60+T597/3600</f>
        <v>0</v>
      </c>
      <c r="V597" s="28">
        <f>ABS(U597-P597)/P597</f>
        <v>1</v>
      </c>
      <c r="W597" s="22"/>
      <c r="X597" s="22"/>
      <c r="Y597" s="22"/>
      <c r="Z597" s="14">
        <f>W597+X597/60+Y597/3600</f>
        <v>0</v>
      </c>
      <c r="AA597" s="26">
        <f>ABS(Z597-Q597)/Q597</f>
        <v>1</v>
      </c>
      <c r="AB597" s="26"/>
      <c r="AC597" s="14">
        <f>P597</f>
        <v>48.658975422899999</v>
      </c>
      <c r="AD597" s="14">
        <f>Q597</f>
        <v>2.4152068427</v>
      </c>
    </row>
    <row r="598" spans="1:30" s="14" customFormat="1">
      <c r="A598" s="12">
        <v>34</v>
      </c>
      <c r="B598" s="12" t="s">
        <v>666</v>
      </c>
      <c r="C598" s="14" t="str">
        <f>VLOOKUP(B598,weights!A:B,2,FALSE)</f>
        <v>M</v>
      </c>
      <c r="D598" s="13">
        <v>596</v>
      </c>
      <c r="E598" s="14" t="s">
        <v>723</v>
      </c>
      <c r="H598" s="18"/>
      <c r="I598" s="18"/>
      <c r="J598" s="14">
        <v>597</v>
      </c>
      <c r="K598" s="14">
        <f>VLOOKUP(B598,weights!A:G,5,FALSE)</f>
        <v>4</v>
      </c>
      <c r="L598" s="14">
        <f>VLOOKUP(B598,weights!A:G,6,FALSE)</f>
        <v>7</v>
      </c>
      <c r="M598" s="14">
        <f>VLOOKUP(B598,weights!A:G,7,FALSE)</f>
        <v>10</v>
      </c>
      <c r="N598" t="s">
        <v>4172</v>
      </c>
      <c r="O598">
        <v>919</v>
      </c>
      <c r="P598">
        <v>48.648489113499998</v>
      </c>
      <c r="Q598">
        <v>2.4353305288099998</v>
      </c>
      <c r="R598" s="22"/>
      <c r="S598" s="22"/>
      <c r="T598" s="22"/>
      <c r="U598" s="24">
        <f>R598+S598/60+T598/3600</f>
        <v>0</v>
      </c>
      <c r="V598" s="28">
        <f>ABS(U598-P598)/P598</f>
        <v>1</v>
      </c>
      <c r="W598" s="22"/>
      <c r="X598" s="22"/>
      <c r="Y598" s="22"/>
      <c r="Z598" s="14">
        <f>W598+X598/60+Y598/3600</f>
        <v>0</v>
      </c>
      <c r="AA598" s="26">
        <f>ABS(Z598-Q598)/Q598</f>
        <v>1</v>
      </c>
      <c r="AB598" s="26"/>
      <c r="AC598" s="14">
        <f>P598</f>
        <v>48.648489113499998</v>
      </c>
      <c r="AD598" s="14">
        <f>Q598</f>
        <v>2.4353305288099998</v>
      </c>
    </row>
    <row r="599" spans="1:30" s="14" customFormat="1">
      <c r="A599" s="12">
        <v>35</v>
      </c>
      <c r="B599" s="12" t="s">
        <v>666</v>
      </c>
      <c r="C599" s="14" t="str">
        <f>VLOOKUP(B599,weights!A:B,2,FALSE)</f>
        <v>M</v>
      </c>
      <c r="D599" s="13">
        <v>597</v>
      </c>
      <c r="E599" s="14" t="s">
        <v>699</v>
      </c>
      <c r="H599" s="18"/>
      <c r="I599" s="18"/>
      <c r="J599" s="14">
        <v>602</v>
      </c>
      <c r="K599" s="14">
        <f>VLOOKUP(B599,weights!A:G,5,FALSE)</f>
        <v>4</v>
      </c>
      <c r="L599" s="14">
        <f>VLOOKUP(B599,weights!A:G,6,FALSE)</f>
        <v>7</v>
      </c>
      <c r="M599" s="14">
        <f>VLOOKUP(B599,weights!A:G,7,FALSE)</f>
        <v>10</v>
      </c>
      <c r="N599" t="s">
        <v>3999</v>
      </c>
      <c r="O599">
        <v>189</v>
      </c>
      <c r="P599">
        <v>48.634479020599997</v>
      </c>
      <c r="Q599">
        <v>2.4522898952799999</v>
      </c>
      <c r="R599" s="22"/>
      <c r="S599" s="22"/>
      <c r="T599" s="22"/>
      <c r="U599" s="24">
        <f>R599+S599/60+T599/3600</f>
        <v>0</v>
      </c>
      <c r="V599" s="28">
        <f>ABS(U599-P599)/P599</f>
        <v>1</v>
      </c>
      <c r="W599" s="22"/>
      <c r="X599" s="22"/>
      <c r="Y599" s="22"/>
      <c r="Z599" s="14">
        <f>W599+X599/60+Y599/3600</f>
        <v>0</v>
      </c>
      <c r="AA599" s="26">
        <f>ABS(Z599-Q599)/Q599</f>
        <v>1</v>
      </c>
      <c r="AB599" s="26"/>
      <c r="AC599" s="14">
        <f>P599</f>
        <v>48.634479020599997</v>
      </c>
      <c r="AD599" s="14">
        <f>Q599</f>
        <v>2.4522898952799999</v>
      </c>
    </row>
    <row r="600" spans="1:30" s="14" customFormat="1">
      <c r="A600" s="12">
        <v>36</v>
      </c>
      <c r="B600" s="12" t="s">
        <v>666</v>
      </c>
      <c r="C600" s="14" t="str">
        <f>VLOOKUP(B600,weights!A:B,2,FALSE)</f>
        <v>M</v>
      </c>
      <c r="D600" s="13">
        <v>598</v>
      </c>
      <c r="E600" s="14" t="s">
        <v>700</v>
      </c>
      <c r="H600" s="18"/>
      <c r="I600" s="18"/>
      <c r="J600" s="14">
        <v>599</v>
      </c>
      <c r="K600" s="14">
        <f>VLOOKUP(B600,weights!A:G,5,FALSE)</f>
        <v>4</v>
      </c>
      <c r="L600" s="14">
        <f>VLOOKUP(B600,weights!A:G,6,FALSE)</f>
        <v>7</v>
      </c>
      <c r="M600" s="14">
        <f>VLOOKUP(B600,weights!A:G,7,FALSE)</f>
        <v>10</v>
      </c>
      <c r="N600" t="s">
        <v>4184</v>
      </c>
      <c r="O600">
        <v>95</v>
      </c>
      <c r="P600">
        <v>48.653969758400002</v>
      </c>
      <c r="Q600">
        <v>2.3961768110900001</v>
      </c>
      <c r="R600" s="22"/>
      <c r="S600" s="22"/>
      <c r="T600" s="22"/>
      <c r="U600" s="24">
        <f>R600+S600/60+T600/3600</f>
        <v>0</v>
      </c>
      <c r="V600" s="28">
        <f>ABS(U600-P600)/P600</f>
        <v>1</v>
      </c>
      <c r="W600" s="22"/>
      <c r="X600" s="22"/>
      <c r="Y600" s="22"/>
      <c r="Z600" s="14">
        <f>W600+X600/60+Y600/3600</f>
        <v>0</v>
      </c>
      <c r="AA600" s="26">
        <f>ABS(Z600-Q600)/Q600</f>
        <v>1</v>
      </c>
      <c r="AB600" s="26"/>
      <c r="AC600" s="14">
        <f>P600</f>
        <v>48.653969758400002</v>
      </c>
      <c r="AD600" s="14">
        <f>Q600</f>
        <v>2.3961768110900001</v>
      </c>
    </row>
    <row r="601" spans="1:30" s="14" customFormat="1">
      <c r="A601" s="12">
        <v>37</v>
      </c>
      <c r="B601" s="12" t="s">
        <v>666</v>
      </c>
      <c r="C601" s="14" t="str">
        <f>VLOOKUP(B601,weights!A:B,2,FALSE)</f>
        <v>M</v>
      </c>
      <c r="D601" s="13">
        <v>599</v>
      </c>
      <c r="E601" s="14" t="s">
        <v>701</v>
      </c>
      <c r="H601" s="18"/>
      <c r="I601" s="18"/>
      <c r="J601" s="14">
        <v>600</v>
      </c>
      <c r="K601" s="14">
        <f>VLOOKUP(B601,weights!A:G,5,FALSE)</f>
        <v>4</v>
      </c>
      <c r="L601" s="14">
        <f>VLOOKUP(B601,weights!A:G,6,FALSE)</f>
        <v>7</v>
      </c>
      <c r="M601" s="14">
        <f>VLOOKUP(B601,weights!A:G,7,FALSE)</f>
        <v>10</v>
      </c>
      <c r="N601" t="s">
        <v>5048</v>
      </c>
      <c r="O601">
        <v>287</v>
      </c>
      <c r="P601">
        <v>48.636351368</v>
      </c>
      <c r="Q601">
        <v>2.4077962834500002</v>
      </c>
      <c r="R601" s="22"/>
      <c r="S601" s="22"/>
      <c r="T601" s="22"/>
      <c r="U601" s="24">
        <f>R601+S601/60+T601/3600</f>
        <v>0</v>
      </c>
      <c r="V601" s="28">
        <f>ABS(U601-P601)/P601</f>
        <v>1</v>
      </c>
      <c r="W601" s="22"/>
      <c r="X601" s="22"/>
      <c r="Y601" s="22"/>
      <c r="Z601" s="14">
        <f>W601+X601/60+Y601/3600</f>
        <v>0</v>
      </c>
      <c r="AA601" s="26">
        <f>ABS(Z601-Q601)/Q601</f>
        <v>1</v>
      </c>
      <c r="AB601" s="26"/>
      <c r="AC601" s="14">
        <f>P601</f>
        <v>48.636351368</v>
      </c>
      <c r="AD601" s="14">
        <f>Q601</f>
        <v>2.4077962834500002</v>
      </c>
    </row>
    <row r="602" spans="1:30" s="14" customFormat="1">
      <c r="A602" s="12">
        <v>38</v>
      </c>
      <c r="B602" s="12" t="s">
        <v>666</v>
      </c>
      <c r="C602" s="14" t="str">
        <f>VLOOKUP(B602,weights!A:B,2,FALSE)</f>
        <v>M</v>
      </c>
      <c r="D602" s="13">
        <v>600</v>
      </c>
      <c r="E602" s="14" t="s">
        <v>702</v>
      </c>
      <c r="H602" s="18"/>
      <c r="I602" s="18"/>
      <c r="J602" s="14">
        <v>601</v>
      </c>
      <c r="K602" s="14">
        <f>VLOOKUP(B602,weights!A:G,5,FALSE)</f>
        <v>4</v>
      </c>
      <c r="L602" s="14">
        <f>VLOOKUP(B602,weights!A:G,6,FALSE)</f>
        <v>7</v>
      </c>
      <c r="M602" s="14">
        <f>VLOOKUP(B602,weights!A:G,7,FALSE)</f>
        <v>10</v>
      </c>
      <c r="N602" t="s">
        <v>4002</v>
      </c>
      <c r="O602">
        <v>391</v>
      </c>
      <c r="P602">
        <v>48.626022427999999</v>
      </c>
      <c r="Q602">
        <v>2.42873898192</v>
      </c>
      <c r="R602" s="22"/>
      <c r="S602" s="22"/>
      <c r="T602" s="22"/>
      <c r="U602" s="24">
        <f>R602+S602/60+T602/3600</f>
        <v>0</v>
      </c>
      <c r="V602" s="28">
        <f>ABS(U602-P602)/P602</f>
        <v>1</v>
      </c>
      <c r="W602" s="22"/>
      <c r="X602" s="22"/>
      <c r="Y602" s="22"/>
      <c r="Z602" s="14">
        <f>W602+X602/60+Y602/3600</f>
        <v>0</v>
      </c>
      <c r="AA602" s="26">
        <f>ABS(Z602-Q602)/Q602</f>
        <v>1</v>
      </c>
      <c r="AB602" s="26"/>
      <c r="AC602" s="14">
        <f>P602</f>
        <v>48.626022427999999</v>
      </c>
      <c r="AD602" s="14">
        <f>Q602</f>
        <v>2.42873898192</v>
      </c>
    </row>
    <row r="603" spans="1:30" s="14" customFormat="1">
      <c r="A603" s="12">
        <v>39</v>
      </c>
      <c r="B603" s="12" t="s">
        <v>666</v>
      </c>
      <c r="C603" s="14" t="str">
        <f>VLOOKUP(B603,weights!A:B,2,FALSE)</f>
        <v>M</v>
      </c>
      <c r="D603" s="13">
        <v>601</v>
      </c>
      <c r="E603" s="14" t="s">
        <v>703</v>
      </c>
      <c r="H603" s="18"/>
      <c r="I603" s="18"/>
      <c r="J603" s="14">
        <v>602</v>
      </c>
      <c r="K603" s="14">
        <f>VLOOKUP(B603,weights!A:G,5,FALSE)</f>
        <v>4</v>
      </c>
      <c r="L603" s="14">
        <f>VLOOKUP(B603,weights!A:G,6,FALSE)</f>
        <v>7</v>
      </c>
      <c r="M603" s="14">
        <f>VLOOKUP(B603,weights!A:G,7,FALSE)</f>
        <v>10</v>
      </c>
      <c r="N603" t="s">
        <v>4482</v>
      </c>
      <c r="O603">
        <v>159</v>
      </c>
      <c r="P603">
        <v>48.623332241</v>
      </c>
      <c r="Q603">
        <v>2.4514090888100002</v>
      </c>
      <c r="R603" s="22"/>
      <c r="S603" s="22"/>
      <c r="T603" s="22"/>
      <c r="U603" s="24">
        <f>R603+S603/60+T603/3600</f>
        <v>0</v>
      </c>
      <c r="V603" s="28">
        <f>ABS(U603-P603)/P603</f>
        <v>1</v>
      </c>
      <c r="W603" s="22"/>
      <c r="X603" s="22"/>
      <c r="Y603" s="22"/>
      <c r="Z603" s="14">
        <f>W603+X603/60+Y603/3600</f>
        <v>0</v>
      </c>
      <c r="AA603" s="26">
        <f>ABS(Z603-Q603)/Q603</f>
        <v>1</v>
      </c>
      <c r="AB603" s="26"/>
      <c r="AC603" s="14">
        <f>P603</f>
        <v>48.623332241</v>
      </c>
      <c r="AD603" s="14">
        <f>Q603</f>
        <v>2.4514090888100002</v>
      </c>
    </row>
    <row r="604" spans="1:30" s="14" customFormat="1">
      <c r="A604" s="12">
        <v>40</v>
      </c>
      <c r="B604" s="12" t="s">
        <v>666</v>
      </c>
      <c r="C604" s="14" t="str">
        <f>VLOOKUP(B604,weights!A:B,2,FALSE)</f>
        <v>M</v>
      </c>
      <c r="D604" s="13">
        <v>602</v>
      </c>
      <c r="E604" s="14" t="s">
        <v>704</v>
      </c>
      <c r="H604" s="18"/>
      <c r="I604" s="18"/>
      <c r="J604" s="14">
        <v>603.61199999999997</v>
      </c>
      <c r="K604" s="14">
        <f>VLOOKUP(B604,weights!A:G,5,FALSE)</f>
        <v>4</v>
      </c>
      <c r="L604" s="14">
        <f>VLOOKUP(B604,weights!A:G,6,FALSE)</f>
        <v>7</v>
      </c>
      <c r="M604" s="14">
        <f>VLOOKUP(B604,weights!A:G,7,FALSE)</f>
        <v>10</v>
      </c>
      <c r="N604" t="s">
        <v>3754</v>
      </c>
      <c r="O604">
        <v>392</v>
      </c>
      <c r="P604">
        <v>48.613427913599999</v>
      </c>
      <c r="Q604">
        <v>2.4729336490999998</v>
      </c>
      <c r="R604" s="22"/>
      <c r="S604" s="22"/>
      <c r="T604" s="22"/>
      <c r="U604" s="24">
        <f>R604+S604/60+T604/3600</f>
        <v>0</v>
      </c>
      <c r="V604" s="28">
        <f>ABS(U604-P604)/P604</f>
        <v>1</v>
      </c>
      <c r="W604" s="22"/>
      <c r="X604" s="22"/>
      <c r="Y604" s="22"/>
      <c r="Z604" s="14">
        <f>W604+X604/60+Y604/3600</f>
        <v>0</v>
      </c>
      <c r="AA604" s="26">
        <f>ABS(Z604-Q604)/Q604</f>
        <v>1</v>
      </c>
      <c r="AB604" s="26"/>
      <c r="AC604" s="14">
        <f>P604</f>
        <v>48.613427913599999</v>
      </c>
      <c r="AD604" s="14">
        <f>Q604</f>
        <v>2.4729336490999998</v>
      </c>
    </row>
    <row r="605" spans="1:30" s="14" customFormat="1">
      <c r="A605" s="12">
        <v>41</v>
      </c>
      <c r="B605" s="12" t="s">
        <v>666</v>
      </c>
      <c r="C605" s="14" t="str">
        <f>VLOOKUP(B605,weights!A:B,2,FALSE)</f>
        <v>M</v>
      </c>
      <c r="D605" s="13">
        <v>603</v>
      </c>
      <c r="E605" s="14" t="s">
        <v>705</v>
      </c>
      <c r="H605" s="18"/>
      <c r="I605" s="18"/>
      <c r="J605" s="14">
        <v>604</v>
      </c>
      <c r="K605" s="14">
        <f>VLOOKUP(B605,weights!A:G,5,FALSE)</f>
        <v>4</v>
      </c>
      <c r="L605" s="14">
        <f>VLOOKUP(B605,weights!A:G,6,FALSE)</f>
        <v>7</v>
      </c>
      <c r="M605" s="14">
        <f>VLOOKUP(B605,weights!A:G,7,FALSE)</f>
        <v>10</v>
      </c>
      <c r="N605" t="s">
        <v>3978</v>
      </c>
      <c r="O605">
        <v>72</v>
      </c>
      <c r="P605">
        <v>48.6055558264</v>
      </c>
      <c r="Q605">
        <v>2.46245649414</v>
      </c>
      <c r="R605" s="22"/>
      <c r="S605" s="22"/>
      <c r="T605" s="22"/>
      <c r="U605" s="24">
        <f>R605+S605/60+T605/3600</f>
        <v>0</v>
      </c>
      <c r="V605" s="28">
        <f>ABS(U605-P605)/P605</f>
        <v>1</v>
      </c>
      <c r="W605" s="22"/>
      <c r="X605" s="22"/>
      <c r="Y605" s="22"/>
      <c r="Z605" s="14">
        <f>W605+X605/60+Y605/3600</f>
        <v>0</v>
      </c>
      <c r="AA605" s="26">
        <f>ABS(Z605-Q605)/Q605</f>
        <v>1</v>
      </c>
      <c r="AB605" s="26"/>
      <c r="AC605" s="14">
        <f>P605</f>
        <v>48.6055558264</v>
      </c>
      <c r="AD605" s="14">
        <f>Q605</f>
        <v>2.46245649414</v>
      </c>
    </row>
    <row r="606" spans="1:30" s="14" customFormat="1">
      <c r="A606" s="12">
        <v>42</v>
      </c>
      <c r="B606" s="12" t="s">
        <v>666</v>
      </c>
      <c r="C606" s="14" t="str">
        <f>VLOOKUP(B606,weights!A:B,2,FALSE)</f>
        <v>M</v>
      </c>
      <c r="D606" s="13">
        <v>604</v>
      </c>
      <c r="E606" s="14" t="s">
        <v>706</v>
      </c>
      <c r="H606" s="18"/>
      <c r="I606" s="18"/>
      <c r="J606" s="14">
        <v>605</v>
      </c>
      <c r="K606" s="14">
        <f>VLOOKUP(B606,weights!A:G,5,FALSE)</f>
        <v>4</v>
      </c>
      <c r="L606" s="14">
        <f>VLOOKUP(B606,weights!A:G,6,FALSE)</f>
        <v>7</v>
      </c>
      <c r="M606" s="14">
        <f>VLOOKUP(B606,weights!A:G,7,FALSE)</f>
        <v>10</v>
      </c>
      <c r="N606" t="s">
        <v>5918</v>
      </c>
      <c r="O606">
        <v>894</v>
      </c>
      <c r="P606">
        <v>48.592627742200001</v>
      </c>
      <c r="Q606">
        <v>2.4618063874799998</v>
      </c>
      <c r="R606" s="22"/>
      <c r="S606" s="22"/>
      <c r="T606" s="22"/>
      <c r="U606" s="24">
        <f>R606+S606/60+T606/3600</f>
        <v>0</v>
      </c>
      <c r="V606" s="28">
        <f>ABS(U606-P606)/P606</f>
        <v>1</v>
      </c>
      <c r="W606" s="22"/>
      <c r="X606" s="22"/>
      <c r="Y606" s="22"/>
      <c r="Z606" s="14">
        <f>W606+X606/60+Y606/3600</f>
        <v>0</v>
      </c>
      <c r="AA606" s="26">
        <f>ABS(Z606-Q606)/Q606</f>
        <v>1</v>
      </c>
      <c r="AB606" s="26"/>
      <c r="AC606" s="14">
        <f>P606</f>
        <v>48.592627742200001</v>
      </c>
      <c r="AD606" s="14">
        <f>Q606</f>
        <v>2.4618063874799998</v>
      </c>
    </row>
    <row r="607" spans="1:30" s="14" customFormat="1">
      <c r="A607" s="12">
        <v>43</v>
      </c>
      <c r="B607" s="12" t="s">
        <v>666</v>
      </c>
      <c r="C607" s="14" t="str">
        <f>VLOOKUP(B607,weights!A:B,2,FALSE)</f>
        <v>M</v>
      </c>
      <c r="D607" s="13">
        <v>605</v>
      </c>
      <c r="E607" s="14" t="s">
        <v>707</v>
      </c>
      <c r="H607" s="18"/>
      <c r="I607" s="18"/>
      <c r="J607" s="14">
        <v>606</v>
      </c>
      <c r="K607" s="14">
        <f>VLOOKUP(B607,weights!A:G,5,FALSE)</f>
        <v>4</v>
      </c>
      <c r="L607" s="14">
        <f>VLOOKUP(B607,weights!A:G,6,FALSE)</f>
        <v>7</v>
      </c>
      <c r="M607" s="14">
        <f>VLOOKUP(B607,weights!A:G,7,FALSE)</f>
        <v>10</v>
      </c>
      <c r="N607" t="s">
        <v>4515</v>
      </c>
      <c r="O607">
        <v>73</v>
      </c>
      <c r="P607">
        <v>48.573807793599997</v>
      </c>
      <c r="Q607">
        <v>2.4794691696000002</v>
      </c>
      <c r="R607" s="22"/>
      <c r="S607" s="22"/>
      <c r="T607" s="22"/>
      <c r="U607" s="24">
        <f>R607+S607/60+T607/3600</f>
        <v>0</v>
      </c>
      <c r="V607" s="28">
        <f>ABS(U607-P607)/P607</f>
        <v>1</v>
      </c>
      <c r="W607" s="22"/>
      <c r="X607" s="22"/>
      <c r="Y607" s="22"/>
      <c r="Z607" s="14">
        <f>W607+X607/60+Y607/3600</f>
        <v>0</v>
      </c>
      <c r="AA607" s="26">
        <f>ABS(Z607-Q607)/Q607</f>
        <v>1</v>
      </c>
      <c r="AB607" s="26"/>
      <c r="AC607" s="14">
        <f>P607</f>
        <v>48.573807793599997</v>
      </c>
      <c r="AD607" s="14">
        <f>Q607</f>
        <v>2.4794691696000002</v>
      </c>
    </row>
    <row r="608" spans="1:30" s="14" customFormat="1">
      <c r="A608" s="12">
        <v>44</v>
      </c>
      <c r="B608" s="12" t="s">
        <v>666</v>
      </c>
      <c r="C608" s="14" t="str">
        <f>VLOOKUP(B608,weights!A:B,2,FALSE)</f>
        <v>M</v>
      </c>
      <c r="D608" s="13">
        <v>606</v>
      </c>
      <c r="E608" s="14" t="s">
        <v>708</v>
      </c>
      <c r="H608" s="18"/>
      <c r="I608" s="18"/>
      <c r="J608" s="14">
        <v>607</v>
      </c>
      <c r="K608" s="14">
        <f>VLOOKUP(B608,weights!A:G,5,FALSE)</f>
        <v>4</v>
      </c>
      <c r="L608" s="14">
        <f>VLOOKUP(B608,weights!A:G,6,FALSE)</f>
        <v>7</v>
      </c>
      <c r="M608" s="14">
        <f>VLOOKUP(B608,weights!A:G,7,FALSE)</f>
        <v>10</v>
      </c>
      <c r="N608" t="s">
        <v>4488</v>
      </c>
      <c r="O608">
        <v>74</v>
      </c>
      <c r="P608">
        <v>48.566117820700001</v>
      </c>
      <c r="Q608">
        <v>2.49271300288</v>
      </c>
      <c r="R608" s="22"/>
      <c r="S608" s="22"/>
      <c r="T608" s="22"/>
      <c r="U608" s="24">
        <f>R608+S608/60+T608/3600</f>
        <v>0</v>
      </c>
      <c r="V608" s="28">
        <f>ABS(U608-P608)/P608</f>
        <v>1</v>
      </c>
      <c r="W608" s="22"/>
      <c r="X608" s="22"/>
      <c r="Y608" s="22"/>
      <c r="Z608" s="14">
        <f>W608+X608/60+Y608/3600</f>
        <v>0</v>
      </c>
      <c r="AA608" s="26">
        <f>ABS(Z608-Q608)/Q608</f>
        <v>1</v>
      </c>
      <c r="AB608" s="26"/>
      <c r="AC608" s="14">
        <f>P608</f>
        <v>48.566117820700001</v>
      </c>
      <c r="AD608" s="14">
        <f>Q608</f>
        <v>2.49271300288</v>
      </c>
    </row>
    <row r="609" spans="1:30" s="14" customFormat="1">
      <c r="A609" s="12">
        <v>45</v>
      </c>
      <c r="B609" s="12" t="s">
        <v>666</v>
      </c>
      <c r="C609" s="14" t="str">
        <f>VLOOKUP(B609,weights!A:B,2,FALSE)</f>
        <v>M</v>
      </c>
      <c r="D609" s="13">
        <v>607</v>
      </c>
      <c r="E609" s="14" t="s">
        <v>333</v>
      </c>
      <c r="H609" s="18"/>
      <c r="I609" s="18"/>
      <c r="J609" s="14">
        <v>608</v>
      </c>
      <c r="K609" s="14">
        <f>VLOOKUP(B609,weights!A:G,5,FALSE)</f>
        <v>4</v>
      </c>
      <c r="L609" s="14">
        <f>VLOOKUP(B609,weights!A:G,6,FALSE)</f>
        <v>7</v>
      </c>
      <c r="M609" s="14">
        <f>VLOOKUP(B609,weights!A:G,7,FALSE)</f>
        <v>10</v>
      </c>
      <c r="N609" t="s">
        <v>5540</v>
      </c>
      <c r="O609">
        <v>914</v>
      </c>
      <c r="P609">
        <v>48.564485871899997</v>
      </c>
      <c r="Q609">
        <v>2.5426518226999999</v>
      </c>
      <c r="R609" s="22"/>
      <c r="S609" s="22"/>
      <c r="T609" s="22"/>
      <c r="U609" s="24">
        <f>R609+S609/60+T609/3600</f>
        <v>0</v>
      </c>
      <c r="V609" s="28">
        <f>ABS(U609-P609)/P609</f>
        <v>1</v>
      </c>
      <c r="W609" s="22"/>
      <c r="X609" s="22"/>
      <c r="Y609" s="22"/>
      <c r="Z609" s="14">
        <f>W609+X609/60+Y609/3600</f>
        <v>0</v>
      </c>
      <c r="AA609" s="26">
        <f>ABS(Z609-Q609)/Q609</f>
        <v>1</v>
      </c>
      <c r="AB609" s="26"/>
      <c r="AC609" s="14">
        <f>P609</f>
        <v>48.564485871899997</v>
      </c>
      <c r="AD609" s="14">
        <f>Q609</f>
        <v>2.5426518226999999</v>
      </c>
    </row>
    <row r="610" spans="1:30" s="14" customFormat="1">
      <c r="A610" s="12">
        <v>46</v>
      </c>
      <c r="B610" s="12" t="s">
        <v>666</v>
      </c>
      <c r="C610" s="14" t="str">
        <f>VLOOKUP(B610,weights!A:B,2,FALSE)</f>
        <v>M</v>
      </c>
      <c r="D610" s="13">
        <v>608</v>
      </c>
      <c r="E610" s="14" t="s">
        <v>709</v>
      </c>
      <c r="H610" s="18"/>
      <c r="I610" s="18"/>
      <c r="J610" s="14">
        <v>609</v>
      </c>
      <c r="K610" s="14">
        <f>VLOOKUP(B610,weights!A:G,5,FALSE)</f>
        <v>4</v>
      </c>
      <c r="L610" s="14">
        <f>VLOOKUP(B610,weights!A:G,6,FALSE)</f>
        <v>7</v>
      </c>
      <c r="M610" s="14">
        <f>VLOOKUP(B610,weights!A:G,7,FALSE)</f>
        <v>10</v>
      </c>
      <c r="N610" t="s">
        <v>5262</v>
      </c>
      <c r="O610">
        <v>272</v>
      </c>
      <c r="P610">
        <v>48.535139766100002</v>
      </c>
      <c r="Q610">
        <v>2.54434895173</v>
      </c>
      <c r="R610" s="22"/>
      <c r="S610" s="22"/>
      <c r="T610" s="22"/>
      <c r="U610" s="24">
        <f>R610+S610/60+T610/3600</f>
        <v>0</v>
      </c>
      <c r="V610" s="28">
        <f>ABS(U610-P610)/P610</f>
        <v>1</v>
      </c>
      <c r="W610" s="22"/>
      <c r="X610" s="22"/>
      <c r="Y610" s="22"/>
      <c r="Z610" s="14">
        <f>W610+X610/60+Y610/3600</f>
        <v>0</v>
      </c>
      <c r="AA610" s="26">
        <f>ABS(Z610-Q610)/Q610</f>
        <v>1</v>
      </c>
      <c r="AB610" s="26"/>
      <c r="AC610" s="14">
        <f>P610</f>
        <v>48.535139766100002</v>
      </c>
      <c r="AD610" s="14">
        <f>Q610</f>
        <v>2.54434895173</v>
      </c>
    </row>
    <row r="611" spans="1:30" s="14" customFormat="1">
      <c r="A611" s="12">
        <v>47</v>
      </c>
      <c r="B611" s="12" t="s">
        <v>666</v>
      </c>
      <c r="C611" s="14" t="str">
        <f>VLOOKUP(B611,weights!A:B,2,FALSE)</f>
        <v>M</v>
      </c>
      <c r="D611" s="13">
        <v>609</v>
      </c>
      <c r="E611" s="14" t="s">
        <v>710</v>
      </c>
      <c r="H611" s="18"/>
      <c r="I611" s="18"/>
      <c r="J611" s="14">
        <v>610</v>
      </c>
      <c r="K611" s="14">
        <f>VLOOKUP(B611,weights!A:G,5,FALSE)</f>
        <v>4</v>
      </c>
      <c r="L611" s="14">
        <f>VLOOKUP(B611,weights!A:G,6,FALSE)</f>
        <v>7</v>
      </c>
      <c r="M611" s="14">
        <f>VLOOKUP(B611,weights!A:G,7,FALSE)</f>
        <v>10</v>
      </c>
      <c r="N611" t="s">
        <v>3372</v>
      </c>
      <c r="O611">
        <v>86</v>
      </c>
      <c r="P611">
        <v>48.529746916800001</v>
      </c>
      <c r="Q611">
        <v>2.57207366546</v>
      </c>
      <c r="R611" s="22"/>
      <c r="S611" s="22"/>
      <c r="T611" s="22"/>
      <c r="U611" s="24">
        <f>R611+S611/60+T611/3600</f>
        <v>0</v>
      </c>
      <c r="V611" s="28">
        <f>ABS(U611-P611)/P611</f>
        <v>1</v>
      </c>
      <c r="W611" s="22"/>
      <c r="X611" s="22"/>
      <c r="Y611" s="22"/>
      <c r="Z611" s="14">
        <f>W611+X611/60+Y611/3600</f>
        <v>0</v>
      </c>
      <c r="AA611" s="26">
        <f>ABS(Z611-Q611)/Q611</f>
        <v>1</v>
      </c>
      <c r="AB611" s="26"/>
      <c r="AC611" s="14">
        <f>P611</f>
        <v>48.529746916800001</v>
      </c>
      <c r="AD611" s="14">
        <f>Q611</f>
        <v>2.57207366546</v>
      </c>
    </row>
    <row r="612" spans="1:30" s="14" customFormat="1">
      <c r="A612" s="12">
        <v>48</v>
      </c>
      <c r="B612" s="12" t="s">
        <v>666</v>
      </c>
      <c r="C612" s="14" t="str">
        <f>VLOOKUP(B612,weights!A:B,2,FALSE)</f>
        <v>M</v>
      </c>
      <c r="D612" s="13">
        <v>610</v>
      </c>
      <c r="E612" s="14" t="s">
        <v>711</v>
      </c>
      <c r="H612" s="18"/>
      <c r="I612" s="18"/>
      <c r="J612" s="14">
        <v>611</v>
      </c>
      <c r="K612" s="14">
        <f>VLOOKUP(B612,weights!A:G,5,FALSE)</f>
        <v>4</v>
      </c>
      <c r="L612" s="14">
        <f>VLOOKUP(B612,weights!A:G,6,FALSE)</f>
        <v>7</v>
      </c>
      <c r="M612" s="14">
        <f>VLOOKUP(B612,weights!A:G,7,FALSE)</f>
        <v>10</v>
      </c>
      <c r="N612" t="s">
        <v>6003</v>
      </c>
      <c r="O612">
        <v>184</v>
      </c>
      <c r="P612">
        <v>48.5151514533</v>
      </c>
      <c r="Q612">
        <v>2.5993042727</v>
      </c>
      <c r="R612" s="22"/>
      <c r="S612" s="22"/>
      <c r="T612" s="22"/>
      <c r="U612" s="24">
        <f>R612+S612/60+T612/3600</f>
        <v>0</v>
      </c>
      <c r="V612" s="28">
        <f>ABS(U612-P612)/P612</f>
        <v>1</v>
      </c>
      <c r="W612" s="22"/>
      <c r="X612" s="22"/>
      <c r="Y612" s="22"/>
      <c r="Z612" s="14">
        <f>W612+X612/60+Y612/3600</f>
        <v>0</v>
      </c>
      <c r="AA612" s="26">
        <f>ABS(Z612-Q612)/Q612</f>
        <v>1</v>
      </c>
      <c r="AB612" s="26"/>
      <c r="AC612" s="14">
        <f>P612</f>
        <v>48.5151514533</v>
      </c>
      <c r="AD612" s="14">
        <f>Q612</f>
        <v>2.5993042727</v>
      </c>
    </row>
    <row r="613" spans="1:30" s="14" customFormat="1">
      <c r="A613" s="12">
        <v>49</v>
      </c>
      <c r="B613" s="12" t="s">
        <v>666</v>
      </c>
      <c r="C613" s="14" t="str">
        <f>VLOOKUP(B613,weights!A:B,2,FALSE)</f>
        <v>M</v>
      </c>
      <c r="D613" s="13">
        <v>611</v>
      </c>
      <c r="E613" s="14" t="s">
        <v>712</v>
      </c>
      <c r="G613" s="14" t="s">
        <v>722</v>
      </c>
      <c r="H613" s="18"/>
      <c r="I613" s="18" t="s">
        <v>1851</v>
      </c>
      <c r="K613" s="14">
        <f>VLOOKUP(B613,weights!A:G,5,FALSE)</f>
        <v>4</v>
      </c>
      <c r="L613" s="14">
        <f>VLOOKUP(B613,weights!A:G,6,FALSE)</f>
        <v>7</v>
      </c>
      <c r="M613" s="14">
        <f>VLOOKUP(B613,weights!A:G,7,FALSE)</f>
        <v>10</v>
      </c>
      <c r="N613" t="s">
        <v>4834</v>
      </c>
      <c r="O613">
        <v>492</v>
      </c>
      <c r="P613">
        <v>48.527243321500002</v>
      </c>
      <c r="Q613">
        <v>2.65499028214</v>
      </c>
      <c r="R613" s="22"/>
      <c r="S613" s="22"/>
      <c r="T613" s="22"/>
      <c r="U613" s="24">
        <f>R613+S613/60+T613/3600</f>
        <v>0</v>
      </c>
      <c r="V613" s="28">
        <f>ABS(U613-P613)/P613</f>
        <v>1</v>
      </c>
      <c r="W613" s="22"/>
      <c r="X613" s="22"/>
      <c r="Y613" s="22"/>
      <c r="Z613" s="14">
        <f>W613+X613/60+Y613/3600</f>
        <v>0</v>
      </c>
      <c r="AA613" s="26">
        <f>ABS(Z613-Q613)/Q613</f>
        <v>1</v>
      </c>
      <c r="AB613" s="26"/>
      <c r="AC613" s="14">
        <f>P613</f>
        <v>48.527243321500002</v>
      </c>
      <c r="AD613" s="14">
        <f>Q613</f>
        <v>2.65499028214</v>
      </c>
    </row>
    <row r="614" spans="1:30" s="14" customFormat="1">
      <c r="A614" s="12">
        <v>50</v>
      </c>
      <c r="B614" s="12" t="s">
        <v>666</v>
      </c>
      <c r="C614" s="14" t="str">
        <f>VLOOKUP(B614,weights!A:B,2,FALSE)</f>
        <v>M</v>
      </c>
      <c r="D614" s="13">
        <v>612</v>
      </c>
      <c r="E614" s="14" t="s">
        <v>713</v>
      </c>
      <c r="H614" s="18"/>
      <c r="I614" s="18"/>
      <c r="J614" s="14">
        <v>613</v>
      </c>
      <c r="K614" s="14">
        <f>VLOOKUP(B614,weights!A:G,5,FALSE)</f>
        <v>4</v>
      </c>
      <c r="L614" s="14">
        <f>VLOOKUP(B614,weights!A:G,6,FALSE)</f>
        <v>7</v>
      </c>
      <c r="M614" s="14">
        <f>VLOOKUP(B614,weights!A:G,7,FALSE)</f>
        <v>10</v>
      </c>
      <c r="N614" t="s">
        <v>4947</v>
      </c>
      <c r="O614">
        <v>393</v>
      </c>
      <c r="P614">
        <v>48.587153909000001</v>
      </c>
      <c r="Q614">
        <v>2.47349036497</v>
      </c>
      <c r="R614" s="22"/>
      <c r="S614" s="22"/>
      <c r="T614" s="22"/>
      <c r="U614" s="24">
        <f>R614+S614/60+T614/3600</f>
        <v>0</v>
      </c>
      <c r="V614" s="28">
        <f>ABS(U614-P614)/P614</f>
        <v>1</v>
      </c>
      <c r="W614" s="22"/>
      <c r="X614" s="22"/>
      <c r="Y614" s="22"/>
      <c r="Z614" s="14">
        <f>W614+X614/60+Y614/3600</f>
        <v>0</v>
      </c>
      <c r="AA614" s="26">
        <f>ABS(Z614-Q614)/Q614</f>
        <v>1</v>
      </c>
      <c r="AB614" s="26"/>
      <c r="AC614" s="14">
        <f>P614</f>
        <v>48.587153909000001</v>
      </c>
      <c r="AD614" s="14">
        <f>Q614</f>
        <v>2.47349036497</v>
      </c>
    </row>
    <row r="615" spans="1:30" s="14" customFormat="1">
      <c r="A615" s="12">
        <v>51</v>
      </c>
      <c r="B615" s="12" t="s">
        <v>666</v>
      </c>
      <c r="C615" s="14" t="str">
        <f>VLOOKUP(B615,weights!A:B,2,FALSE)</f>
        <v>M</v>
      </c>
      <c r="D615" s="13">
        <v>613</v>
      </c>
      <c r="E615" s="14" t="s">
        <v>714</v>
      </c>
      <c r="H615" s="18"/>
      <c r="I615" s="18"/>
      <c r="J615" s="14">
        <v>614</v>
      </c>
      <c r="K615" s="14">
        <f>VLOOKUP(B615,weights!A:G,5,FALSE)</f>
        <v>4</v>
      </c>
      <c r="L615" s="14">
        <f>VLOOKUP(B615,weights!A:G,6,FALSE)</f>
        <v>7</v>
      </c>
      <c r="M615" s="14">
        <f>VLOOKUP(B615,weights!A:G,7,FALSE)</f>
        <v>10</v>
      </c>
      <c r="N615" t="s">
        <v>4841</v>
      </c>
      <c r="O615">
        <v>160</v>
      </c>
      <c r="P615">
        <v>48.570596856000002</v>
      </c>
      <c r="Q615">
        <v>2.4320985269099999</v>
      </c>
      <c r="R615" s="22"/>
      <c r="S615" s="22"/>
      <c r="T615" s="22"/>
      <c r="U615" s="24">
        <f>R615+S615/60+T615/3600</f>
        <v>0</v>
      </c>
      <c r="V615" s="28">
        <f>ABS(U615-P615)/P615</f>
        <v>1</v>
      </c>
      <c r="W615" s="22"/>
      <c r="X615" s="22"/>
      <c r="Y615" s="22"/>
      <c r="Z615" s="14">
        <f>W615+X615/60+Y615/3600</f>
        <v>0</v>
      </c>
      <c r="AA615" s="26">
        <f>ABS(Z615-Q615)/Q615</f>
        <v>1</v>
      </c>
      <c r="AB615" s="26"/>
      <c r="AC615" s="14">
        <f>P615</f>
        <v>48.570596856000002</v>
      </c>
      <c r="AD615" s="14">
        <f>Q615</f>
        <v>2.4320985269099999</v>
      </c>
    </row>
    <row r="616" spans="1:30" s="14" customFormat="1">
      <c r="A616" s="12">
        <v>52</v>
      </c>
      <c r="B616" s="12" t="s">
        <v>666</v>
      </c>
      <c r="C616" s="14" t="str">
        <f>VLOOKUP(B616,weights!A:B,2,FALSE)</f>
        <v>M</v>
      </c>
      <c r="D616" s="13">
        <v>614</v>
      </c>
      <c r="E616" s="14" t="s">
        <v>715</v>
      </c>
      <c r="H616" s="18"/>
      <c r="I616" s="18"/>
      <c r="J616" s="14">
        <v>615</v>
      </c>
      <c r="K616" s="14">
        <f>VLOOKUP(B616,weights!A:G,5,FALSE)</f>
        <v>4</v>
      </c>
      <c r="L616" s="14">
        <f>VLOOKUP(B616,weights!A:G,6,FALSE)</f>
        <v>7</v>
      </c>
      <c r="M616" s="14">
        <f>VLOOKUP(B616,weights!A:G,7,FALSE)</f>
        <v>10</v>
      </c>
      <c r="N616" t="s">
        <v>3273</v>
      </c>
      <c r="O616">
        <v>394</v>
      </c>
      <c r="P616">
        <v>48.531501989200002</v>
      </c>
      <c r="Q616">
        <v>2.3705185004099998</v>
      </c>
      <c r="R616" s="22"/>
      <c r="S616" s="22"/>
      <c r="T616" s="22"/>
      <c r="U616" s="24">
        <f>R616+S616/60+T616/3600</f>
        <v>0</v>
      </c>
      <c r="V616" s="28">
        <f>ABS(U616-P616)/P616</f>
        <v>1</v>
      </c>
      <c r="W616" s="22"/>
      <c r="X616" s="22"/>
      <c r="Y616" s="22"/>
      <c r="Z616" s="14">
        <f>W616+X616/60+Y616/3600</f>
        <v>0</v>
      </c>
      <c r="AA616" s="26">
        <f>ABS(Z616-Q616)/Q616</f>
        <v>1</v>
      </c>
      <c r="AB616" s="26"/>
      <c r="AC616" s="14">
        <f>P616</f>
        <v>48.531501989200002</v>
      </c>
      <c r="AD616" s="14">
        <f>Q616</f>
        <v>2.3705185004099998</v>
      </c>
    </row>
    <row r="617" spans="1:30" s="14" customFormat="1">
      <c r="A617" s="12">
        <v>53</v>
      </c>
      <c r="B617" s="12" t="s">
        <v>666</v>
      </c>
      <c r="C617" s="14" t="str">
        <f>VLOOKUP(B617,weights!A:B,2,FALSE)</f>
        <v>M</v>
      </c>
      <c r="D617" s="13">
        <v>615</v>
      </c>
      <c r="E617" s="14" t="s">
        <v>716</v>
      </c>
      <c r="H617" s="18"/>
      <c r="I617" s="18"/>
      <c r="J617" s="14">
        <v>616</v>
      </c>
      <c r="K617" s="14">
        <f>VLOOKUP(B617,weights!A:G,5,FALSE)</f>
        <v>4</v>
      </c>
      <c r="L617" s="14">
        <f>VLOOKUP(B617,weights!A:G,6,FALSE)</f>
        <v>7</v>
      </c>
      <c r="M617" s="14">
        <f>VLOOKUP(B617,weights!A:G,7,FALSE)</f>
        <v>10</v>
      </c>
      <c r="N617" t="s">
        <v>4398</v>
      </c>
      <c r="O617">
        <v>257</v>
      </c>
      <c r="P617">
        <v>48.484957376300002</v>
      </c>
      <c r="Q617">
        <v>2.3518584214299998</v>
      </c>
      <c r="R617" s="22"/>
      <c r="S617" s="22"/>
      <c r="T617" s="22"/>
      <c r="U617" s="24">
        <f>R617+S617/60+T617/3600</f>
        <v>0</v>
      </c>
      <c r="V617" s="28">
        <f>ABS(U617-P617)/P617</f>
        <v>1</v>
      </c>
      <c r="W617" s="22"/>
      <c r="X617" s="22"/>
      <c r="Y617" s="22"/>
      <c r="Z617" s="14">
        <f>W617+X617/60+Y617/3600</f>
        <v>0</v>
      </c>
      <c r="AA617" s="26">
        <f>ABS(Z617-Q617)/Q617</f>
        <v>1</v>
      </c>
      <c r="AB617" s="26"/>
      <c r="AC617" s="14">
        <f>P617</f>
        <v>48.484957376300002</v>
      </c>
      <c r="AD617" s="14">
        <f>Q617</f>
        <v>2.3518584214299998</v>
      </c>
    </row>
    <row r="618" spans="1:30" s="14" customFormat="1">
      <c r="A618" s="12">
        <v>54</v>
      </c>
      <c r="B618" s="12" t="s">
        <v>666</v>
      </c>
      <c r="C618" s="14" t="str">
        <f>VLOOKUP(B618,weights!A:B,2,FALSE)</f>
        <v>M</v>
      </c>
      <c r="D618" s="13">
        <v>616</v>
      </c>
      <c r="E618" s="14" t="s">
        <v>717</v>
      </c>
      <c r="H618" s="18"/>
      <c r="I618" s="18"/>
      <c r="J618" s="14">
        <v>617</v>
      </c>
      <c r="K618" s="14">
        <f>VLOOKUP(B618,weights!A:G,5,FALSE)</f>
        <v>4</v>
      </c>
      <c r="L618" s="14">
        <f>VLOOKUP(B618,weights!A:G,6,FALSE)</f>
        <v>7</v>
      </c>
      <c r="M618" s="14">
        <f>VLOOKUP(B618,weights!A:G,7,FALSE)</f>
        <v>10</v>
      </c>
      <c r="N618" t="s">
        <v>3438</v>
      </c>
      <c r="O618">
        <v>161</v>
      </c>
      <c r="P618">
        <v>48.434490612899999</v>
      </c>
      <c r="Q618">
        <v>2.3766728171599998</v>
      </c>
      <c r="R618" s="22"/>
      <c r="S618" s="22"/>
      <c r="T618" s="22"/>
      <c r="U618" s="24">
        <f>R618+S618/60+T618/3600</f>
        <v>0</v>
      </c>
      <c r="V618" s="28">
        <f>ABS(U618-P618)/P618</f>
        <v>1</v>
      </c>
      <c r="W618" s="22"/>
      <c r="X618" s="22"/>
      <c r="Y618" s="22"/>
      <c r="Z618" s="14">
        <f>W618+X618/60+Y618/3600</f>
        <v>0</v>
      </c>
      <c r="AA618" s="26">
        <f>ABS(Z618-Q618)/Q618</f>
        <v>1</v>
      </c>
      <c r="AB618" s="26"/>
      <c r="AC618" s="14">
        <f>P618</f>
        <v>48.434490612899999</v>
      </c>
      <c r="AD618" s="14">
        <f>Q618</f>
        <v>2.3766728171599998</v>
      </c>
    </row>
    <row r="619" spans="1:30" s="14" customFormat="1">
      <c r="A619" s="12">
        <v>55</v>
      </c>
      <c r="B619" s="12" t="s">
        <v>666</v>
      </c>
      <c r="C619" s="14" t="str">
        <f>VLOOKUP(B619,weights!A:B,2,FALSE)</f>
        <v>M</v>
      </c>
      <c r="D619" s="13">
        <v>617</v>
      </c>
      <c r="E619" s="14" t="s">
        <v>718</v>
      </c>
      <c r="H619" s="18"/>
      <c r="I619" s="18"/>
      <c r="J619" s="14">
        <v>618</v>
      </c>
      <c r="K619" s="14">
        <f>VLOOKUP(B619,weights!A:G,5,FALSE)</f>
        <v>4</v>
      </c>
      <c r="L619" s="14">
        <f>VLOOKUP(B619,weights!A:G,6,FALSE)</f>
        <v>7</v>
      </c>
      <c r="M619" s="14">
        <f>VLOOKUP(B619,weights!A:G,7,FALSE)</f>
        <v>10</v>
      </c>
      <c r="N619" t="s">
        <v>4748</v>
      </c>
      <c r="O619">
        <v>258</v>
      </c>
      <c r="P619">
        <v>48.393641546799998</v>
      </c>
      <c r="Q619">
        <v>2.39341072138</v>
      </c>
      <c r="R619" s="22"/>
      <c r="S619" s="22"/>
      <c r="T619" s="22"/>
      <c r="U619" s="24">
        <f>R619+S619/60+T619/3600</f>
        <v>0</v>
      </c>
      <c r="V619" s="28">
        <f>ABS(U619-P619)/P619</f>
        <v>1</v>
      </c>
      <c r="W619" s="22"/>
      <c r="X619" s="22"/>
      <c r="Y619" s="22"/>
      <c r="Z619" s="14">
        <f>W619+X619/60+Y619/3600</f>
        <v>0</v>
      </c>
      <c r="AA619" s="26">
        <f>ABS(Z619-Q619)/Q619</f>
        <v>1</v>
      </c>
      <c r="AB619" s="26"/>
      <c r="AC619" s="14">
        <f>P619</f>
        <v>48.393641546799998</v>
      </c>
      <c r="AD619" s="14">
        <f>Q619</f>
        <v>2.39341072138</v>
      </c>
    </row>
    <row r="620" spans="1:30" s="14" customFormat="1">
      <c r="A620" s="12">
        <v>56</v>
      </c>
      <c r="B620" s="12" t="s">
        <v>666</v>
      </c>
      <c r="C620" s="14" t="str">
        <f>VLOOKUP(B620,weights!A:B,2,FALSE)</f>
        <v>M</v>
      </c>
      <c r="D620" s="13">
        <v>618</v>
      </c>
      <c r="E620" s="14" t="s">
        <v>719</v>
      </c>
      <c r="H620" s="18"/>
      <c r="I620" s="18"/>
      <c r="J620" s="14">
        <v>619</v>
      </c>
      <c r="K620" s="14">
        <f>VLOOKUP(B620,weights!A:G,5,FALSE)</f>
        <v>4</v>
      </c>
      <c r="L620" s="14">
        <f>VLOOKUP(B620,weights!A:G,6,FALSE)</f>
        <v>7</v>
      </c>
      <c r="M620" s="14">
        <f>VLOOKUP(B620,weights!A:G,7,FALSE)</f>
        <v>10</v>
      </c>
      <c r="N620" t="s">
        <v>3477</v>
      </c>
      <c r="O620">
        <v>416</v>
      </c>
      <c r="P620">
        <v>48.371383294099999</v>
      </c>
      <c r="Q620">
        <v>2.3872097971800001</v>
      </c>
      <c r="R620" s="22"/>
      <c r="S620" s="22"/>
      <c r="T620" s="22"/>
      <c r="U620" s="24">
        <f>R620+S620/60+T620/3600</f>
        <v>0</v>
      </c>
      <c r="V620" s="28">
        <f>ABS(U620-P620)/P620</f>
        <v>1</v>
      </c>
      <c r="W620" s="22"/>
      <c r="X620" s="22"/>
      <c r="Y620" s="22"/>
      <c r="Z620" s="14">
        <f>W620+X620/60+Y620/3600</f>
        <v>0</v>
      </c>
      <c r="AA620" s="26">
        <f>ABS(Z620-Q620)/Q620</f>
        <v>1</v>
      </c>
      <c r="AB620" s="26"/>
      <c r="AC620" s="14">
        <f>P620</f>
        <v>48.371383294099999</v>
      </c>
      <c r="AD620" s="14">
        <f>Q620</f>
        <v>2.3872097971800001</v>
      </c>
    </row>
    <row r="621" spans="1:30" s="14" customFormat="1">
      <c r="A621" s="12">
        <v>57</v>
      </c>
      <c r="B621" s="12" t="s">
        <v>666</v>
      </c>
      <c r="C621" s="14" t="str">
        <f>VLOOKUP(B621,weights!A:B,2,FALSE)</f>
        <v>M</v>
      </c>
      <c r="D621" s="13">
        <v>619</v>
      </c>
      <c r="E621" s="14" t="s">
        <v>720</v>
      </c>
      <c r="H621" s="18"/>
      <c r="I621" s="18"/>
      <c r="J621" s="14">
        <v>620</v>
      </c>
      <c r="K621" s="14">
        <f>VLOOKUP(B621,weights!A:G,5,FALSE)</f>
        <v>4</v>
      </c>
      <c r="L621" s="14">
        <f>VLOOKUP(B621,weights!A:G,6,FALSE)</f>
        <v>7</v>
      </c>
      <c r="M621" s="14">
        <f>VLOOKUP(B621,weights!A:G,7,FALSE)</f>
        <v>10</v>
      </c>
      <c r="N621" t="s">
        <v>3360</v>
      </c>
      <c r="O621">
        <v>75</v>
      </c>
      <c r="P621">
        <v>48.3416635464</v>
      </c>
      <c r="Q621">
        <v>2.3788154446399998</v>
      </c>
      <c r="R621" s="22"/>
      <c r="S621" s="22"/>
      <c r="T621" s="22"/>
      <c r="U621" s="24">
        <f>R621+S621/60+T621/3600</f>
        <v>0</v>
      </c>
      <c r="V621" s="28">
        <f>ABS(U621-P621)/P621</f>
        <v>1</v>
      </c>
      <c r="W621" s="22"/>
      <c r="X621" s="22"/>
      <c r="Y621" s="22"/>
      <c r="Z621" s="14">
        <f>W621+X621/60+Y621/3600</f>
        <v>0</v>
      </c>
      <c r="AA621" s="26">
        <f>ABS(Z621-Q621)/Q621</f>
        <v>1</v>
      </c>
      <c r="AB621" s="26"/>
      <c r="AC621" s="14">
        <f>P621</f>
        <v>48.3416635464</v>
      </c>
      <c r="AD621" s="14">
        <f>Q621</f>
        <v>2.3788154446399998</v>
      </c>
    </row>
    <row r="622" spans="1:30" s="14" customFormat="1">
      <c r="A622" s="12">
        <v>58</v>
      </c>
      <c r="B622" s="12" t="s">
        <v>666</v>
      </c>
      <c r="C622" s="14" t="str">
        <f>VLOOKUP(B622,weights!A:B,2,FALSE)</f>
        <v>M</v>
      </c>
      <c r="D622" s="13">
        <v>620</v>
      </c>
      <c r="E622" s="14" t="s">
        <v>122</v>
      </c>
      <c r="H622" s="18"/>
      <c r="I622" s="18"/>
      <c r="K622" s="14">
        <f>VLOOKUP(B622,weights!A:G,5,FALSE)</f>
        <v>4</v>
      </c>
      <c r="L622" s="14">
        <f>VLOOKUP(B622,weights!A:G,6,FALSE)</f>
        <v>7</v>
      </c>
      <c r="M622" s="14">
        <f>VLOOKUP(B622,weights!A:G,7,FALSE)</f>
        <v>10</v>
      </c>
      <c r="N622" t="s">
        <v>4757</v>
      </c>
      <c r="O622">
        <v>598</v>
      </c>
      <c r="P622">
        <v>48.293591768699997</v>
      </c>
      <c r="Q622">
        <v>2.40113389443</v>
      </c>
      <c r="R622" s="22"/>
      <c r="S622" s="22"/>
      <c r="T622" s="22"/>
      <c r="U622" s="24">
        <f>R622+S622/60+T622/3600</f>
        <v>0</v>
      </c>
      <c r="V622" s="28">
        <f>ABS(U622-P622)/P622</f>
        <v>1</v>
      </c>
      <c r="W622" s="22"/>
      <c r="X622" s="22"/>
      <c r="Y622" s="22"/>
      <c r="Z622" s="14">
        <f>W622+X622/60+Y622/3600</f>
        <v>0</v>
      </c>
      <c r="AA622" s="26">
        <f>ABS(Z622-Q622)/Q622</f>
        <v>1</v>
      </c>
      <c r="AB622" s="26"/>
      <c r="AC622" s="14">
        <f>P622</f>
        <v>48.293591768699997</v>
      </c>
      <c r="AD622" s="14">
        <f>Q622</f>
        <v>2.40113389443</v>
      </c>
    </row>
    <row r="623" spans="1:30" s="14" customFormat="1">
      <c r="A623" s="12">
        <v>0</v>
      </c>
      <c r="B623" s="12" t="s">
        <v>558</v>
      </c>
      <c r="C623" s="14" t="str">
        <f>VLOOKUP(B623,weights!A:B,2,FALSE)</f>
        <v>M</v>
      </c>
      <c r="D623" s="13">
        <v>621</v>
      </c>
      <c r="E623" s="14" t="s">
        <v>724</v>
      </c>
      <c r="G623" s="14" t="s">
        <v>1466</v>
      </c>
      <c r="H623" s="18" t="s">
        <v>1625</v>
      </c>
      <c r="I623" s="18" t="s">
        <v>1852</v>
      </c>
      <c r="J623" s="14">
        <v>622</v>
      </c>
      <c r="K623" s="14">
        <f>VLOOKUP(B623,weights!A:G,5,FALSE)</f>
        <v>3.86</v>
      </c>
      <c r="L623" s="14">
        <f>VLOOKUP(B623,weights!A:G,6,FALSE)</f>
        <v>7</v>
      </c>
      <c r="M623" s="14">
        <f>VLOOKUP(B623,weights!A:G,7,FALSE)</f>
        <v>10</v>
      </c>
      <c r="N623" t="s">
        <v>5572</v>
      </c>
      <c r="O623">
        <v>818</v>
      </c>
      <c r="P623">
        <v>48.875933152400002</v>
      </c>
      <c r="Q623">
        <v>2.3257279613900002</v>
      </c>
      <c r="R623" s="22"/>
      <c r="S623" s="22"/>
      <c r="T623" s="22"/>
      <c r="U623" s="24">
        <f>R623+S623/60+T623/3600</f>
        <v>0</v>
      </c>
      <c r="V623" s="28">
        <f>ABS(U623-P623)/P623</f>
        <v>1</v>
      </c>
      <c r="W623" s="22"/>
      <c r="X623" s="22"/>
      <c r="Y623" s="22"/>
      <c r="Z623" s="14">
        <f>W623+X623/60+Y623/3600</f>
        <v>0</v>
      </c>
      <c r="AA623" s="26">
        <f>ABS(Z623-Q623)/Q623</f>
        <v>1</v>
      </c>
      <c r="AB623" s="26"/>
      <c r="AC623" s="14">
        <f>P623</f>
        <v>48.875933152400002</v>
      </c>
      <c r="AD623" s="14">
        <f>Q623</f>
        <v>2.3257279613900002</v>
      </c>
    </row>
    <row r="624" spans="1:30" s="14" customFormat="1">
      <c r="A624" s="12">
        <v>1</v>
      </c>
      <c r="B624" s="12" t="s">
        <v>558</v>
      </c>
      <c r="C624" s="14" t="str">
        <f>VLOOKUP(B624,weights!A:B,2,FALSE)</f>
        <v>M</v>
      </c>
      <c r="D624" s="13">
        <v>622</v>
      </c>
      <c r="E624" s="14" t="s">
        <v>725</v>
      </c>
      <c r="G624" s="14" t="s">
        <v>1510</v>
      </c>
      <c r="H624" s="18" t="s">
        <v>1612</v>
      </c>
      <c r="I624" s="18" t="s">
        <v>1853</v>
      </c>
      <c r="J624" s="14">
        <v>623</v>
      </c>
      <c r="K624" s="14">
        <f>VLOOKUP(B624,weights!A:G,5,FALSE)</f>
        <v>3.86</v>
      </c>
      <c r="L624" s="14">
        <f>VLOOKUP(B624,weights!A:G,6,FALSE)</f>
        <v>7</v>
      </c>
      <c r="M624" s="14">
        <f>VLOOKUP(B624,weights!A:G,7,FALSE)</f>
        <v>10</v>
      </c>
      <c r="N624" t="s">
        <v>4694</v>
      </c>
      <c r="O624">
        <v>595</v>
      </c>
      <c r="P624">
        <v>48.8809135256</v>
      </c>
      <c r="Q624">
        <v>2.3588332356400001</v>
      </c>
      <c r="R624" s="22"/>
      <c r="S624" s="22"/>
      <c r="T624" s="22"/>
      <c r="U624" s="24">
        <f>R624+S624/60+T624/3600</f>
        <v>0</v>
      </c>
      <c r="V624" s="28">
        <f>ABS(U624-P624)/P624</f>
        <v>1</v>
      </c>
      <c r="W624" s="22"/>
      <c r="X624" s="22"/>
      <c r="Y624" s="22"/>
      <c r="Z624" s="14">
        <f>W624+X624/60+Y624/3600</f>
        <v>0</v>
      </c>
      <c r="AA624" s="26">
        <f>ABS(Z624-Q624)/Q624</f>
        <v>1</v>
      </c>
      <c r="AB624" s="26"/>
      <c r="AC624" s="14">
        <f>P624</f>
        <v>48.8809135256</v>
      </c>
      <c r="AD624" s="14">
        <f>Q624</f>
        <v>2.3588332356400001</v>
      </c>
    </row>
    <row r="625" spans="1:30" s="14" customFormat="1">
      <c r="A625" s="12">
        <v>2</v>
      </c>
      <c r="B625" s="12" t="s">
        <v>558</v>
      </c>
      <c r="C625" s="14" t="str">
        <f>VLOOKUP(B625,weights!A:B,2,FALSE)</f>
        <v>M</v>
      </c>
      <c r="D625" s="13">
        <v>623</v>
      </c>
      <c r="E625" s="14" t="s">
        <v>726</v>
      </c>
      <c r="G625" s="14" t="s">
        <v>143</v>
      </c>
      <c r="H625" s="18"/>
      <c r="I625" s="18" t="s">
        <v>1854</v>
      </c>
      <c r="J625" s="14">
        <v>624</v>
      </c>
      <c r="K625" s="14">
        <f>VLOOKUP(B625,weights!A:G,5,FALSE)</f>
        <v>3.86</v>
      </c>
      <c r="L625" s="14">
        <f>VLOOKUP(B625,weights!A:G,6,FALSE)</f>
        <v>7</v>
      </c>
      <c r="M625" s="14">
        <f>VLOOKUP(B625,weights!A:G,7,FALSE)</f>
        <v>10</v>
      </c>
      <c r="N625" t="s">
        <v>5474</v>
      </c>
      <c r="O625">
        <v>474</v>
      </c>
      <c r="P625">
        <v>48.896673811200003</v>
      </c>
      <c r="Q625">
        <v>2.3741229755300002</v>
      </c>
      <c r="R625" s="22"/>
      <c r="S625" s="22"/>
      <c r="T625" s="22"/>
      <c r="U625" s="24">
        <f>R625+S625/60+T625/3600</f>
        <v>0</v>
      </c>
      <c r="V625" s="28">
        <f>ABS(U625-P625)/P625</f>
        <v>1</v>
      </c>
      <c r="W625" s="22"/>
      <c r="X625" s="22"/>
      <c r="Y625" s="22"/>
      <c r="Z625" s="14">
        <f>W625+X625/60+Y625/3600</f>
        <v>0</v>
      </c>
      <c r="AA625" s="26">
        <f>ABS(Z625-Q625)/Q625</f>
        <v>1</v>
      </c>
      <c r="AB625" s="26"/>
      <c r="AC625" s="14">
        <f>P625</f>
        <v>48.896673811200003</v>
      </c>
      <c r="AD625" s="14">
        <f>Q625</f>
        <v>2.3741229755300002</v>
      </c>
    </row>
    <row r="626" spans="1:30" s="14" customFormat="1">
      <c r="A626" s="12">
        <v>3</v>
      </c>
      <c r="B626" s="12" t="s">
        <v>558</v>
      </c>
      <c r="C626" s="14" t="str">
        <f>VLOOKUP(B626,weights!A:B,2,FALSE)</f>
        <v>M</v>
      </c>
      <c r="D626" s="13">
        <v>624</v>
      </c>
      <c r="E626" s="14" t="s">
        <v>727</v>
      </c>
      <c r="G626" s="14" t="s">
        <v>1509</v>
      </c>
      <c r="H626" s="18"/>
      <c r="I626" s="18" t="s">
        <v>1855</v>
      </c>
      <c r="J626" s="14">
        <v>625</v>
      </c>
      <c r="K626" s="14">
        <f>VLOOKUP(B626,weights!A:G,5,FALSE)</f>
        <v>3.86</v>
      </c>
      <c r="L626" s="14">
        <f>VLOOKUP(B626,weights!A:G,6,FALSE)</f>
        <v>7</v>
      </c>
      <c r="M626" s="14">
        <f>VLOOKUP(B626,weights!A:G,7,FALSE)</f>
        <v>10</v>
      </c>
      <c r="N626" t="s">
        <v>5088</v>
      </c>
      <c r="O626">
        <v>296</v>
      </c>
      <c r="P626">
        <v>48.898112305399998</v>
      </c>
      <c r="Q626">
        <v>2.4003617018100001</v>
      </c>
      <c r="R626" s="22"/>
      <c r="S626" s="22"/>
      <c r="T626" s="22"/>
      <c r="U626" s="24">
        <f>R626+S626/60+T626/3600</f>
        <v>0</v>
      </c>
      <c r="V626" s="28">
        <f>ABS(U626-P626)/P626</f>
        <v>1</v>
      </c>
      <c r="W626" s="22"/>
      <c r="X626" s="22"/>
      <c r="Y626" s="22"/>
      <c r="Z626" s="14">
        <f>W626+X626/60+Y626/3600</f>
        <v>0</v>
      </c>
      <c r="AA626" s="26">
        <f>ABS(Z626-Q626)/Q626</f>
        <v>1</v>
      </c>
      <c r="AB626" s="26"/>
      <c r="AC626" s="14">
        <f>P626</f>
        <v>48.898112305399998</v>
      </c>
      <c r="AD626" s="14">
        <f>Q626</f>
        <v>2.4003617018100001</v>
      </c>
    </row>
    <row r="627" spans="1:30" s="14" customFormat="1">
      <c r="A627" s="12">
        <v>4</v>
      </c>
      <c r="B627" s="12" t="s">
        <v>558</v>
      </c>
      <c r="C627" s="14" t="str">
        <f>VLOOKUP(B627,weights!A:B,2,FALSE)</f>
        <v>M</v>
      </c>
      <c r="D627" s="13">
        <v>625</v>
      </c>
      <c r="E627" s="14" t="s">
        <v>728</v>
      </c>
      <c r="G627" s="14" t="s">
        <v>1508</v>
      </c>
      <c r="H627" s="18"/>
      <c r="I627" s="18" t="s">
        <v>1856</v>
      </c>
      <c r="J627" s="14">
        <v>626.63099999999997</v>
      </c>
      <c r="K627" s="14">
        <f>VLOOKUP(B627,weights!A:G,5,FALSE)</f>
        <v>3.86</v>
      </c>
      <c r="L627" s="14">
        <f>VLOOKUP(B627,weights!A:G,6,FALSE)</f>
        <v>7</v>
      </c>
      <c r="M627" s="14">
        <f>VLOOKUP(B627,weights!A:G,7,FALSE)</f>
        <v>10</v>
      </c>
      <c r="N627" t="s">
        <v>5023</v>
      </c>
      <c r="O627">
        <v>473</v>
      </c>
      <c r="P627">
        <v>48.896604437400001</v>
      </c>
      <c r="Q627">
        <v>2.46111931078</v>
      </c>
      <c r="R627" s="22"/>
      <c r="S627" s="22"/>
      <c r="T627" s="22"/>
      <c r="U627" s="24">
        <f>R627+S627/60+T627/3600</f>
        <v>0</v>
      </c>
      <c r="V627" s="28">
        <f>ABS(U627-P627)/P627</f>
        <v>1</v>
      </c>
      <c r="W627" s="22"/>
      <c r="X627" s="22"/>
      <c r="Y627" s="22"/>
      <c r="Z627" s="14">
        <f>W627+X627/60+Y627/3600</f>
        <v>0</v>
      </c>
      <c r="AA627" s="26">
        <f>ABS(Z627-Q627)/Q627</f>
        <v>1</v>
      </c>
      <c r="AB627" s="26"/>
      <c r="AC627" s="14">
        <f>P627</f>
        <v>48.896604437400001</v>
      </c>
      <c r="AD627" s="14">
        <f>Q627</f>
        <v>2.46111931078</v>
      </c>
    </row>
    <row r="628" spans="1:30" s="14" customFormat="1">
      <c r="A628" s="12">
        <v>5</v>
      </c>
      <c r="B628" s="12" t="s">
        <v>558</v>
      </c>
      <c r="C628" s="14" t="str">
        <f>VLOOKUP(B628,weights!A:B,2,FALSE)</f>
        <v>M</v>
      </c>
      <c r="D628" s="13">
        <v>626</v>
      </c>
      <c r="E628" s="14" t="s">
        <v>729</v>
      </c>
      <c r="G628" s="14" t="s">
        <v>745</v>
      </c>
      <c r="H628" s="18"/>
      <c r="I628" s="18" t="s">
        <v>1857</v>
      </c>
      <c r="J628" s="14">
        <v>627</v>
      </c>
      <c r="K628" s="14">
        <f>VLOOKUP(B628,weights!A:G,5,FALSE)</f>
        <v>3.86</v>
      </c>
      <c r="L628" s="14">
        <f>VLOOKUP(B628,weights!A:G,6,FALSE)</f>
        <v>7</v>
      </c>
      <c r="M628" s="14">
        <f>VLOOKUP(B628,weights!A:G,7,FALSE)</f>
        <v>10</v>
      </c>
      <c r="N628" t="s">
        <v>3385</v>
      </c>
      <c r="O628">
        <v>567</v>
      </c>
      <c r="P628">
        <v>48.894012515</v>
      </c>
      <c r="Q628">
        <v>2.4797933299600001</v>
      </c>
      <c r="R628" s="22"/>
      <c r="S628" s="22"/>
      <c r="T628" s="22"/>
      <c r="U628" s="24">
        <f>R628+S628/60+T628/3600</f>
        <v>0</v>
      </c>
      <c r="V628" s="28">
        <f>ABS(U628-P628)/P628</f>
        <v>1</v>
      </c>
      <c r="W628" s="22"/>
      <c r="X628" s="22"/>
      <c r="Y628" s="22"/>
      <c r="Z628" s="14">
        <f>W628+X628/60+Y628/3600</f>
        <v>0</v>
      </c>
      <c r="AA628" s="26">
        <f>ABS(Z628-Q628)/Q628</f>
        <v>1</v>
      </c>
      <c r="AB628" s="26"/>
      <c r="AC628" s="14">
        <f>P628</f>
        <v>48.894012515</v>
      </c>
      <c r="AD628" s="14">
        <f>Q628</f>
        <v>2.4797933299600001</v>
      </c>
    </row>
    <row r="629" spans="1:30" s="14" customFormat="1">
      <c r="A629" s="12">
        <v>6</v>
      </c>
      <c r="B629" s="12" t="s">
        <v>558</v>
      </c>
      <c r="C629" s="14" t="str">
        <f>VLOOKUP(B629,weights!A:B,2,FALSE)</f>
        <v>M</v>
      </c>
      <c r="D629" s="13">
        <v>627</v>
      </c>
      <c r="E629" s="14" t="s">
        <v>730</v>
      </c>
      <c r="H629" s="18"/>
      <c r="I629" s="18"/>
      <c r="J629" s="14">
        <v>628</v>
      </c>
      <c r="K629" s="14">
        <f>VLOOKUP(B629,weights!A:G,5,FALSE)</f>
        <v>3.86</v>
      </c>
      <c r="L629" s="14">
        <f>VLOOKUP(B629,weights!A:G,6,FALSE)</f>
        <v>7</v>
      </c>
      <c r="M629" s="14">
        <f>VLOOKUP(B629,weights!A:G,7,FALSE)</f>
        <v>10</v>
      </c>
      <c r="N629" t="s">
        <v>4518</v>
      </c>
      <c r="O629">
        <v>406</v>
      </c>
      <c r="P629">
        <v>48.889076594700001</v>
      </c>
      <c r="Q629">
        <v>2.5125668214600001</v>
      </c>
      <c r="R629" s="22"/>
      <c r="S629" s="22"/>
      <c r="T629" s="22"/>
      <c r="U629" s="24">
        <f>R629+S629/60+T629/3600</f>
        <v>0</v>
      </c>
      <c r="V629" s="28">
        <f>ABS(U629-P629)/P629</f>
        <v>1</v>
      </c>
      <c r="W629" s="22"/>
      <c r="X629" s="22"/>
      <c r="Y629" s="22"/>
      <c r="Z629" s="14">
        <f>W629+X629/60+Y629/3600</f>
        <v>0</v>
      </c>
      <c r="AA629" s="26">
        <f>ABS(Z629-Q629)/Q629</f>
        <v>1</v>
      </c>
      <c r="AB629" s="26"/>
      <c r="AC629" s="14">
        <f>P629</f>
        <v>48.889076594700001</v>
      </c>
      <c r="AD629" s="14">
        <f>Q629</f>
        <v>2.5125668214600001</v>
      </c>
    </row>
    <row r="630" spans="1:30" s="14" customFormat="1">
      <c r="A630" s="12">
        <v>7</v>
      </c>
      <c r="B630" s="12" t="s">
        <v>558</v>
      </c>
      <c r="C630" s="14" t="str">
        <f>VLOOKUP(B630,weights!A:B,2,FALSE)</f>
        <v>M</v>
      </c>
      <c r="D630" s="13">
        <v>628</v>
      </c>
      <c r="E630" s="14" t="s">
        <v>731</v>
      </c>
      <c r="H630" s="18"/>
      <c r="I630" s="18"/>
      <c r="J630" s="14">
        <v>629</v>
      </c>
      <c r="K630" s="14">
        <f>VLOOKUP(B630,weights!A:G,5,FALSE)</f>
        <v>3.86</v>
      </c>
      <c r="L630" s="14">
        <f>VLOOKUP(B630,weights!A:G,6,FALSE)</f>
        <v>7</v>
      </c>
      <c r="M630" s="14">
        <f>VLOOKUP(B630,weights!A:G,7,FALSE)</f>
        <v>10</v>
      </c>
      <c r="N630" t="s">
        <v>4079</v>
      </c>
      <c r="O630">
        <v>407</v>
      </c>
      <c r="P630">
        <v>48.883734281000002</v>
      </c>
      <c r="Q630">
        <v>2.5254342507700001</v>
      </c>
      <c r="R630" s="22"/>
      <c r="S630" s="22"/>
      <c r="T630" s="22"/>
      <c r="U630" s="24">
        <f>R630+S630/60+T630/3600</f>
        <v>0</v>
      </c>
      <c r="V630" s="28">
        <f>ABS(U630-P630)/P630</f>
        <v>1</v>
      </c>
      <c r="W630" s="22"/>
      <c r="X630" s="22"/>
      <c r="Y630" s="22"/>
      <c r="Z630" s="14">
        <f>W630+X630/60+Y630/3600</f>
        <v>0</v>
      </c>
      <c r="AA630" s="26">
        <f>ABS(Z630-Q630)/Q630</f>
        <v>1</v>
      </c>
      <c r="AB630" s="26"/>
      <c r="AC630" s="14">
        <f>P630</f>
        <v>48.883734281000002</v>
      </c>
      <c r="AD630" s="14">
        <f>Q630</f>
        <v>2.5254342507700001</v>
      </c>
    </row>
    <row r="631" spans="1:30" s="14" customFormat="1">
      <c r="A631" s="12">
        <v>8</v>
      </c>
      <c r="B631" s="12" t="s">
        <v>558</v>
      </c>
      <c r="C631" s="14" t="str">
        <f>VLOOKUP(B631,weights!A:B,2,FALSE)</f>
        <v>M</v>
      </c>
      <c r="D631" s="13">
        <v>629</v>
      </c>
      <c r="E631" s="14" t="s">
        <v>732</v>
      </c>
      <c r="H631" s="18"/>
      <c r="I631" s="18"/>
      <c r="J631" s="14">
        <v>630</v>
      </c>
      <c r="K631" s="14">
        <f>VLOOKUP(B631,weights!A:G,5,FALSE)</f>
        <v>3.86</v>
      </c>
      <c r="L631" s="14">
        <f>VLOOKUP(B631,weights!A:G,6,FALSE)</f>
        <v>7</v>
      </c>
      <c r="M631" s="14">
        <f>VLOOKUP(B631,weights!A:G,7,FALSE)</f>
        <v>10</v>
      </c>
      <c r="N631" t="s">
        <v>4485</v>
      </c>
      <c r="O631">
        <v>591</v>
      </c>
      <c r="P631">
        <v>48.877157838800002</v>
      </c>
      <c r="Q631">
        <v>2.5528816497900002</v>
      </c>
      <c r="R631" s="22"/>
      <c r="S631" s="22"/>
      <c r="T631" s="22"/>
      <c r="U631" s="24">
        <f>R631+S631/60+T631/3600</f>
        <v>0</v>
      </c>
      <c r="V631" s="28">
        <f>ABS(U631-P631)/P631</f>
        <v>1</v>
      </c>
      <c r="W631" s="22"/>
      <c r="X631" s="22"/>
      <c r="Y631" s="22"/>
      <c r="Z631" s="14">
        <f>W631+X631/60+Y631/3600</f>
        <v>0</v>
      </c>
      <c r="AA631" s="26">
        <f>ABS(Z631-Q631)/Q631</f>
        <v>1</v>
      </c>
      <c r="AB631" s="26"/>
      <c r="AC631" s="14">
        <f>P631</f>
        <v>48.877157838800002</v>
      </c>
      <c r="AD631" s="14">
        <f>Q631</f>
        <v>2.5528816497900002</v>
      </c>
    </row>
    <row r="632" spans="1:30" s="14" customFormat="1">
      <c r="A632" s="12">
        <v>9</v>
      </c>
      <c r="B632" s="12" t="s">
        <v>558</v>
      </c>
      <c r="C632" s="14" t="str">
        <f>VLOOKUP(B632,weights!A:B,2,FALSE)</f>
        <v>M</v>
      </c>
      <c r="D632" s="13">
        <v>630</v>
      </c>
      <c r="E632" s="14" t="s">
        <v>733</v>
      </c>
      <c r="G632" s="14" t="s">
        <v>746</v>
      </c>
      <c r="H632" s="18"/>
      <c r="I632" s="18" t="s">
        <v>1858</v>
      </c>
      <c r="K632" s="14">
        <f>VLOOKUP(B632,weights!A:G,5,FALSE)</f>
        <v>3.86</v>
      </c>
      <c r="L632" s="14">
        <f>VLOOKUP(B632,weights!A:G,6,FALSE)</f>
        <v>7</v>
      </c>
      <c r="M632" s="14">
        <f>VLOOKUP(B632,weights!A:G,7,FALSE)</f>
        <v>10</v>
      </c>
      <c r="N632" t="s">
        <v>3665</v>
      </c>
      <c r="O632">
        <v>484</v>
      </c>
      <c r="P632">
        <v>48.874144083899999</v>
      </c>
      <c r="Q632">
        <v>2.5833311553199998</v>
      </c>
      <c r="R632" s="22"/>
      <c r="S632" s="22"/>
      <c r="T632" s="22"/>
      <c r="U632" s="24">
        <f>R632+S632/60+T632/3600</f>
        <v>0</v>
      </c>
      <c r="V632" s="28">
        <f>ABS(U632-P632)/P632</f>
        <v>1</v>
      </c>
      <c r="W632" s="22"/>
      <c r="X632" s="22"/>
      <c r="Y632" s="22"/>
      <c r="Z632" s="14">
        <f>W632+X632/60+Y632/3600</f>
        <v>0</v>
      </c>
      <c r="AA632" s="26">
        <f>ABS(Z632-Q632)/Q632</f>
        <v>1</v>
      </c>
      <c r="AB632" s="26"/>
      <c r="AC632" s="14">
        <f>P632</f>
        <v>48.874144083899999</v>
      </c>
      <c r="AD632" s="14">
        <f>Q632</f>
        <v>2.5833311553199998</v>
      </c>
    </row>
    <row r="633" spans="1:30" s="14" customFormat="1">
      <c r="A633" s="12">
        <v>10</v>
      </c>
      <c r="B633" s="12" t="s">
        <v>558</v>
      </c>
      <c r="C633" s="14" t="str">
        <f>VLOOKUP(B633,weights!A:B,2,FALSE)</f>
        <v>M</v>
      </c>
      <c r="D633" s="13">
        <v>631</v>
      </c>
      <c r="E633" s="14" t="s">
        <v>734</v>
      </c>
      <c r="H633" s="18"/>
      <c r="I633" s="18"/>
      <c r="J633" s="14">
        <v>632</v>
      </c>
      <c r="K633" s="14">
        <f>VLOOKUP(B633,weights!A:G,5,FALSE)</f>
        <v>3.86</v>
      </c>
      <c r="L633" s="14">
        <f>VLOOKUP(B633,weights!A:G,6,FALSE)</f>
        <v>7</v>
      </c>
      <c r="M633" s="14">
        <f>VLOOKUP(B633,weights!A:G,7,FALSE)</f>
        <v>10</v>
      </c>
      <c r="N633" t="s">
        <v>5481</v>
      </c>
      <c r="O633">
        <v>405</v>
      </c>
      <c r="P633">
        <v>48.882304006600002</v>
      </c>
      <c r="Q633">
        <v>2.4814212573300001</v>
      </c>
      <c r="R633" s="22"/>
      <c r="S633" s="22"/>
      <c r="T633" s="22"/>
      <c r="U633" s="24">
        <f>R633+S633/60+T633/3600</f>
        <v>0</v>
      </c>
      <c r="V633" s="28">
        <f>ABS(U633-P633)/P633</f>
        <v>1</v>
      </c>
      <c r="W633" s="22"/>
      <c r="X633" s="22"/>
      <c r="Y633" s="22"/>
      <c r="Z633" s="14">
        <f>W633+X633/60+Y633/3600</f>
        <v>0</v>
      </c>
      <c r="AA633" s="26">
        <f>ABS(Z633-Q633)/Q633</f>
        <v>1</v>
      </c>
      <c r="AB633" s="26"/>
      <c r="AC633" s="14">
        <f>P633</f>
        <v>48.882304006600002</v>
      </c>
      <c r="AD633" s="14">
        <f>Q633</f>
        <v>2.4814212573300001</v>
      </c>
    </row>
    <row r="634" spans="1:30" s="14" customFormat="1">
      <c r="A634" s="12">
        <v>11</v>
      </c>
      <c r="B634" s="12" t="s">
        <v>558</v>
      </c>
      <c r="C634" s="14" t="str">
        <f>VLOOKUP(B634,weights!A:B,2,FALSE)</f>
        <v>M</v>
      </c>
      <c r="D634" s="13">
        <v>632</v>
      </c>
      <c r="E634" s="14" t="s">
        <v>735</v>
      </c>
      <c r="H634" s="18"/>
      <c r="I634" s="18"/>
      <c r="J634" s="14">
        <v>633</v>
      </c>
      <c r="K634" s="14">
        <f>VLOOKUP(B634,weights!A:G,5,FALSE)</f>
        <v>3.86</v>
      </c>
      <c r="L634" s="14">
        <f>VLOOKUP(B634,weights!A:G,6,FALSE)</f>
        <v>7</v>
      </c>
      <c r="M634" s="14">
        <f>VLOOKUP(B634,weights!A:G,7,FALSE)</f>
        <v>10</v>
      </c>
      <c r="N634" t="s">
        <v>5484</v>
      </c>
      <c r="O634">
        <v>504</v>
      </c>
      <c r="P634">
        <v>48.869912418299997</v>
      </c>
      <c r="Q634">
        <v>2.4857611419799999</v>
      </c>
      <c r="R634" s="22"/>
      <c r="S634" s="22"/>
      <c r="T634" s="22"/>
      <c r="U634" s="24">
        <f>R634+S634/60+T634/3600</f>
        <v>0</v>
      </c>
      <c r="V634" s="28">
        <f>ABS(U634-P634)/P634</f>
        <v>1</v>
      </c>
      <c r="W634" s="22"/>
      <c r="X634" s="22"/>
      <c r="Y634" s="22"/>
      <c r="Z634" s="14">
        <f>W634+X634/60+Y634/3600</f>
        <v>0</v>
      </c>
      <c r="AA634" s="26">
        <f>ABS(Z634-Q634)/Q634</f>
        <v>1</v>
      </c>
      <c r="AB634" s="26"/>
      <c r="AC634" s="14">
        <f>P634</f>
        <v>48.869912418299997</v>
      </c>
      <c r="AD634" s="14">
        <f>Q634</f>
        <v>2.4857611419799999</v>
      </c>
    </row>
    <row r="635" spans="1:30" s="14" customFormat="1">
      <c r="A635" s="12">
        <v>12</v>
      </c>
      <c r="B635" s="12" t="s">
        <v>558</v>
      </c>
      <c r="C635" s="14" t="str">
        <f>VLOOKUP(B635,weights!A:B,2,FALSE)</f>
        <v>M</v>
      </c>
      <c r="D635" s="13">
        <v>633</v>
      </c>
      <c r="E635" s="14" t="s">
        <v>541</v>
      </c>
      <c r="G635" s="14" t="s">
        <v>557</v>
      </c>
      <c r="H635" s="18" t="s">
        <v>1859</v>
      </c>
      <c r="I635" s="18"/>
      <c r="J635" s="14">
        <v>634</v>
      </c>
      <c r="K635" s="14">
        <f>VLOOKUP(B635,weights!A:G,5,FALSE)</f>
        <v>3.86</v>
      </c>
      <c r="L635" s="14">
        <f>VLOOKUP(B635,weights!A:G,6,FALSE)</f>
        <v>7</v>
      </c>
      <c r="M635" s="14">
        <f>VLOOKUP(B635,weights!A:G,7,FALSE)</f>
        <v>10</v>
      </c>
      <c r="N635" t="s">
        <v>5842</v>
      </c>
      <c r="O635">
        <v>404</v>
      </c>
      <c r="P635">
        <v>48.854353097199997</v>
      </c>
      <c r="Q635">
        <v>2.48913730642</v>
      </c>
      <c r="R635" s="22"/>
      <c r="S635" s="22"/>
      <c r="T635" s="22"/>
      <c r="U635" s="24">
        <f>R635+S635/60+T635/3600</f>
        <v>0</v>
      </c>
      <c r="V635" s="28">
        <f>ABS(U635-P635)/P635</f>
        <v>1</v>
      </c>
      <c r="W635" s="22"/>
      <c r="X635" s="22"/>
      <c r="Y635" s="22"/>
      <c r="Z635" s="14">
        <f>W635+X635/60+Y635/3600</f>
        <v>0</v>
      </c>
      <c r="AA635" s="26">
        <f>ABS(Z635-Q635)/Q635</f>
        <v>1</v>
      </c>
      <c r="AB635" s="26"/>
      <c r="AC635" s="14">
        <f>P635</f>
        <v>48.854353097199997</v>
      </c>
      <c r="AD635" s="14">
        <f>Q635</f>
        <v>2.48913730642</v>
      </c>
    </row>
    <row r="636" spans="1:30" s="14" customFormat="1">
      <c r="A636" s="12">
        <v>13</v>
      </c>
      <c r="B636" s="12" t="s">
        <v>558</v>
      </c>
      <c r="C636" s="14" t="str">
        <f>VLOOKUP(B636,weights!A:B,2,FALSE)</f>
        <v>M</v>
      </c>
      <c r="D636" s="13">
        <v>634</v>
      </c>
      <c r="E636" s="14" t="s">
        <v>736</v>
      </c>
      <c r="H636" s="18"/>
      <c r="I636" s="18"/>
      <c r="J636" s="14">
        <v>635</v>
      </c>
      <c r="K636" s="14">
        <f>VLOOKUP(B636,weights!A:G,5,FALSE)</f>
        <v>3.86</v>
      </c>
      <c r="L636" s="14">
        <f>VLOOKUP(B636,weights!A:G,6,FALSE)</f>
        <v>7</v>
      </c>
      <c r="M636" s="14">
        <f>VLOOKUP(B636,weights!A:G,7,FALSE)</f>
        <v>10</v>
      </c>
      <c r="N636" t="s">
        <v>5002</v>
      </c>
      <c r="O636">
        <v>293</v>
      </c>
      <c r="P636">
        <v>48.839341941900003</v>
      </c>
      <c r="Q636">
        <v>2.49418805532</v>
      </c>
      <c r="R636" s="22"/>
      <c r="S636" s="22"/>
      <c r="T636" s="22"/>
      <c r="U636" s="24">
        <f>R636+S636/60+T636/3600</f>
        <v>0</v>
      </c>
      <c r="V636" s="28">
        <f>ABS(U636-P636)/P636</f>
        <v>1</v>
      </c>
      <c r="W636" s="22"/>
      <c r="X636" s="22"/>
      <c r="Y636" s="22"/>
      <c r="Z636" s="14">
        <f>W636+X636/60+Y636/3600</f>
        <v>0</v>
      </c>
      <c r="AA636" s="26">
        <f>ABS(Z636-Q636)/Q636</f>
        <v>1</v>
      </c>
      <c r="AB636" s="26"/>
      <c r="AC636" s="14">
        <f>P636</f>
        <v>48.839341941900003</v>
      </c>
      <c r="AD636" s="14">
        <f>Q636</f>
        <v>2.49418805532</v>
      </c>
    </row>
    <row r="637" spans="1:30" s="14" customFormat="1">
      <c r="A637" s="12">
        <v>14</v>
      </c>
      <c r="B637" s="12" t="s">
        <v>558</v>
      </c>
      <c r="C637" s="14" t="str">
        <f>VLOOKUP(B637,weights!A:B,2,FALSE)</f>
        <v>M</v>
      </c>
      <c r="D637" s="13">
        <v>635</v>
      </c>
      <c r="E637" s="14" t="s">
        <v>737</v>
      </c>
      <c r="H637" s="18"/>
      <c r="I637" s="18"/>
      <c r="J637" s="14">
        <v>636</v>
      </c>
      <c r="K637" s="14">
        <f>VLOOKUP(B637,weights!A:G,5,FALSE)</f>
        <v>3.86</v>
      </c>
      <c r="L637" s="14">
        <f>VLOOKUP(B637,weights!A:G,6,FALSE)</f>
        <v>7</v>
      </c>
      <c r="M637" s="14">
        <f>VLOOKUP(B637,weights!A:G,7,FALSE)</f>
        <v>10</v>
      </c>
      <c r="N637" t="s">
        <v>4554</v>
      </c>
      <c r="O637">
        <v>503</v>
      </c>
      <c r="P637">
        <v>48.824848569499999</v>
      </c>
      <c r="Q637">
        <v>2.5118555548099999</v>
      </c>
      <c r="R637" s="22"/>
      <c r="S637" s="22"/>
      <c r="T637" s="22"/>
      <c r="U637" s="24">
        <f>R637+S637/60+T637/3600</f>
        <v>0</v>
      </c>
      <c r="V637" s="28">
        <f>ABS(U637-P637)/P637</f>
        <v>1</v>
      </c>
      <c r="W637" s="22"/>
      <c r="X637" s="22"/>
      <c r="Y637" s="22"/>
      <c r="Z637" s="14">
        <f>W637+X637/60+Y637/3600</f>
        <v>0</v>
      </c>
      <c r="AA637" s="26">
        <f>ABS(Z637-Q637)/Q637</f>
        <v>1</v>
      </c>
      <c r="AB637" s="26"/>
      <c r="AC637" s="14">
        <f>P637</f>
        <v>48.824848569499999</v>
      </c>
      <c r="AD637" s="14">
        <f>Q637</f>
        <v>2.5118555548099999</v>
      </c>
    </row>
    <row r="638" spans="1:30" s="14" customFormat="1">
      <c r="A638" s="12">
        <v>15</v>
      </c>
      <c r="B638" s="12" t="s">
        <v>558</v>
      </c>
      <c r="C638" s="14" t="str">
        <f>VLOOKUP(B638,weights!A:B,2,FALSE)</f>
        <v>M</v>
      </c>
      <c r="D638" s="13">
        <v>636</v>
      </c>
      <c r="E638" s="14" t="s">
        <v>738</v>
      </c>
      <c r="H638" s="18"/>
      <c r="I638" s="18"/>
      <c r="J638" s="14">
        <v>637</v>
      </c>
      <c r="K638" s="14">
        <f>VLOOKUP(B638,weights!A:G,5,FALSE)</f>
        <v>3.86</v>
      </c>
      <c r="L638" s="14">
        <f>VLOOKUP(B638,weights!A:G,6,FALSE)</f>
        <v>7</v>
      </c>
      <c r="M638" s="14">
        <f>VLOOKUP(B638,weights!A:G,7,FALSE)</f>
        <v>10</v>
      </c>
      <c r="N638" t="s">
        <v>5977</v>
      </c>
      <c r="O638">
        <v>650</v>
      </c>
      <c r="P638">
        <v>48.823266634100001</v>
      </c>
      <c r="Q638">
        <v>2.54267979265</v>
      </c>
      <c r="R638" s="22"/>
      <c r="S638" s="22"/>
      <c r="T638" s="22"/>
      <c r="U638" s="24">
        <f>R638+S638/60+T638/3600</f>
        <v>0</v>
      </c>
      <c r="V638" s="28">
        <f>ABS(U638-P638)/P638</f>
        <v>1</v>
      </c>
      <c r="W638" s="22"/>
      <c r="X638" s="22"/>
      <c r="Y638" s="22"/>
      <c r="Z638" s="14">
        <f>W638+X638/60+Y638/3600</f>
        <v>0</v>
      </c>
      <c r="AA638" s="26">
        <f>ABS(Z638-Q638)/Q638</f>
        <v>1</v>
      </c>
      <c r="AB638" s="26"/>
      <c r="AC638" s="14">
        <f>P638</f>
        <v>48.823266634100001</v>
      </c>
      <c r="AD638" s="14">
        <f>Q638</f>
        <v>2.54267979265</v>
      </c>
    </row>
    <row r="639" spans="1:30" s="14" customFormat="1">
      <c r="A639" s="12">
        <v>16</v>
      </c>
      <c r="B639" s="12" t="s">
        <v>558</v>
      </c>
      <c r="C639" s="14" t="str">
        <f>VLOOKUP(B639,weights!A:B,2,FALSE)</f>
        <v>M</v>
      </c>
      <c r="D639" s="13">
        <v>637</v>
      </c>
      <c r="E639" s="14" t="s">
        <v>739</v>
      </c>
      <c r="H639" s="18"/>
      <c r="I639" s="18"/>
      <c r="J639" s="14">
        <v>638</v>
      </c>
      <c r="K639" s="14">
        <f>VLOOKUP(B639,weights!A:G,5,FALSE)</f>
        <v>3.86</v>
      </c>
      <c r="L639" s="14">
        <f>VLOOKUP(B639,weights!A:G,6,FALSE)</f>
        <v>7</v>
      </c>
      <c r="M639" s="14">
        <f>VLOOKUP(B639,weights!A:G,7,FALSE)</f>
        <v>10</v>
      </c>
      <c r="N639" t="s">
        <v>4614</v>
      </c>
      <c r="O639">
        <v>651</v>
      </c>
      <c r="P639">
        <v>48.823151856700001</v>
      </c>
      <c r="Q639">
        <v>2.5798372539000001</v>
      </c>
      <c r="R639" s="22"/>
      <c r="S639" s="22"/>
      <c r="T639" s="22"/>
      <c r="U639" s="24">
        <f>R639+S639/60+T639/3600</f>
        <v>0</v>
      </c>
      <c r="V639" s="28">
        <f>ABS(U639-P639)/P639</f>
        <v>1</v>
      </c>
      <c r="W639" s="22"/>
      <c r="X639" s="22"/>
      <c r="Y639" s="22"/>
      <c r="Z639" s="14">
        <f>W639+X639/60+Y639/3600</f>
        <v>0</v>
      </c>
      <c r="AA639" s="26">
        <f>ABS(Z639-Q639)/Q639</f>
        <v>1</v>
      </c>
      <c r="AB639" s="26"/>
      <c r="AC639" s="14">
        <f>P639</f>
        <v>48.823151856700001</v>
      </c>
      <c r="AD639" s="14">
        <f>Q639</f>
        <v>2.5798372539000001</v>
      </c>
    </row>
    <row r="640" spans="1:30" s="14" customFormat="1">
      <c r="A640" s="12">
        <v>17</v>
      </c>
      <c r="B640" s="12" t="s">
        <v>558</v>
      </c>
      <c r="C640" s="14" t="str">
        <f>VLOOKUP(B640,weights!A:B,2,FALSE)</f>
        <v>M</v>
      </c>
      <c r="D640" s="13">
        <v>638</v>
      </c>
      <c r="E640" s="14" t="s">
        <v>740</v>
      </c>
      <c r="H640" s="18"/>
      <c r="I640" s="18"/>
      <c r="J640" s="14">
        <v>639</v>
      </c>
      <c r="K640" s="14">
        <f>VLOOKUP(B640,weights!A:G,5,FALSE)</f>
        <v>3.86</v>
      </c>
      <c r="L640" s="14">
        <f>VLOOKUP(B640,weights!A:G,6,FALSE)</f>
        <v>7</v>
      </c>
      <c r="M640" s="14">
        <f>VLOOKUP(B640,weights!A:G,7,FALSE)</f>
        <v>10</v>
      </c>
      <c r="N640" t="s">
        <v>3926</v>
      </c>
      <c r="O640">
        <v>356</v>
      </c>
      <c r="P640">
        <v>48.805770374200002</v>
      </c>
      <c r="Q640">
        <v>2.6193957858100001</v>
      </c>
      <c r="R640" s="22"/>
      <c r="S640" s="22"/>
      <c r="T640" s="22"/>
      <c r="U640" s="24">
        <f>R640+S640/60+T640/3600</f>
        <v>0</v>
      </c>
      <c r="V640" s="28">
        <f>ABS(U640-P640)/P640</f>
        <v>1</v>
      </c>
      <c r="W640" s="22"/>
      <c r="X640" s="22"/>
      <c r="Y640" s="22"/>
      <c r="Z640" s="14">
        <f>W640+X640/60+Y640/3600</f>
        <v>0</v>
      </c>
      <c r="AA640" s="26">
        <f>ABS(Z640-Q640)/Q640</f>
        <v>1</v>
      </c>
      <c r="AB640" s="26"/>
      <c r="AC640" s="14">
        <f>P640</f>
        <v>48.805770374200002</v>
      </c>
      <c r="AD640" s="14">
        <f>Q640</f>
        <v>2.6193957858100001</v>
      </c>
    </row>
    <row r="641" spans="1:30" s="14" customFormat="1">
      <c r="A641" s="12">
        <v>18</v>
      </c>
      <c r="B641" s="12" t="s">
        <v>558</v>
      </c>
      <c r="C641" s="14" t="str">
        <f>VLOOKUP(B641,weights!A:B,2,FALSE)</f>
        <v>M</v>
      </c>
      <c r="D641" s="13">
        <v>639</v>
      </c>
      <c r="E641" s="14" t="s">
        <v>741</v>
      </c>
      <c r="H641" s="18"/>
      <c r="I641" s="18"/>
      <c r="J641" s="14">
        <v>640</v>
      </c>
      <c r="K641" s="14">
        <f>VLOOKUP(B641,weights!A:G,5,FALSE)</f>
        <v>3.86</v>
      </c>
      <c r="L641" s="14">
        <f>VLOOKUP(B641,weights!A:G,6,FALSE)</f>
        <v>7</v>
      </c>
      <c r="M641" s="14">
        <f>VLOOKUP(B641,weights!A:G,7,FALSE)</f>
        <v>10</v>
      </c>
      <c r="N641" t="s">
        <v>5468</v>
      </c>
      <c r="O641">
        <v>357</v>
      </c>
      <c r="P641">
        <v>48.795654820499998</v>
      </c>
      <c r="Q641">
        <v>2.6503876698100002</v>
      </c>
      <c r="R641" s="22"/>
      <c r="S641" s="22"/>
      <c r="T641" s="22"/>
      <c r="U641" s="24">
        <f>R641+S641/60+T641/3600</f>
        <v>0</v>
      </c>
      <c r="V641" s="28">
        <f>ABS(U641-P641)/P641</f>
        <v>1</v>
      </c>
      <c r="W641" s="22"/>
      <c r="X641" s="22"/>
      <c r="Y641" s="22"/>
      <c r="Z641" s="14">
        <f>W641+X641/60+Y641/3600</f>
        <v>0</v>
      </c>
      <c r="AA641" s="26">
        <f>ABS(Z641-Q641)/Q641</f>
        <v>1</v>
      </c>
      <c r="AB641" s="26"/>
      <c r="AC641" s="14">
        <f>P641</f>
        <v>48.795654820499998</v>
      </c>
      <c r="AD641" s="14">
        <f>Q641</f>
        <v>2.6503876698100002</v>
      </c>
    </row>
    <row r="642" spans="1:30" s="14" customFormat="1">
      <c r="A642" s="12">
        <v>19</v>
      </c>
      <c r="B642" s="12" t="s">
        <v>558</v>
      </c>
      <c r="C642" s="14" t="str">
        <f>VLOOKUP(B642,weights!A:B,2,FALSE)</f>
        <v>M</v>
      </c>
      <c r="D642" s="13">
        <v>640</v>
      </c>
      <c r="E642" s="14" t="s">
        <v>742</v>
      </c>
      <c r="H642" s="18"/>
      <c r="I642" s="18"/>
      <c r="J642" s="14">
        <v>641</v>
      </c>
      <c r="K642" s="14">
        <f>VLOOKUP(B642,weights!A:G,5,FALSE)</f>
        <v>3.86</v>
      </c>
      <c r="L642" s="14">
        <f>VLOOKUP(B642,weights!A:G,6,FALSE)</f>
        <v>7</v>
      </c>
      <c r="M642" s="14">
        <f>VLOOKUP(B642,weights!A:G,7,FALSE)</f>
        <v>10</v>
      </c>
      <c r="N642" t="s">
        <v>5072</v>
      </c>
      <c r="O642">
        <v>52</v>
      </c>
      <c r="P642">
        <v>48.770778916200001</v>
      </c>
      <c r="Q642">
        <v>2.6902527822</v>
      </c>
      <c r="R642" s="22"/>
      <c r="S642" s="22"/>
      <c r="T642" s="22"/>
      <c r="U642" s="24">
        <f>R642+S642/60+T642/3600</f>
        <v>0</v>
      </c>
      <c r="V642" s="28">
        <f>ABS(U642-P642)/P642</f>
        <v>1</v>
      </c>
      <c r="W642" s="22"/>
      <c r="X642" s="22"/>
      <c r="Y642" s="22"/>
      <c r="Z642" s="14">
        <f>W642+X642/60+Y642/3600</f>
        <v>0</v>
      </c>
      <c r="AA642" s="26">
        <f>ABS(Z642-Q642)/Q642</f>
        <v>1</v>
      </c>
      <c r="AB642" s="26"/>
      <c r="AC642" s="14">
        <f>P642</f>
        <v>48.770778916200001</v>
      </c>
      <c r="AD642" s="14">
        <f>Q642</f>
        <v>2.6902527822</v>
      </c>
    </row>
    <row r="643" spans="1:30" s="14" customFormat="1">
      <c r="A643" s="12">
        <v>20</v>
      </c>
      <c r="B643" s="12" t="s">
        <v>558</v>
      </c>
      <c r="C643" s="14" t="str">
        <f>VLOOKUP(B643,weights!A:B,2,FALSE)</f>
        <v>M</v>
      </c>
      <c r="D643" s="13">
        <v>641</v>
      </c>
      <c r="E643" s="14" t="s">
        <v>743</v>
      </c>
      <c r="H643" s="18"/>
      <c r="I643" s="18"/>
      <c r="J643" s="14">
        <v>642</v>
      </c>
      <c r="K643" s="14">
        <f>VLOOKUP(B643,weights!A:G,5,FALSE)</f>
        <v>3.86</v>
      </c>
      <c r="L643" s="14">
        <f>VLOOKUP(B643,weights!A:G,6,FALSE)</f>
        <v>7</v>
      </c>
      <c r="M643" s="14">
        <f>VLOOKUP(B643,weights!A:G,7,FALSE)</f>
        <v>10</v>
      </c>
      <c r="N643" t="s">
        <v>4181</v>
      </c>
      <c r="O643">
        <v>53</v>
      </c>
      <c r="P643">
        <v>48.746452320700001</v>
      </c>
      <c r="Q643">
        <v>2.72722937143</v>
      </c>
      <c r="R643" s="22"/>
      <c r="S643" s="22"/>
      <c r="T643" s="22"/>
      <c r="U643" s="24">
        <f>R643+S643/60+T643/3600</f>
        <v>0</v>
      </c>
      <c r="V643" s="28">
        <f>ABS(U643-P643)/P643</f>
        <v>1</v>
      </c>
      <c r="W643" s="22"/>
      <c r="X643" s="22"/>
      <c r="Y643" s="22"/>
      <c r="Z643" s="14">
        <f>W643+X643/60+Y643/3600</f>
        <v>0</v>
      </c>
      <c r="AA643" s="26">
        <f>ABS(Z643-Q643)/Q643</f>
        <v>1</v>
      </c>
      <c r="AB643" s="26"/>
      <c r="AC643" s="14">
        <f>P643</f>
        <v>48.746452320700001</v>
      </c>
      <c r="AD643" s="14">
        <f>Q643</f>
        <v>2.72722937143</v>
      </c>
    </row>
    <row r="644" spans="1:30" s="14" customFormat="1">
      <c r="A644" s="12">
        <v>21</v>
      </c>
      <c r="B644" s="12" t="s">
        <v>558</v>
      </c>
      <c r="C644" s="14" t="str">
        <f>VLOOKUP(B644,weights!A:B,2,FALSE)</f>
        <v>M</v>
      </c>
      <c r="D644" s="13">
        <v>642</v>
      </c>
      <c r="E644" s="14" t="s">
        <v>744</v>
      </c>
      <c r="G644" s="14" t="s">
        <v>746</v>
      </c>
      <c r="H644" s="18"/>
      <c r="I644" s="18" t="s">
        <v>1860</v>
      </c>
      <c r="K644" s="14">
        <f>VLOOKUP(B644,weights!A:G,5,FALSE)</f>
        <v>3.86</v>
      </c>
      <c r="L644" s="14">
        <f>VLOOKUP(B644,weights!A:G,6,FALSE)</f>
        <v>7</v>
      </c>
      <c r="M644" s="14">
        <f>VLOOKUP(B644,weights!A:G,7,FALSE)</f>
        <v>10</v>
      </c>
      <c r="N644" t="s">
        <v>5805</v>
      </c>
      <c r="O644">
        <v>583</v>
      </c>
      <c r="P644">
        <v>48.739487207300002</v>
      </c>
      <c r="Q644">
        <v>2.7588245486699998</v>
      </c>
      <c r="R644" s="22"/>
      <c r="S644" s="22"/>
      <c r="T644" s="22"/>
      <c r="U644" s="24">
        <f>R644+S644/60+T644/3600</f>
        <v>0</v>
      </c>
      <c r="V644" s="28">
        <f>ABS(U644-P644)/P644</f>
        <v>1</v>
      </c>
      <c r="W644" s="22"/>
      <c r="X644" s="22"/>
      <c r="Y644" s="22"/>
      <c r="Z644" s="14">
        <f>W644+X644/60+Y644/3600</f>
        <v>0</v>
      </c>
      <c r="AA644" s="26">
        <f>ABS(Z644-Q644)/Q644</f>
        <v>1</v>
      </c>
      <c r="AB644" s="26"/>
      <c r="AC644" s="14">
        <f>P644</f>
        <v>48.739487207300002</v>
      </c>
      <c r="AD644" s="14">
        <f>Q644</f>
        <v>2.7588245486699998</v>
      </c>
    </row>
    <row r="645" spans="1:30" s="14" customFormat="1">
      <c r="A645" s="12">
        <v>0</v>
      </c>
      <c r="B645" s="12" t="s">
        <v>213</v>
      </c>
      <c r="C645" s="14" t="str">
        <f>VLOOKUP(B645,weights!A:B,2,FALSE)</f>
        <v>P</v>
      </c>
      <c r="D645" s="13">
        <v>643</v>
      </c>
      <c r="E645" s="14" t="s">
        <v>517</v>
      </c>
      <c r="F645" s="14" t="s">
        <v>772</v>
      </c>
      <c r="G645" s="15" t="s">
        <v>72</v>
      </c>
      <c r="H645" s="18"/>
      <c r="I645" s="18" t="s">
        <v>1861</v>
      </c>
      <c r="K645" s="14">
        <f>VLOOKUP(B645,weights!A:G,5,FALSE)</f>
        <v>1.78</v>
      </c>
      <c r="L645" s="14">
        <f>VLOOKUP(B645,weights!A:G,6,FALSE)</f>
        <v>7</v>
      </c>
      <c r="M645" s="14">
        <f>VLOOKUP(B645,weights!A:G,7,FALSE)</f>
        <v>10</v>
      </c>
      <c r="N645" t="s">
        <v>4566</v>
      </c>
      <c r="O645">
        <v>632</v>
      </c>
      <c r="P645">
        <v>48.930757003300002</v>
      </c>
      <c r="Q645">
        <v>2.2841744482799999</v>
      </c>
      <c r="R645" s="22">
        <v>48</v>
      </c>
      <c r="S645" s="22">
        <v>55</v>
      </c>
      <c r="T645" s="22">
        <v>49</v>
      </c>
      <c r="U645" s="24">
        <f>R645+S645/60+T645/3600</f>
        <v>48.930277777777775</v>
      </c>
      <c r="V645" s="28">
        <f>ABS(U645-P645)/P645</f>
        <v>9.7939527523494344E-6</v>
      </c>
      <c r="W645" s="22">
        <v>2</v>
      </c>
      <c r="X645" s="22">
        <v>17</v>
      </c>
      <c r="Y645" s="22">
        <v>3</v>
      </c>
      <c r="Z645" s="14">
        <f>W645+X645/60+Y645/3600</f>
        <v>2.2841666666666667</v>
      </c>
      <c r="AA645" s="26">
        <f>ABS(Z645-Q645)/Q645</f>
        <v>3.4067508894152831E-6</v>
      </c>
      <c r="AB645" s="26"/>
      <c r="AC645" s="24">
        <f>U645</f>
        <v>48.930277777777775</v>
      </c>
      <c r="AD645" s="14">
        <f>Z645</f>
        <v>2.2841666666666667</v>
      </c>
    </row>
    <row r="646" spans="1:30" s="14" customFormat="1">
      <c r="A646" s="12">
        <v>1</v>
      </c>
      <c r="B646" s="12" t="s">
        <v>213</v>
      </c>
      <c r="C646" s="14" t="str">
        <f>VLOOKUP(B646,weights!A:B,2,FALSE)</f>
        <v>P</v>
      </c>
      <c r="D646" s="13">
        <v>644</v>
      </c>
      <c r="E646" s="14" t="s">
        <v>1338</v>
      </c>
      <c r="F646" s="14" t="s">
        <v>774</v>
      </c>
      <c r="G646" s="15"/>
      <c r="H646" s="18"/>
      <c r="I646" s="18"/>
      <c r="K646" s="14">
        <f>VLOOKUP(B646,weights!A:G,5,FALSE)</f>
        <v>1.78</v>
      </c>
      <c r="L646" s="14">
        <f>VLOOKUP(B646,weights!A:G,6,FALSE)</f>
        <v>7</v>
      </c>
      <c r="M646" s="14">
        <f>VLOOKUP(B646,weights!A:G,7,FALSE)</f>
        <v>10</v>
      </c>
      <c r="N646" t="s">
        <v>4497</v>
      </c>
      <c r="O646">
        <v>556</v>
      </c>
      <c r="P646">
        <v>48.931813996899997</v>
      </c>
      <c r="Q646">
        <v>2.2886560059600001</v>
      </c>
      <c r="R646" s="22">
        <v>48</v>
      </c>
      <c r="S646" s="22">
        <v>55</v>
      </c>
      <c r="T646" s="22">
        <v>53</v>
      </c>
      <c r="U646" s="24">
        <f>R646+S646/60+T646/3600</f>
        <v>48.93138888888889</v>
      </c>
      <c r="V646" s="28">
        <f>ABS(U646-P646)/P646</f>
        <v>8.6877631623148744E-6</v>
      </c>
      <c r="W646" s="22">
        <v>2</v>
      </c>
      <c r="X646" s="22">
        <v>17</v>
      </c>
      <c r="Y646" s="22">
        <v>17</v>
      </c>
      <c r="Z646" s="14">
        <f>W646+X646/60+Y646/3600</f>
        <v>2.2880555555555553</v>
      </c>
      <c r="AA646" s="26">
        <f>ABS(Z646-Q646)/Q646</f>
        <v>2.623593947194876E-4</v>
      </c>
      <c r="AB646" s="26"/>
      <c r="AC646" s="24">
        <f>U646</f>
        <v>48.93138888888889</v>
      </c>
      <c r="AD646" s="14">
        <f>Z646</f>
        <v>2.2880555555555553</v>
      </c>
    </row>
    <row r="647" spans="1:30" s="14" customFormat="1">
      <c r="A647" s="12">
        <v>2</v>
      </c>
      <c r="B647" s="12" t="s">
        <v>213</v>
      </c>
      <c r="C647" s="14" t="str">
        <f>VLOOKUP(B647,weights!A:B,2,FALSE)</f>
        <v>P</v>
      </c>
      <c r="D647" s="13">
        <v>645</v>
      </c>
      <c r="E647" s="14" t="s">
        <v>1339</v>
      </c>
      <c r="F647" s="14" t="s">
        <v>775</v>
      </c>
      <c r="G647" s="15"/>
      <c r="H647" s="18"/>
      <c r="I647" s="18"/>
      <c r="K647" s="14">
        <f>VLOOKUP(B647,weights!A:G,5,FALSE)</f>
        <v>1.78</v>
      </c>
      <c r="L647" s="14">
        <f>VLOOKUP(B647,weights!A:G,6,FALSE)</f>
        <v>7</v>
      </c>
      <c r="M647" s="14">
        <f>VLOOKUP(B647,weights!A:G,7,FALSE)</f>
        <v>10</v>
      </c>
      <c r="N647" t="s">
        <v>4536</v>
      </c>
      <c r="O647">
        <v>461</v>
      </c>
      <c r="P647">
        <v>48.933355382199998</v>
      </c>
      <c r="Q647">
        <v>2.29460298939</v>
      </c>
      <c r="R647" s="22">
        <v>48</v>
      </c>
      <c r="S647" s="22">
        <v>56</v>
      </c>
      <c r="T647" s="22">
        <v>0</v>
      </c>
      <c r="U647" s="24">
        <f>R647+S647/60+T647/3600</f>
        <v>48.93333333333333</v>
      </c>
      <c r="V647" s="28">
        <f>ABS(U647-P647)/P647</f>
        <v>4.5058971526151373E-7</v>
      </c>
      <c r="W647" s="22">
        <v>2</v>
      </c>
      <c r="X647" s="22">
        <v>17</v>
      </c>
      <c r="Y647" s="22">
        <v>40</v>
      </c>
      <c r="Z647" s="14">
        <f>W647+X647/60+Y647/3600</f>
        <v>2.2944444444444443</v>
      </c>
      <c r="AA647" s="26">
        <f>ABS(Z647-Q647)/Q647</f>
        <v>6.9094717599849279E-5</v>
      </c>
      <c r="AB647" s="26"/>
      <c r="AC647" s="24">
        <f>U647</f>
        <v>48.93333333333333</v>
      </c>
      <c r="AD647" s="14">
        <f>Z647</f>
        <v>2.2944444444444443</v>
      </c>
    </row>
    <row r="648" spans="1:30" s="14" customFormat="1">
      <c r="A648" s="12">
        <v>3</v>
      </c>
      <c r="B648" s="12" t="s">
        <v>213</v>
      </c>
      <c r="C648" s="14" t="str">
        <f>VLOOKUP(B648,weights!A:B,2,FALSE)</f>
        <v>P</v>
      </c>
      <c r="D648" s="13">
        <v>646</v>
      </c>
      <c r="E648" s="14" t="s">
        <v>1427</v>
      </c>
      <c r="F648" s="14" t="s">
        <v>776</v>
      </c>
      <c r="G648" s="15"/>
      <c r="H648" s="18"/>
      <c r="I648" s="18"/>
      <c r="K648" s="14">
        <f>VLOOKUP(B648,weights!A:G,5,FALSE)</f>
        <v>1.78</v>
      </c>
      <c r="L648" s="14">
        <f>VLOOKUP(B648,weights!A:G,6,FALSE)</f>
        <v>7</v>
      </c>
      <c r="M648" s="14">
        <f>VLOOKUP(B648,weights!A:G,7,FALSE)</f>
        <v>10</v>
      </c>
      <c r="N648" t="s">
        <v>5796</v>
      </c>
      <c r="O648">
        <v>699</v>
      </c>
      <c r="P648">
        <v>48.9332722746</v>
      </c>
      <c r="Q648">
        <v>2.3018263553399998</v>
      </c>
      <c r="R648" s="22">
        <v>48</v>
      </c>
      <c r="S648" s="22">
        <v>56</v>
      </c>
      <c r="T648" s="22">
        <v>0</v>
      </c>
      <c r="U648" s="24">
        <f>R648+S648/60+T648/3600</f>
        <v>48.93333333333333</v>
      </c>
      <c r="V648" s="28">
        <f>ABS(U648-P648)/P648</f>
        <v>1.2477958348503504E-6</v>
      </c>
      <c r="W648" s="22">
        <v>2</v>
      </c>
      <c r="X648" s="22">
        <v>18</v>
      </c>
      <c r="Y648" s="22">
        <v>2</v>
      </c>
      <c r="Z648" s="14">
        <f>W648+X648/60+Y648/3600</f>
        <v>2.3005555555555555</v>
      </c>
      <c r="AA648" s="26">
        <f>ABS(Z648-Q648)/Q648</f>
        <v>5.5208325401966466E-4</v>
      </c>
      <c r="AB648" s="26"/>
      <c r="AC648" s="24">
        <f>U648</f>
        <v>48.93333333333333</v>
      </c>
      <c r="AD648" s="14">
        <f>Z648</f>
        <v>2.3005555555555555</v>
      </c>
    </row>
    <row r="649" spans="1:30" s="14" customFormat="1">
      <c r="A649" s="12">
        <v>4</v>
      </c>
      <c r="B649" s="12" t="s">
        <v>213</v>
      </c>
      <c r="C649" s="14" t="str">
        <f>VLOOKUP(B649,weights!A:B,2,FALSE)</f>
        <v>P</v>
      </c>
      <c r="D649" s="13">
        <v>647</v>
      </c>
      <c r="E649" s="14" t="s">
        <v>1292</v>
      </c>
      <c r="F649" s="14" t="s">
        <v>777</v>
      </c>
      <c r="G649" s="15" t="s">
        <v>1457</v>
      </c>
      <c r="H649" s="18"/>
      <c r="I649" s="18" t="s">
        <v>1862</v>
      </c>
      <c r="K649" s="14">
        <f>VLOOKUP(B649,weights!A:G,5,FALSE)</f>
        <v>1.78</v>
      </c>
      <c r="L649" s="14">
        <f>VLOOKUP(B649,weights!A:G,6,FALSE)</f>
        <v>7</v>
      </c>
      <c r="M649" s="14">
        <f>VLOOKUP(B649,weights!A:G,7,FALSE)</f>
        <v>10</v>
      </c>
      <c r="N649" t="s">
        <v>4132</v>
      </c>
      <c r="O649">
        <v>707</v>
      </c>
      <c r="P649">
        <v>48.933326059099997</v>
      </c>
      <c r="Q649">
        <v>2.3077318189899998</v>
      </c>
      <c r="R649" s="22">
        <v>48</v>
      </c>
      <c r="S649" s="22">
        <v>56</v>
      </c>
      <c r="T649" s="22">
        <v>0</v>
      </c>
      <c r="U649" s="24">
        <f>R649+S649/60+T649/3600</f>
        <v>48.93333333333333</v>
      </c>
      <c r="V649" s="28">
        <f>ABS(U649-P649)/P649</f>
        <v>1.4865601664263655E-7</v>
      </c>
      <c r="W649" s="22">
        <v>2</v>
      </c>
      <c r="X649" s="22">
        <v>18</v>
      </c>
      <c r="Y649" s="22">
        <v>28</v>
      </c>
      <c r="Z649" s="14">
        <f>W649+X649/60+Y649/3600</f>
        <v>2.3077777777777775</v>
      </c>
      <c r="AA649" s="26">
        <f>ABS(Z649-Q649)/Q649</f>
        <v>1.991513372546179E-5</v>
      </c>
      <c r="AB649" s="26"/>
      <c r="AC649" s="24">
        <f>U649</f>
        <v>48.93333333333333</v>
      </c>
      <c r="AD649" s="14">
        <f>Z649</f>
        <v>2.3077777777777775</v>
      </c>
    </row>
    <row r="650" spans="1:30" s="14" customFormat="1">
      <c r="A650" s="12">
        <v>5</v>
      </c>
      <c r="B650" s="12" t="s">
        <v>213</v>
      </c>
      <c r="C650" s="14" t="str">
        <f>VLOOKUP(B650,weights!A:B,2,FALSE)</f>
        <v>P</v>
      </c>
      <c r="D650" s="13">
        <v>648</v>
      </c>
      <c r="E650" s="14" t="s">
        <v>1379</v>
      </c>
      <c r="F650" s="14" t="s">
        <v>778</v>
      </c>
      <c r="G650" s="15"/>
      <c r="H650" s="18"/>
      <c r="I650" s="18"/>
      <c r="K650" s="14">
        <f>VLOOKUP(B650,weights!A:G,5,FALSE)</f>
        <v>1.78</v>
      </c>
      <c r="L650" s="14">
        <f>VLOOKUP(B650,weights!A:G,6,FALSE)</f>
        <v>7</v>
      </c>
      <c r="M650" s="14">
        <f>VLOOKUP(B650,weights!A:G,7,FALSE)</f>
        <v>10</v>
      </c>
      <c r="N650" t="s">
        <v>5097</v>
      </c>
      <c r="O650">
        <v>452</v>
      </c>
      <c r="P650">
        <v>48.933932028900003</v>
      </c>
      <c r="Q650">
        <v>2.3131326405000001</v>
      </c>
      <c r="R650" s="22">
        <v>48</v>
      </c>
      <c r="S650" s="22">
        <v>56</v>
      </c>
      <c r="T650" s="22">
        <v>2</v>
      </c>
      <c r="U650" s="24">
        <f>R650+S650/60+T650/3600</f>
        <v>48.933888888888887</v>
      </c>
      <c r="V650" s="28">
        <f>ABS(U650-P650)/P650</f>
        <v>8.8159707030911188E-7</v>
      </c>
      <c r="W650" s="22">
        <v>2</v>
      </c>
      <c r="X650" s="22">
        <v>18</v>
      </c>
      <c r="Y650" s="22">
        <v>49</v>
      </c>
      <c r="Z650" s="14">
        <f>W650+X650/60+Y650/3600</f>
        <v>2.3136111111111108</v>
      </c>
      <c r="AA650" s="26">
        <f>ABS(Z650-Q650)/Q650</f>
        <v>2.0684962147579284E-4</v>
      </c>
      <c r="AB650" s="26"/>
      <c r="AC650" s="24">
        <f>U650</f>
        <v>48.933888888888887</v>
      </c>
      <c r="AD650" s="14">
        <f>Z650</f>
        <v>2.3136111111111108</v>
      </c>
    </row>
    <row r="651" spans="1:30" s="14" customFormat="1">
      <c r="A651" s="12">
        <v>6</v>
      </c>
      <c r="B651" s="12" t="s">
        <v>213</v>
      </c>
      <c r="C651" s="14" t="str">
        <f>VLOOKUP(B651,weights!A:B,2,FALSE)</f>
        <v>P</v>
      </c>
      <c r="D651" s="13">
        <v>649</v>
      </c>
      <c r="E651" s="14" t="s">
        <v>1265</v>
      </c>
      <c r="F651" s="14" t="s">
        <v>779</v>
      </c>
      <c r="G651" s="15"/>
      <c r="H651" s="18"/>
      <c r="I651" s="18"/>
      <c r="K651" s="14">
        <f>VLOOKUP(B651,weights!A:G,5,FALSE)</f>
        <v>1.78</v>
      </c>
      <c r="L651" s="14">
        <f>VLOOKUP(B651,weights!A:G,6,FALSE)</f>
        <v>7</v>
      </c>
      <c r="M651" s="14">
        <f>VLOOKUP(B651,weights!A:G,7,FALSE)</f>
        <v>10</v>
      </c>
      <c r="N651" t="s">
        <v>3672</v>
      </c>
      <c r="O651">
        <v>451</v>
      </c>
      <c r="P651">
        <v>48.934608567700003</v>
      </c>
      <c r="Q651">
        <v>2.3214951981700001</v>
      </c>
      <c r="R651" s="22">
        <v>48</v>
      </c>
      <c r="S651" s="22">
        <v>56</v>
      </c>
      <c r="T651" s="22">
        <v>4</v>
      </c>
      <c r="U651" s="24">
        <f>R651+S651/60+T651/3600</f>
        <v>48.934444444444438</v>
      </c>
      <c r="V651" s="28">
        <f>ABS(U651-P651)/P651</f>
        <v>3.3539300787197191E-6</v>
      </c>
      <c r="W651" s="22">
        <v>2</v>
      </c>
      <c r="X651" s="22">
        <v>19</v>
      </c>
      <c r="Y651" s="22">
        <v>17</v>
      </c>
      <c r="Z651" s="14">
        <f>W651+X651/60+Y651/3600</f>
        <v>2.3213888888888885</v>
      </c>
      <c r="AA651" s="26">
        <f>ABS(Z651-Q651)/Q651</f>
        <v>4.5793452941600567E-5</v>
      </c>
      <c r="AB651" s="26"/>
      <c r="AC651" s="24">
        <f>U651</f>
        <v>48.934444444444438</v>
      </c>
      <c r="AD651" s="14">
        <f>Z651</f>
        <v>2.3213888888888885</v>
      </c>
    </row>
    <row r="652" spans="1:30" s="14" customFormat="1">
      <c r="A652" s="12">
        <v>7</v>
      </c>
      <c r="B652" s="12" t="s">
        <v>213</v>
      </c>
      <c r="C652" s="14" t="str">
        <f>VLOOKUP(B652,weights!A:B,2,FALSE)</f>
        <v>P</v>
      </c>
      <c r="D652" s="13">
        <v>650</v>
      </c>
      <c r="E652" s="14" t="s">
        <v>1330</v>
      </c>
      <c r="F652" s="14" t="s">
        <v>780</v>
      </c>
      <c r="G652" s="15"/>
      <c r="H652" s="18"/>
      <c r="I652" s="18"/>
      <c r="K652" s="14">
        <f>VLOOKUP(B652,weights!A:G,5,FALSE)</f>
        <v>1.78</v>
      </c>
      <c r="L652" s="14">
        <f>VLOOKUP(B652,weights!A:G,6,FALSE)</f>
        <v>7</v>
      </c>
      <c r="M652" s="14">
        <f>VLOOKUP(B652,weights!A:G,7,FALSE)</f>
        <v>10</v>
      </c>
      <c r="N652" t="s">
        <v>4429</v>
      </c>
      <c r="O652">
        <v>624</v>
      </c>
      <c r="P652">
        <v>48.934975826699997</v>
      </c>
      <c r="Q652">
        <v>2.32679331227</v>
      </c>
      <c r="R652" s="22">
        <v>48</v>
      </c>
      <c r="S652" s="22">
        <v>56</v>
      </c>
      <c r="T652" s="22">
        <v>6</v>
      </c>
      <c r="U652" s="24">
        <f>R652+S652/60+T652/3600</f>
        <v>48.934999999999995</v>
      </c>
      <c r="V652" s="28">
        <f>ABS(U652-P652)/P652</f>
        <v>4.9398818717642381E-7</v>
      </c>
      <c r="W652" s="22">
        <v>2</v>
      </c>
      <c r="X652" s="22">
        <v>19</v>
      </c>
      <c r="Y652" s="22">
        <v>40</v>
      </c>
      <c r="Z652" s="14">
        <f>W652+X652/60+Y652/3600</f>
        <v>2.3277777777777775</v>
      </c>
      <c r="AA652" s="26">
        <f>ABS(Z652-Q652)/Q652</f>
        <v>4.2309968082944845E-4</v>
      </c>
      <c r="AB652" s="26"/>
      <c r="AC652" s="24">
        <f>U652</f>
        <v>48.934999999999995</v>
      </c>
      <c r="AD652" s="14">
        <f>Z652</f>
        <v>2.3277777777777775</v>
      </c>
    </row>
    <row r="653" spans="1:30" s="14" customFormat="1">
      <c r="A653" s="12">
        <v>8</v>
      </c>
      <c r="B653" s="12" t="s">
        <v>213</v>
      </c>
      <c r="C653" s="14" t="str">
        <f>VLOOKUP(B653,weights!A:B,2,FALSE)</f>
        <v>P</v>
      </c>
      <c r="D653" s="13">
        <v>651</v>
      </c>
      <c r="E653" s="14" t="s">
        <v>1358</v>
      </c>
      <c r="F653" s="14" t="s">
        <v>781</v>
      </c>
      <c r="G653" s="15"/>
      <c r="H653" s="18"/>
      <c r="I653" s="18"/>
      <c r="K653" s="14">
        <f>VLOOKUP(B653,weights!A:G,5,FALSE)</f>
        <v>1.78</v>
      </c>
      <c r="L653" s="14">
        <f>VLOOKUP(B653,weights!A:G,6,FALSE)</f>
        <v>7</v>
      </c>
      <c r="M653" s="14">
        <f>VLOOKUP(B653,weights!A:G,7,FALSE)</f>
        <v>10</v>
      </c>
      <c r="N653" t="s">
        <v>4727</v>
      </c>
      <c r="O653">
        <v>623</v>
      </c>
      <c r="P653">
        <v>48.935605709299999</v>
      </c>
      <c r="Q653">
        <v>2.3343329131599999</v>
      </c>
      <c r="R653" s="22">
        <v>48</v>
      </c>
      <c r="S653" s="22">
        <v>56</v>
      </c>
      <c r="T653" s="22">
        <v>8</v>
      </c>
      <c r="U653" s="24">
        <f>R653+S653/60+T653/3600</f>
        <v>48.935555555555553</v>
      </c>
      <c r="V653" s="28">
        <f>ABS(U653-P653)/P653</f>
        <v>1.0248926874294139E-6</v>
      </c>
      <c r="W653" s="22">
        <v>2</v>
      </c>
      <c r="X653" s="22">
        <v>20</v>
      </c>
      <c r="Y653" s="22">
        <v>0</v>
      </c>
      <c r="Z653" s="14">
        <f>W653+X653/60+Y653/3600</f>
        <v>2.3333333333333335</v>
      </c>
      <c r="AA653" s="26">
        <f>ABS(Z653-Q653)/Q653</f>
        <v>4.2820791371753962E-4</v>
      </c>
      <c r="AB653" s="26"/>
      <c r="AC653" s="24">
        <f>U653</f>
        <v>48.935555555555553</v>
      </c>
      <c r="AD653" s="14">
        <f>Z653</f>
        <v>2.3333333333333335</v>
      </c>
    </row>
    <row r="654" spans="1:30" s="14" customFormat="1">
      <c r="A654" s="12">
        <v>9</v>
      </c>
      <c r="B654" s="12" t="s">
        <v>213</v>
      </c>
      <c r="C654" s="14" t="str">
        <f>VLOOKUP(B654,weights!A:B,2,FALSE)</f>
        <v>P</v>
      </c>
      <c r="D654" s="13">
        <v>652</v>
      </c>
      <c r="E654" s="14" t="s">
        <v>783</v>
      </c>
      <c r="F654" s="14" t="s">
        <v>782</v>
      </c>
      <c r="G654" s="15"/>
      <c r="H654" s="18"/>
      <c r="I654" s="18"/>
      <c r="K654" s="14">
        <f>VLOOKUP(B654,weights!A:G,5,FALSE)</f>
        <v>1.78</v>
      </c>
      <c r="L654" s="14">
        <f>VLOOKUP(B654,weights!A:G,6,FALSE)</f>
        <v>7</v>
      </c>
      <c r="M654" s="14">
        <f>VLOOKUP(B654,weights!A:G,7,FALSE)</f>
        <v>10</v>
      </c>
      <c r="N654" t="s">
        <v>4351</v>
      </c>
      <c r="O654">
        <v>622</v>
      </c>
      <c r="P654">
        <v>48.935748042100002</v>
      </c>
      <c r="Q654">
        <v>2.33910838701</v>
      </c>
      <c r="R654" s="22">
        <v>48</v>
      </c>
      <c r="S654" s="22">
        <v>56</v>
      </c>
      <c r="T654" s="22">
        <v>9</v>
      </c>
      <c r="U654" s="24">
        <f>R654+S654/60+T654/3600</f>
        <v>48.935833333333328</v>
      </c>
      <c r="V654" s="28">
        <f>ABS(U654-P654)/P654</f>
        <v>1.7429228475758338E-6</v>
      </c>
      <c r="W654" s="22">
        <v>2</v>
      </c>
      <c r="X654" s="22">
        <v>20</v>
      </c>
      <c r="Y654" s="22">
        <v>21</v>
      </c>
      <c r="Z654" s="14">
        <f>W654+X654/60+Y654/3600</f>
        <v>2.3391666666666668</v>
      </c>
      <c r="AA654" s="26">
        <f>ABS(Z654-Q654)/Q654</f>
        <v>2.4915329700186865E-5</v>
      </c>
      <c r="AB654" s="26"/>
      <c r="AC654" s="24">
        <f>U654</f>
        <v>48.935833333333328</v>
      </c>
      <c r="AD654" s="14">
        <f>Z654</f>
        <v>2.3391666666666668</v>
      </c>
    </row>
    <row r="655" spans="1:30" s="14" customFormat="1">
      <c r="A655" s="12">
        <v>10</v>
      </c>
      <c r="B655" s="12" t="s">
        <v>213</v>
      </c>
      <c r="C655" s="14" t="str">
        <f>VLOOKUP(B655,weights!A:B,2,FALSE)</f>
        <v>P</v>
      </c>
      <c r="D655" s="13">
        <v>653</v>
      </c>
      <c r="E655" s="14" t="s">
        <v>1294</v>
      </c>
      <c r="F655" s="14" t="s">
        <v>784</v>
      </c>
      <c r="G655" s="15" t="s">
        <v>1455</v>
      </c>
      <c r="H655" s="18" t="s">
        <v>1864</v>
      </c>
      <c r="I655" s="18" t="s">
        <v>1863</v>
      </c>
      <c r="K655" s="14">
        <f>VLOOKUP(B655,weights!A:G,5,FALSE)</f>
        <v>1.78</v>
      </c>
      <c r="L655" s="14">
        <f>VLOOKUP(B655,weights!A:G,6,FALSE)</f>
        <v>7</v>
      </c>
      <c r="M655" s="14">
        <f>VLOOKUP(B655,weights!A:G,7,FALSE)</f>
        <v>10</v>
      </c>
      <c r="N655" t="s">
        <v>5529</v>
      </c>
      <c r="O655">
        <v>565</v>
      </c>
      <c r="P655">
        <v>48.936030605900001</v>
      </c>
      <c r="Q655">
        <v>2.3452746846800001</v>
      </c>
      <c r="R655" s="22">
        <v>48</v>
      </c>
      <c r="S655" s="22">
        <v>56</v>
      </c>
      <c r="T655" s="22">
        <v>10</v>
      </c>
      <c r="U655" s="24">
        <f>R655+S655/60+T655/3600</f>
        <v>48.93611111111111</v>
      </c>
      <c r="V655" s="28">
        <f>ABS(U655-P655)/P655</f>
        <v>1.6451111811124601E-6</v>
      </c>
      <c r="W655" s="22">
        <v>2</v>
      </c>
      <c r="X655" s="22">
        <v>20</v>
      </c>
      <c r="Y655" s="22">
        <v>47</v>
      </c>
      <c r="Z655" s="14">
        <f>W655+X655/60+Y655/3600</f>
        <v>2.3463888888888889</v>
      </c>
      <c r="AA655" s="26">
        <f>ABS(Z655-Q655)/Q655</f>
        <v>4.7508473790598829E-4</v>
      </c>
      <c r="AB655" s="26"/>
      <c r="AC655" s="24">
        <f>U655</f>
        <v>48.93611111111111</v>
      </c>
      <c r="AD655" s="14">
        <f>Z655</f>
        <v>2.3463888888888889</v>
      </c>
    </row>
    <row r="656" spans="1:30" s="14" customFormat="1">
      <c r="A656" s="12">
        <v>11</v>
      </c>
      <c r="B656" s="12" t="s">
        <v>213</v>
      </c>
      <c r="C656" s="14" t="str">
        <f>VLOOKUP(B656,weights!A:B,2,FALSE)</f>
        <v>P</v>
      </c>
      <c r="D656" s="13">
        <v>654</v>
      </c>
      <c r="E656" s="14" t="s">
        <v>1426</v>
      </c>
      <c r="F656" s="14" t="s">
        <v>785</v>
      </c>
      <c r="G656" s="15"/>
      <c r="H656" s="18"/>
      <c r="I656" s="18"/>
      <c r="K656" s="14">
        <f>VLOOKUP(B656,weights!A:G,5,FALSE)</f>
        <v>1.78</v>
      </c>
      <c r="L656" s="14">
        <f>VLOOKUP(B656,weights!A:G,6,FALSE)</f>
        <v>7</v>
      </c>
      <c r="M656" s="14">
        <f>VLOOKUP(B656,weights!A:G,7,FALSE)</f>
        <v>10</v>
      </c>
      <c r="N656" t="s">
        <v>5784</v>
      </c>
      <c r="O656">
        <v>566</v>
      </c>
      <c r="P656">
        <v>48.937509896400002</v>
      </c>
      <c r="Q656">
        <v>2.3504000185399998</v>
      </c>
      <c r="R656" s="22">
        <v>48</v>
      </c>
      <c r="S656" s="22">
        <v>56</v>
      </c>
      <c r="T656" s="22">
        <v>15</v>
      </c>
      <c r="U656" s="24">
        <f>R656+S656/60+T656/3600</f>
        <v>48.9375</v>
      </c>
      <c r="V656" s="28">
        <f>ABS(U656-P656)/P656</f>
        <v>2.0222524649615798E-7</v>
      </c>
      <c r="W656" s="22">
        <v>2</v>
      </c>
      <c r="X656" s="22">
        <v>21</v>
      </c>
      <c r="Y656" s="22">
        <v>1</v>
      </c>
      <c r="Z656" s="14">
        <f>W656+X656/60+Y656/3600</f>
        <v>2.3502777777777779</v>
      </c>
      <c r="AA656" s="26">
        <f>ABS(Z656-Q656)/Q656</f>
        <v>5.2008492706626509E-5</v>
      </c>
      <c r="AB656" s="26"/>
      <c r="AC656" s="24">
        <f>U656</f>
        <v>48.9375</v>
      </c>
      <c r="AD656" s="14">
        <f>Z656</f>
        <v>2.3502777777777779</v>
      </c>
    </row>
    <row r="657" spans="1:30" s="14" customFormat="1">
      <c r="A657" s="12">
        <v>12</v>
      </c>
      <c r="B657" s="12" t="s">
        <v>213</v>
      </c>
      <c r="C657" s="14" t="str">
        <f>VLOOKUP(B657,weights!A:B,2,FALSE)</f>
        <v>P</v>
      </c>
      <c r="D657" s="13">
        <v>655</v>
      </c>
      <c r="E657" s="14" t="s">
        <v>1359</v>
      </c>
      <c r="F657" s="14" t="s">
        <v>786</v>
      </c>
      <c r="G657" s="15" t="s">
        <v>523</v>
      </c>
      <c r="H657" s="18" t="s">
        <v>1758</v>
      </c>
      <c r="I657" s="18"/>
      <c r="K657" s="14">
        <f>VLOOKUP(B657,weights!A:G,5,FALSE)</f>
        <v>1.78</v>
      </c>
      <c r="L657" s="14">
        <f>VLOOKUP(B657,weights!A:G,6,FALSE)</f>
        <v>7</v>
      </c>
      <c r="M657" s="14">
        <f>VLOOKUP(B657,weights!A:G,7,FALSE)</f>
        <v>10</v>
      </c>
      <c r="N657" t="s">
        <v>4778</v>
      </c>
      <c r="O657">
        <v>307</v>
      </c>
      <c r="P657">
        <v>48.938616483700002</v>
      </c>
      <c r="Q657">
        <v>2.3561784586000001</v>
      </c>
      <c r="R657" s="22">
        <v>48</v>
      </c>
      <c r="S657" s="22">
        <v>56</v>
      </c>
      <c r="T657" s="22">
        <v>19</v>
      </c>
      <c r="U657" s="24">
        <f>R657+S657/60+T657/3600</f>
        <v>48.938611111111108</v>
      </c>
      <c r="V657" s="28">
        <f>ABS(U657-P657)/P657</f>
        <v>1.0978219820431983E-7</v>
      </c>
      <c r="W657" s="22">
        <v>2</v>
      </c>
      <c r="X657" s="22">
        <v>21</v>
      </c>
      <c r="Y657" s="22">
        <v>21</v>
      </c>
      <c r="Z657" s="14">
        <f>W657+X657/60+Y657/3600</f>
        <v>2.3558333333333334</v>
      </c>
      <c r="AA657" s="26">
        <f>ABS(Z657-Q657)/Q657</f>
        <v>1.4647670909940423E-4</v>
      </c>
      <c r="AB657" s="26"/>
      <c r="AC657" s="24">
        <f>U657</f>
        <v>48.938611111111108</v>
      </c>
      <c r="AD657" s="14">
        <f>Z657</f>
        <v>2.3558333333333334</v>
      </c>
    </row>
    <row r="658" spans="1:30" s="14" customFormat="1">
      <c r="A658" s="12">
        <v>13</v>
      </c>
      <c r="B658" s="12" t="s">
        <v>213</v>
      </c>
      <c r="C658" s="14" t="str">
        <f>VLOOKUP(B658,weights!A:B,2,FALSE)</f>
        <v>P</v>
      </c>
      <c r="D658" s="13">
        <v>656</v>
      </c>
      <c r="E658" s="14" t="s">
        <v>518</v>
      </c>
      <c r="F658" s="14" t="s">
        <v>787</v>
      </c>
      <c r="G658" s="15" t="s">
        <v>72</v>
      </c>
      <c r="H658" s="18"/>
      <c r="I658" s="18" t="s">
        <v>1865</v>
      </c>
      <c r="K658" s="14">
        <f>VLOOKUP(B658,weights!A:G,5,FALSE)</f>
        <v>1.78</v>
      </c>
      <c r="L658" s="14">
        <f>VLOOKUP(B658,weights!A:G,6,FALSE)</f>
        <v>7</v>
      </c>
      <c r="M658" s="14">
        <f>VLOOKUP(B658,weights!A:G,7,FALSE)</f>
        <v>10</v>
      </c>
      <c r="N658" t="s">
        <v>3283</v>
      </c>
      <c r="O658">
        <v>472</v>
      </c>
      <c r="P658">
        <v>48.9373047355</v>
      </c>
      <c r="Q658">
        <v>2.3600721416399999</v>
      </c>
      <c r="R658" s="22">
        <v>48</v>
      </c>
      <c r="S658" s="22">
        <v>56</v>
      </c>
      <c r="T658" s="22">
        <v>17</v>
      </c>
      <c r="U658" s="24">
        <f>R658+S658/60+T658/3600</f>
        <v>48.93805555555555</v>
      </c>
      <c r="V658" s="28">
        <f>ABS(U658-P658)/P658</f>
        <v>1.5342488917374861E-5</v>
      </c>
      <c r="W658" s="22">
        <v>2</v>
      </c>
      <c r="X658" s="22">
        <v>21</v>
      </c>
      <c r="Y658" s="22">
        <v>39</v>
      </c>
      <c r="Z658" s="14">
        <f>W658+X658/60+Y658/3600</f>
        <v>2.3608333333333333</v>
      </c>
      <c r="AA658" s="26">
        <f>ABS(Z658-Q658)/Q658</f>
        <v>3.2252899388257388E-4</v>
      </c>
      <c r="AB658" s="26"/>
      <c r="AC658" s="24">
        <f>U658</f>
        <v>48.93805555555555</v>
      </c>
      <c r="AD658" s="14">
        <f>Z658</f>
        <v>2.3608333333333333</v>
      </c>
    </row>
    <row r="659" spans="1:30" s="14" customFormat="1">
      <c r="A659" s="12">
        <v>14</v>
      </c>
      <c r="B659" s="12" t="s">
        <v>213</v>
      </c>
      <c r="C659" s="14" t="str">
        <f>VLOOKUP(B659,weights!A:B,2,FALSE)</f>
        <v>P</v>
      </c>
      <c r="D659" s="13">
        <v>657</v>
      </c>
      <c r="E659" s="14" t="s">
        <v>1266</v>
      </c>
      <c r="F659" s="14" t="s">
        <v>788</v>
      </c>
      <c r="G659" s="15"/>
      <c r="H659" s="18"/>
      <c r="I659" s="18"/>
      <c r="K659" s="14">
        <f>VLOOKUP(B659,weights!A:G,5,FALSE)</f>
        <v>1.78</v>
      </c>
      <c r="L659" s="14">
        <f>VLOOKUP(B659,weights!A:G,6,FALSE)</f>
        <v>7</v>
      </c>
      <c r="M659" s="14">
        <f>VLOOKUP(B659,weights!A:G,7,FALSE)</f>
        <v>10</v>
      </c>
      <c r="N659" t="s">
        <v>3696</v>
      </c>
      <c r="O659">
        <v>120</v>
      </c>
      <c r="P659">
        <v>48.936389147100002</v>
      </c>
      <c r="Q659">
        <v>2.3636407022000001</v>
      </c>
      <c r="R659" s="22">
        <v>48</v>
      </c>
      <c r="S659" s="22">
        <v>56</v>
      </c>
      <c r="T659" s="22">
        <v>11</v>
      </c>
      <c r="U659" s="24">
        <f>R659+S659/60+T659/3600</f>
        <v>48.936388888888885</v>
      </c>
      <c r="V659" s="28">
        <f>ABS(U659-P659)/P659</f>
        <v>5.2764644263436515E-9</v>
      </c>
      <c r="W659" s="22">
        <v>2</v>
      </c>
      <c r="X659" s="22">
        <v>21</v>
      </c>
      <c r="Y659" s="22">
        <v>50</v>
      </c>
      <c r="Z659" s="14">
        <f>W659+X659/60+Y659/3600</f>
        <v>2.3638888888888889</v>
      </c>
      <c r="AA659" s="26">
        <f>ABS(Z659-Q659)/Q659</f>
        <v>1.0500186794795603E-4</v>
      </c>
      <c r="AB659" s="26"/>
      <c r="AC659" s="24">
        <f>U659</f>
        <v>48.936388888888885</v>
      </c>
      <c r="AD659" s="14">
        <f>Z659</f>
        <v>2.3638888888888889</v>
      </c>
    </row>
    <row r="660" spans="1:30" s="14" customFormat="1">
      <c r="A660" s="12">
        <v>15</v>
      </c>
      <c r="B660" s="12" t="s">
        <v>213</v>
      </c>
      <c r="C660" s="14" t="str">
        <f>VLOOKUP(B660,weights!A:B,2,FALSE)</f>
        <v>P</v>
      </c>
      <c r="D660" s="13">
        <v>658</v>
      </c>
      <c r="E660" s="14" t="s">
        <v>1309</v>
      </c>
      <c r="F660" s="14" t="s">
        <v>789</v>
      </c>
      <c r="G660" s="15"/>
      <c r="H660" s="18"/>
      <c r="I660" s="18"/>
      <c r="K660" s="14">
        <f>VLOOKUP(B660,weights!A:G,5,FALSE)</f>
        <v>1.78</v>
      </c>
      <c r="L660" s="14">
        <f>VLOOKUP(B660,weights!A:G,6,FALSE)</f>
        <v>7</v>
      </c>
      <c r="M660" s="14">
        <f>VLOOKUP(B660,weights!A:G,7,FALSE)</f>
        <v>10</v>
      </c>
      <c r="N660" t="s">
        <v>4233</v>
      </c>
      <c r="O660">
        <v>633</v>
      </c>
      <c r="P660">
        <v>48.933586403699998</v>
      </c>
      <c r="Q660">
        <v>2.37108317162</v>
      </c>
      <c r="R660" s="22">
        <v>48</v>
      </c>
      <c r="S660" s="22">
        <v>56</v>
      </c>
      <c r="T660" s="22">
        <v>1</v>
      </c>
      <c r="U660" s="24">
        <f>R660+S660/60+T660/3600</f>
        <v>48.933611111111105</v>
      </c>
      <c r="V660" s="28">
        <f>ABS(U660-P660)/P660</f>
        <v>5.0491723421694353E-7</v>
      </c>
      <c r="W660" s="22">
        <v>2</v>
      </c>
      <c r="X660" s="22">
        <v>22</v>
      </c>
      <c r="Y660" s="22">
        <v>16</v>
      </c>
      <c r="Z660" s="14">
        <f>W660+X660/60+Y660/3600</f>
        <v>2.3711111111111109</v>
      </c>
      <c r="AA660" s="26">
        <f>ABS(Z660-Q660)/Q660</f>
        <v>1.1783429381693679E-5</v>
      </c>
      <c r="AB660" s="26"/>
      <c r="AC660" s="24">
        <f>U660</f>
        <v>48.933611111111105</v>
      </c>
      <c r="AD660" s="14">
        <f>Z660</f>
        <v>2.3711111111111109</v>
      </c>
    </row>
    <row r="661" spans="1:30" s="14" customFormat="1">
      <c r="A661" s="12">
        <v>16</v>
      </c>
      <c r="B661" s="12" t="s">
        <v>213</v>
      </c>
      <c r="C661" s="14" t="str">
        <f>VLOOKUP(B661,weights!A:B,2,FALSE)</f>
        <v>P</v>
      </c>
      <c r="D661" s="13">
        <v>659</v>
      </c>
      <c r="E661" s="14" t="s">
        <v>1270</v>
      </c>
      <c r="F661" s="14" t="s">
        <v>790</v>
      </c>
      <c r="G661" s="15"/>
      <c r="H661" s="18"/>
      <c r="I661" s="18"/>
      <c r="K661" s="14">
        <f>VLOOKUP(B661,weights!A:G,5,FALSE)</f>
        <v>1.78</v>
      </c>
      <c r="L661" s="14">
        <f>VLOOKUP(B661,weights!A:G,6,FALSE)</f>
        <v>7</v>
      </c>
      <c r="M661" s="14">
        <f>VLOOKUP(B661,weights!A:G,7,FALSE)</f>
        <v>10</v>
      </c>
      <c r="N661" t="s">
        <v>3769</v>
      </c>
      <c r="O661">
        <v>330</v>
      </c>
      <c r="P661">
        <v>48.931734825500001</v>
      </c>
      <c r="Q661">
        <v>2.3782254904000002</v>
      </c>
      <c r="R661" s="22">
        <v>48</v>
      </c>
      <c r="S661" s="22">
        <v>55</v>
      </c>
      <c r="T661" s="22">
        <v>54</v>
      </c>
      <c r="U661" s="24">
        <f>R661+S661/60+T661/3600</f>
        <v>48.931666666666665</v>
      </c>
      <c r="V661" s="28">
        <f>ABS(U661-P661)/P661</f>
        <v>1.3929371925910205E-6</v>
      </c>
      <c r="W661" s="22">
        <v>2</v>
      </c>
      <c r="X661" s="22">
        <v>22</v>
      </c>
      <c r="Y661" s="22">
        <v>41</v>
      </c>
      <c r="Z661" s="14">
        <f>W661+X661/60+Y661/3600</f>
        <v>2.3780555555555556</v>
      </c>
      <c r="AA661" s="26">
        <f>ABS(Z661-Q661)/Q661</f>
        <v>7.1454471045984062E-5</v>
      </c>
      <c r="AB661" s="26"/>
      <c r="AC661" s="24">
        <f>U661</f>
        <v>48.931666666666665</v>
      </c>
      <c r="AD661" s="14">
        <f>Z661</f>
        <v>2.3780555555555556</v>
      </c>
    </row>
    <row r="662" spans="1:30" s="14" customFormat="1">
      <c r="A662" s="12">
        <v>17</v>
      </c>
      <c r="B662" s="12" t="s">
        <v>213</v>
      </c>
      <c r="C662" s="14" t="str">
        <f>VLOOKUP(B662,weights!A:B,2,FALSE)</f>
        <v>P</v>
      </c>
      <c r="D662" s="13">
        <v>660</v>
      </c>
      <c r="E662" s="14" t="s">
        <v>1326</v>
      </c>
      <c r="F662" s="14" t="s">
        <v>791</v>
      </c>
      <c r="G662" s="15"/>
      <c r="H662" s="18"/>
      <c r="I662" s="18"/>
      <c r="K662" s="14">
        <f>VLOOKUP(B662,weights!A:G,5,FALSE)</f>
        <v>1.78</v>
      </c>
      <c r="L662" s="14">
        <f>VLOOKUP(B662,weights!A:G,6,FALSE)</f>
        <v>7</v>
      </c>
      <c r="M662" s="14">
        <f>VLOOKUP(B662,weights!A:G,7,FALSE)</f>
        <v>10</v>
      </c>
      <c r="N662" t="s">
        <v>5713</v>
      </c>
      <c r="O662">
        <v>304</v>
      </c>
      <c r="P662">
        <v>48.9299710262</v>
      </c>
      <c r="Q662">
        <v>2.3847588614399999</v>
      </c>
      <c r="R662" s="22">
        <v>48</v>
      </c>
      <c r="S662" s="22">
        <v>55</v>
      </c>
      <c r="T662" s="22">
        <v>48</v>
      </c>
      <c r="U662" s="24">
        <f>R662+S662/60+T662/3600</f>
        <v>48.93</v>
      </c>
      <c r="V662" s="28">
        <f>ABS(U662-P662)/P662</f>
        <v>5.921483171062362E-7</v>
      </c>
      <c r="W662" s="22">
        <v>2</v>
      </c>
      <c r="X662" s="22">
        <v>23</v>
      </c>
      <c r="Y662" s="22">
        <v>5</v>
      </c>
      <c r="Z662" s="14">
        <f>W662+X662/60+Y662/3600</f>
        <v>2.3847222222222224</v>
      </c>
      <c r="AA662" s="26">
        <f>ABS(Z662-Q662)/Q662</f>
        <v>1.536390885047354E-5</v>
      </c>
      <c r="AB662" s="26"/>
      <c r="AC662" s="24">
        <f>U662</f>
        <v>48.93</v>
      </c>
      <c r="AD662" s="14">
        <f>Z662</f>
        <v>2.3847222222222224</v>
      </c>
    </row>
    <row r="663" spans="1:30" s="14" customFormat="1">
      <c r="A663" s="12">
        <v>18</v>
      </c>
      <c r="B663" s="12" t="s">
        <v>213</v>
      </c>
      <c r="C663" s="14" t="str">
        <f>VLOOKUP(B663,weights!A:B,2,FALSE)</f>
        <v>P</v>
      </c>
      <c r="D663" s="13">
        <v>661</v>
      </c>
      <c r="E663" s="14" t="s">
        <v>1312</v>
      </c>
      <c r="F663" s="14" t="s">
        <v>792</v>
      </c>
      <c r="G663" s="15"/>
      <c r="H663" s="18"/>
      <c r="I663" s="18"/>
      <c r="K663" s="14">
        <f>VLOOKUP(B663,weights!A:G,5,FALSE)</f>
        <v>1.78</v>
      </c>
      <c r="L663" s="14">
        <f>VLOOKUP(B663,weights!A:G,6,FALSE)</f>
        <v>7</v>
      </c>
      <c r="M663" s="14">
        <f>VLOOKUP(B663,weights!A:G,7,FALSE)</f>
        <v>10</v>
      </c>
      <c r="N663" t="s">
        <v>4246</v>
      </c>
      <c r="O663">
        <v>634</v>
      </c>
      <c r="P663">
        <v>48.927402890800003</v>
      </c>
      <c r="Q663">
        <v>2.3924711193300001</v>
      </c>
      <c r="R663" s="22">
        <v>48</v>
      </c>
      <c r="S663" s="22">
        <v>55</v>
      </c>
      <c r="T663" s="22">
        <v>39</v>
      </c>
      <c r="U663" s="24">
        <f>R663+S663/60+T663/3600</f>
        <v>48.927499999999995</v>
      </c>
      <c r="V663" s="28">
        <f>ABS(U663-P663)/P663</f>
        <v>1.9847609775700411E-6</v>
      </c>
      <c r="W663" s="22">
        <v>2</v>
      </c>
      <c r="X663" s="22">
        <v>23</v>
      </c>
      <c r="Y663" s="22">
        <v>32</v>
      </c>
      <c r="Z663" s="14">
        <f>W663+X663/60+Y663/3600</f>
        <v>2.3922222222222222</v>
      </c>
      <c r="AA663" s="26">
        <f>ABS(Z663-Q663)/Q663</f>
        <v>1.0403348477935663E-4</v>
      </c>
      <c r="AB663" s="26"/>
      <c r="AC663" s="24">
        <f>U663</f>
        <v>48.927499999999995</v>
      </c>
      <c r="AD663" s="14">
        <f>Z663</f>
        <v>2.3922222222222222</v>
      </c>
    </row>
    <row r="664" spans="1:30" s="14" customFormat="1">
      <c r="A664" s="12">
        <v>19</v>
      </c>
      <c r="B664" s="12" t="s">
        <v>213</v>
      </c>
      <c r="C664" s="14" t="str">
        <f>VLOOKUP(B664,weights!A:B,2,FALSE)</f>
        <v>P</v>
      </c>
      <c r="D664" s="13">
        <v>662</v>
      </c>
      <c r="E664" s="14" t="s">
        <v>1420</v>
      </c>
      <c r="F664" s="14" t="s">
        <v>793</v>
      </c>
      <c r="G664" s="15"/>
      <c r="H664" s="18"/>
      <c r="I664" s="18"/>
      <c r="K664" s="14">
        <f>VLOOKUP(B664,weights!A:G,5,FALSE)</f>
        <v>1.78</v>
      </c>
      <c r="L664" s="14">
        <f>VLOOKUP(B664,weights!A:G,6,FALSE)</f>
        <v>7</v>
      </c>
      <c r="M664" s="14">
        <f>VLOOKUP(B664,weights!A:G,7,FALSE)</f>
        <v>10</v>
      </c>
      <c r="N664" t="s">
        <v>5731</v>
      </c>
      <c r="O664">
        <v>471</v>
      </c>
      <c r="P664">
        <v>48.924375143399999</v>
      </c>
      <c r="Q664">
        <v>2.4020734143600002</v>
      </c>
      <c r="R664" s="22">
        <v>48</v>
      </c>
      <c r="S664" s="22">
        <v>55</v>
      </c>
      <c r="T664" s="22">
        <v>28</v>
      </c>
      <c r="U664" s="24">
        <f>R664+S664/60+T664/3600</f>
        <v>48.92444444444444</v>
      </c>
      <c r="V664" s="28">
        <f>ABS(U664-P664)/P664</f>
        <v>1.4164931946025036E-6</v>
      </c>
      <c r="W664" s="22">
        <v>2</v>
      </c>
      <c r="X664" s="22">
        <v>24</v>
      </c>
      <c r="Y664" s="22">
        <v>7</v>
      </c>
      <c r="Z664" s="14">
        <f>W664+X664/60+Y664/3600</f>
        <v>2.4019444444444442</v>
      </c>
      <c r="AA664" s="26">
        <f>ABS(Z664-Q664)/Q664</f>
        <v>5.3691079874992483E-5</v>
      </c>
      <c r="AB664" s="26"/>
      <c r="AC664" s="24">
        <f>U664</f>
        <v>48.92444444444444</v>
      </c>
      <c r="AD664" s="14">
        <f>Z664</f>
        <v>2.4019444444444442</v>
      </c>
    </row>
    <row r="665" spans="1:30" s="14" customFormat="1">
      <c r="A665" s="12">
        <v>20</v>
      </c>
      <c r="B665" s="12" t="s">
        <v>213</v>
      </c>
      <c r="C665" s="14" t="str">
        <f>VLOOKUP(B665,weights!A:B,2,FALSE)</f>
        <v>P</v>
      </c>
      <c r="D665" s="13">
        <v>663</v>
      </c>
      <c r="E665" s="14" t="s">
        <v>1272</v>
      </c>
      <c r="F665" s="14" t="s">
        <v>794</v>
      </c>
      <c r="G665" s="15"/>
      <c r="H665" s="18"/>
      <c r="I665" s="18"/>
      <c r="K665" s="14">
        <f>VLOOKUP(B665,weights!A:G,5,FALSE)</f>
        <v>1.78</v>
      </c>
      <c r="L665" s="14">
        <f>VLOOKUP(B665,weights!A:G,6,FALSE)</f>
        <v>7</v>
      </c>
      <c r="M665" s="14">
        <f>VLOOKUP(B665,weights!A:G,7,FALSE)</f>
        <v>10</v>
      </c>
      <c r="N665" t="s">
        <v>3830</v>
      </c>
      <c r="O665">
        <v>26</v>
      </c>
      <c r="P665">
        <v>48.922711189300003</v>
      </c>
      <c r="Q665">
        <v>2.4066227537099998</v>
      </c>
      <c r="R665" s="22">
        <v>48</v>
      </c>
      <c r="S665" s="22">
        <v>55</v>
      </c>
      <c r="T665" s="22">
        <v>22</v>
      </c>
      <c r="U665" s="24">
        <f>R665+S665/60+T665/3600</f>
        <v>48.922777777777775</v>
      </c>
      <c r="V665" s="28">
        <f>ABS(U665-P665)/P665</f>
        <v>1.3610954126006995E-6</v>
      </c>
      <c r="W665" s="22">
        <v>2</v>
      </c>
      <c r="X665" s="22">
        <v>24</v>
      </c>
      <c r="Y665" s="22">
        <v>24</v>
      </c>
      <c r="Z665" s="14">
        <f>W665+X665/60+Y665/3600</f>
        <v>2.4066666666666667</v>
      </c>
      <c r="AA665" s="26">
        <f>ABS(Z665-Q665)/Q665</f>
        <v>1.8246713823033487E-5</v>
      </c>
      <c r="AB665" s="26"/>
      <c r="AC665" s="24">
        <f>U665</f>
        <v>48.922777777777775</v>
      </c>
      <c r="AD665" s="14">
        <f>Z665</f>
        <v>2.4066666666666667</v>
      </c>
    </row>
    <row r="666" spans="1:30" s="14" customFormat="1">
      <c r="A666" s="12">
        <v>21</v>
      </c>
      <c r="B666" s="12" t="s">
        <v>213</v>
      </c>
      <c r="C666" s="14" t="str">
        <f>VLOOKUP(B666,weights!A:B,2,FALSE)</f>
        <v>P</v>
      </c>
      <c r="D666" s="13">
        <v>664</v>
      </c>
      <c r="E666" s="14" t="s">
        <v>250</v>
      </c>
      <c r="F666" s="14" t="s">
        <v>251</v>
      </c>
      <c r="G666" s="15" t="s">
        <v>74</v>
      </c>
      <c r="H666" s="18"/>
      <c r="I666" s="18" t="s">
        <v>1866</v>
      </c>
      <c r="K666" s="14">
        <f>VLOOKUP(B666,weights!A:G,5,FALSE)</f>
        <v>1.78</v>
      </c>
      <c r="L666" s="14">
        <f>VLOOKUP(B666,weights!A:G,6,FALSE)</f>
        <v>7</v>
      </c>
      <c r="M666" s="14">
        <f>VLOOKUP(B666,weights!A:G,7,FALSE)</f>
        <v>10</v>
      </c>
      <c r="N666" t="s">
        <v>4381</v>
      </c>
      <c r="O666">
        <v>470</v>
      </c>
      <c r="P666">
        <v>48.920785969100002</v>
      </c>
      <c r="Q666">
        <v>2.4105986151000001</v>
      </c>
      <c r="R666" s="22">
        <v>48</v>
      </c>
      <c r="S666" s="22">
        <v>55</v>
      </c>
      <c r="T666" s="22">
        <v>15</v>
      </c>
      <c r="U666" s="24">
        <f>R666+S666/60+T666/3600</f>
        <v>48.920833333333334</v>
      </c>
      <c r="V666" s="28">
        <f>ABS(U666-P666)/P666</f>
        <v>9.6818218255456587E-7</v>
      </c>
      <c r="W666" s="22">
        <v>2</v>
      </c>
      <c r="X666" s="22">
        <v>24</v>
      </c>
      <c r="Y666" s="22">
        <v>38</v>
      </c>
      <c r="Z666" s="14">
        <f>W666+X666/60+Y666/3600</f>
        <v>2.4105555555555553</v>
      </c>
      <c r="AA666" s="26">
        <f>ABS(Z666-Q666)/Q666</f>
        <v>1.7862594035771161E-5</v>
      </c>
      <c r="AB666" s="26"/>
      <c r="AC666" s="24">
        <f>U666</f>
        <v>48.920833333333334</v>
      </c>
      <c r="AD666" s="14">
        <f>Z666</f>
        <v>2.4105555555555553</v>
      </c>
    </row>
    <row r="667" spans="1:30" s="14" customFormat="1">
      <c r="A667" s="12">
        <v>22</v>
      </c>
      <c r="B667" s="12" t="s">
        <v>213</v>
      </c>
      <c r="C667" s="14" t="str">
        <f>VLOOKUP(B667,weights!A:B,2,FALSE)</f>
        <v>P</v>
      </c>
      <c r="D667" s="13">
        <v>665</v>
      </c>
      <c r="E667" s="14" t="s">
        <v>1362</v>
      </c>
      <c r="F667" s="14" t="s">
        <v>795</v>
      </c>
      <c r="G667" s="15"/>
      <c r="H667" s="18"/>
      <c r="I667" s="18"/>
      <c r="K667" s="14">
        <f>VLOOKUP(B667,weights!A:G,5,FALSE)</f>
        <v>1.78</v>
      </c>
      <c r="L667" s="14">
        <f>VLOOKUP(B667,weights!A:G,6,FALSE)</f>
        <v>7</v>
      </c>
      <c r="M667" s="14">
        <f>VLOOKUP(B667,weights!A:G,7,FALSE)</f>
        <v>10</v>
      </c>
      <c r="N667" t="s">
        <v>4828</v>
      </c>
      <c r="O667">
        <v>308</v>
      </c>
      <c r="P667">
        <v>48.919179027699997</v>
      </c>
      <c r="Q667">
        <v>2.41383718232</v>
      </c>
      <c r="R667" s="22">
        <v>48</v>
      </c>
      <c r="S667" s="22">
        <v>55</v>
      </c>
      <c r="T667" s="22">
        <v>9</v>
      </c>
      <c r="U667" s="24">
        <f>R667+S667/60+T667/3600</f>
        <v>48.919166666666662</v>
      </c>
      <c r="V667" s="28">
        <f>ABS(U667-P667)/P667</f>
        <v>2.5268276329178218E-7</v>
      </c>
      <c r="W667" s="22">
        <v>2</v>
      </c>
      <c r="X667" s="22">
        <v>24</v>
      </c>
      <c r="Y667" s="22">
        <v>50</v>
      </c>
      <c r="Z667" s="14">
        <f>W667+X667/60+Y667/3600</f>
        <v>2.4138888888888888</v>
      </c>
      <c r="AA667" s="26">
        <f>ABS(Z667-Q667)/Q667</f>
        <v>2.1420901652968012E-5</v>
      </c>
      <c r="AB667" s="26"/>
      <c r="AC667" s="24">
        <f>U667</f>
        <v>48.919166666666662</v>
      </c>
      <c r="AD667" s="14">
        <f>Z667</f>
        <v>2.4138888888888888</v>
      </c>
    </row>
    <row r="668" spans="1:30" s="14" customFormat="1">
      <c r="A668" s="12">
        <v>23</v>
      </c>
      <c r="B668" s="12" t="s">
        <v>213</v>
      </c>
      <c r="C668" s="14" t="str">
        <f>VLOOKUP(B668,weights!A:B,2,FALSE)</f>
        <v>P</v>
      </c>
      <c r="D668" s="13">
        <v>666</v>
      </c>
      <c r="E668" s="14" t="s">
        <v>1282</v>
      </c>
      <c r="F668" s="14" t="s">
        <v>796</v>
      </c>
      <c r="G668" s="15"/>
      <c r="H668" s="18"/>
      <c r="I668" s="18"/>
      <c r="K668" s="14">
        <f>VLOOKUP(B668,weights!A:G,5,FALSE)</f>
        <v>1.78</v>
      </c>
      <c r="L668" s="14">
        <f>VLOOKUP(B668,weights!A:G,6,FALSE)</f>
        <v>7</v>
      </c>
      <c r="M668" s="14">
        <f>VLOOKUP(B668,weights!A:G,7,FALSE)</f>
        <v>10</v>
      </c>
      <c r="N668" t="s">
        <v>3886</v>
      </c>
      <c r="O668">
        <v>121</v>
      </c>
      <c r="P668">
        <v>48.917783725299998</v>
      </c>
      <c r="Q668">
        <v>2.4176910933400002</v>
      </c>
      <c r="R668" s="22">
        <v>48</v>
      </c>
      <c r="S668" s="22">
        <v>55</v>
      </c>
      <c r="T668" s="22">
        <v>4</v>
      </c>
      <c r="U668" s="24">
        <f>R668+S668/60+T668/3600</f>
        <v>48.917777777777772</v>
      </c>
      <c r="V668" s="28">
        <f>ABS(U668-P668)/P668</f>
        <v>1.2158200500707193E-7</v>
      </c>
      <c r="W668" s="22">
        <v>2</v>
      </c>
      <c r="X668" s="22">
        <v>25</v>
      </c>
      <c r="Y668" s="22">
        <v>4</v>
      </c>
      <c r="Z668" s="14">
        <f>W668+X668/60+Y668/3600</f>
        <v>2.4177777777777778</v>
      </c>
      <c r="AA668" s="26">
        <f>ABS(Z668-Q668)/Q668</f>
        <v>3.5854223898323743E-5</v>
      </c>
      <c r="AB668" s="26"/>
      <c r="AC668" s="24">
        <f>U668</f>
        <v>48.917777777777772</v>
      </c>
      <c r="AD668" s="14">
        <f>Z668</f>
        <v>2.4177777777777778</v>
      </c>
    </row>
    <row r="669" spans="1:30" s="14" customFormat="1">
      <c r="A669" s="12">
        <v>24</v>
      </c>
      <c r="B669" s="12" t="s">
        <v>213</v>
      </c>
      <c r="C669" s="14" t="str">
        <f>VLOOKUP(B669,weights!A:B,2,FALSE)</f>
        <v>P</v>
      </c>
      <c r="D669" s="13">
        <v>667</v>
      </c>
      <c r="E669" s="14" t="s">
        <v>1307</v>
      </c>
      <c r="F669" s="14" t="s">
        <v>797</v>
      </c>
      <c r="G669" s="15"/>
      <c r="H669" s="18"/>
      <c r="I669" s="18"/>
      <c r="K669" s="14">
        <f>VLOOKUP(B669,weights!A:G,5,FALSE)</f>
        <v>1.78</v>
      </c>
      <c r="L669" s="14">
        <f>VLOOKUP(B669,weights!A:G,6,FALSE)</f>
        <v>7</v>
      </c>
      <c r="M669" s="14">
        <f>VLOOKUP(B669,weights!A:G,7,FALSE)</f>
        <v>10</v>
      </c>
      <c r="N669" t="s">
        <v>4227</v>
      </c>
      <c r="O669">
        <v>29</v>
      </c>
      <c r="P669">
        <v>48.915837892900001</v>
      </c>
      <c r="Q669">
        <v>2.42500989427</v>
      </c>
      <c r="R669" s="22">
        <v>48</v>
      </c>
      <c r="S669" s="22">
        <v>54</v>
      </c>
      <c r="T669" s="22">
        <v>57</v>
      </c>
      <c r="U669" s="24">
        <f>R669+S669/60+T669/3600</f>
        <v>48.915833333333332</v>
      </c>
      <c r="V669" s="28">
        <f>ABS(U669-P669)/P669</f>
        <v>9.3212482204611677E-8</v>
      </c>
      <c r="W669" s="22">
        <v>2</v>
      </c>
      <c r="X669" s="22">
        <v>25</v>
      </c>
      <c r="Y669" s="22">
        <v>32</v>
      </c>
      <c r="Z669" s="14">
        <f>W669+X669/60+Y669/3600</f>
        <v>2.4255555555555555</v>
      </c>
      <c r="AA669" s="26">
        <f>ABS(Z669-Q669)/Q669</f>
        <v>2.2501404503328984E-4</v>
      </c>
      <c r="AB669" s="26"/>
      <c r="AC669" s="24">
        <f>U669</f>
        <v>48.915833333333332</v>
      </c>
      <c r="AD669" s="14">
        <f>Z669</f>
        <v>2.4255555555555555</v>
      </c>
    </row>
    <row r="670" spans="1:30" s="14" customFormat="1">
      <c r="A670" s="12">
        <v>25</v>
      </c>
      <c r="B670" s="12" t="s">
        <v>213</v>
      </c>
      <c r="C670" s="14" t="str">
        <f>VLOOKUP(B670,weights!A:B,2,FALSE)</f>
        <v>P</v>
      </c>
      <c r="D670" s="13">
        <v>668</v>
      </c>
      <c r="E670" s="14" t="s">
        <v>1296</v>
      </c>
      <c r="F670" s="14" t="s">
        <v>798</v>
      </c>
      <c r="G670" s="15"/>
      <c r="H670" s="18"/>
      <c r="I670" s="18"/>
      <c r="K670" s="14">
        <f>VLOOKUP(B670,weights!A:G,5,FALSE)</f>
        <v>1.78</v>
      </c>
      <c r="L670" s="14">
        <f>VLOOKUP(B670,weights!A:G,6,FALSE)</f>
        <v>7</v>
      </c>
      <c r="M670" s="14">
        <f>VLOOKUP(B670,weights!A:G,7,FALSE)</f>
        <v>10</v>
      </c>
      <c r="N670" t="s">
        <v>4126</v>
      </c>
      <c r="O670">
        <v>333</v>
      </c>
      <c r="P670">
        <v>48.914093264400002</v>
      </c>
      <c r="Q670">
        <v>2.4312780034700001</v>
      </c>
      <c r="R670" s="22">
        <v>48</v>
      </c>
      <c r="S670" s="22">
        <v>54</v>
      </c>
      <c r="T670" s="22">
        <v>51</v>
      </c>
      <c r="U670" s="24">
        <f>R670+S670/60+T670/3600</f>
        <v>48.914166666666667</v>
      </c>
      <c r="V670" s="28">
        <f>ABS(U670-P670)/P670</f>
        <v>1.5006363558267102E-6</v>
      </c>
      <c r="W670" s="22">
        <v>2</v>
      </c>
      <c r="X670" s="22">
        <v>25</v>
      </c>
      <c r="Y670" s="22">
        <v>53</v>
      </c>
      <c r="Z670" s="14">
        <f>W670+X670/60+Y670/3600</f>
        <v>2.4313888888888888</v>
      </c>
      <c r="AA670" s="26">
        <f>ABS(Z670-Q670)/Q670</f>
        <v>4.5607873196914208E-5</v>
      </c>
      <c r="AB670" s="26"/>
      <c r="AC670" s="24">
        <f>U670</f>
        <v>48.914166666666667</v>
      </c>
      <c r="AD670" s="14">
        <f>Z670</f>
        <v>2.4313888888888888</v>
      </c>
    </row>
    <row r="671" spans="1:30" s="14" customFormat="1">
      <c r="A671" s="12">
        <v>26</v>
      </c>
      <c r="B671" s="12" t="s">
        <v>213</v>
      </c>
      <c r="C671" s="14" t="str">
        <f>VLOOKUP(B671,weights!A:B,2,FALSE)</f>
        <v>P</v>
      </c>
      <c r="D671" s="13">
        <v>669</v>
      </c>
      <c r="E671" s="14" t="s">
        <v>1288</v>
      </c>
      <c r="F671" s="14" t="s">
        <v>799</v>
      </c>
      <c r="G671" s="15"/>
      <c r="H671" s="18"/>
      <c r="I671" s="18"/>
      <c r="K671" s="14">
        <f>VLOOKUP(B671,weights!A:G,5,FALSE)</f>
        <v>1.78</v>
      </c>
      <c r="L671" s="14">
        <f>VLOOKUP(B671,weights!A:G,6,FALSE)</f>
        <v>7</v>
      </c>
      <c r="M671" s="14">
        <f>VLOOKUP(B671,weights!A:G,7,FALSE)</f>
        <v>10</v>
      </c>
      <c r="N671" t="s">
        <v>3972</v>
      </c>
      <c r="O671">
        <v>332</v>
      </c>
      <c r="P671">
        <v>48.912704975300002</v>
      </c>
      <c r="Q671">
        <v>2.4354209929900001</v>
      </c>
      <c r="R671" s="22">
        <v>48</v>
      </c>
      <c r="S671" s="22">
        <v>54</v>
      </c>
      <c r="T671" s="22">
        <v>46</v>
      </c>
      <c r="U671" s="24">
        <f>R671+S671/60+T671/3600</f>
        <v>48.912777777777777</v>
      </c>
      <c r="V671" s="28">
        <f>ABS(U671-P671)/P671</f>
        <v>1.4884165128685262E-6</v>
      </c>
      <c r="W671" s="22">
        <v>2</v>
      </c>
      <c r="X671" s="22">
        <v>26</v>
      </c>
      <c r="Y671" s="22">
        <v>8</v>
      </c>
      <c r="Z671" s="14">
        <f>W671+X671/60+Y671/3600</f>
        <v>2.4355555555555557</v>
      </c>
      <c r="AA671" s="26">
        <f>ABS(Z671-Q671)/Q671</f>
        <v>5.5252281204305154E-5</v>
      </c>
      <c r="AB671" s="26"/>
      <c r="AC671" s="24">
        <f>U671</f>
        <v>48.912777777777777</v>
      </c>
      <c r="AD671" s="14">
        <f>Z671</f>
        <v>2.4355555555555557</v>
      </c>
    </row>
    <row r="672" spans="1:30" s="14" customFormat="1">
      <c r="A672" s="12">
        <v>27</v>
      </c>
      <c r="B672" s="12" t="s">
        <v>213</v>
      </c>
      <c r="C672" s="14" t="str">
        <f>VLOOKUP(B672,weights!A:B,2,FALSE)</f>
        <v>P</v>
      </c>
      <c r="D672" s="13">
        <v>670</v>
      </c>
      <c r="E672" s="14" t="s">
        <v>1327</v>
      </c>
      <c r="F672" s="14" t="s">
        <v>800</v>
      </c>
      <c r="G672" s="15"/>
      <c r="H672" s="18"/>
      <c r="I672" s="18"/>
      <c r="K672" s="14">
        <f>VLOOKUP(B672,weights!A:G,5,FALSE)</f>
        <v>1.78</v>
      </c>
      <c r="L672" s="14">
        <f>VLOOKUP(B672,weights!A:G,6,FALSE)</f>
        <v>7</v>
      </c>
      <c r="M672" s="14">
        <f>VLOOKUP(B672,weights!A:G,7,FALSE)</f>
        <v>10</v>
      </c>
      <c r="N672" t="s">
        <v>4395</v>
      </c>
      <c r="O672">
        <v>305</v>
      </c>
      <c r="P672">
        <v>48.9096663654</v>
      </c>
      <c r="Q672">
        <v>2.4374878035799998</v>
      </c>
      <c r="R672" s="22">
        <v>48</v>
      </c>
      <c r="S672" s="22">
        <v>54</v>
      </c>
      <c r="T672" s="22">
        <v>35</v>
      </c>
      <c r="U672" s="24">
        <f>R672+S672/60+T672/3600</f>
        <v>48.909722222222221</v>
      </c>
      <c r="V672" s="28">
        <f>ABS(U672-P672)/P672</f>
        <v>1.1420405488856599E-6</v>
      </c>
      <c r="W672" s="22">
        <v>2</v>
      </c>
      <c r="X672" s="22">
        <v>26</v>
      </c>
      <c r="Y672" s="22">
        <v>15</v>
      </c>
      <c r="Z672" s="14">
        <f>W672+X672/60+Y672/3600</f>
        <v>2.4375000000000004</v>
      </c>
      <c r="AA672" s="26">
        <f>ABS(Z672-Q672)/Q672</f>
        <v>5.0036845241631693E-6</v>
      </c>
      <c r="AB672" s="26"/>
      <c r="AC672" s="24">
        <f>U672</f>
        <v>48.909722222222221</v>
      </c>
      <c r="AD672" s="14">
        <f>Z672</f>
        <v>2.4375000000000004</v>
      </c>
    </row>
    <row r="673" spans="1:30" s="14" customFormat="1">
      <c r="A673" s="12">
        <v>28</v>
      </c>
      <c r="B673" s="12" t="s">
        <v>213</v>
      </c>
      <c r="C673" s="14" t="str">
        <f>VLOOKUP(B673,weights!A:B,2,FALSE)</f>
        <v>P</v>
      </c>
      <c r="D673" s="13">
        <v>671</v>
      </c>
      <c r="E673" s="14" t="s">
        <v>1351</v>
      </c>
      <c r="F673" s="14" t="s">
        <v>801</v>
      </c>
      <c r="G673" s="15"/>
      <c r="H673" s="18"/>
      <c r="I673" s="18"/>
      <c r="K673" s="14">
        <f>VLOOKUP(B673,weights!A:G,5,FALSE)</f>
        <v>1.78</v>
      </c>
      <c r="L673" s="14">
        <f>VLOOKUP(B673,weights!A:G,6,FALSE)</f>
        <v>7</v>
      </c>
      <c r="M673" s="14">
        <f>VLOOKUP(B673,weights!A:G,7,FALSE)</f>
        <v>10</v>
      </c>
      <c r="N673" t="s">
        <v>4623</v>
      </c>
      <c r="O673">
        <v>8</v>
      </c>
      <c r="P673">
        <v>48.9069318321</v>
      </c>
      <c r="Q673">
        <v>2.4386244958600001</v>
      </c>
      <c r="R673" s="22">
        <v>48</v>
      </c>
      <c r="S673" s="22">
        <v>54</v>
      </c>
      <c r="T673" s="22">
        <v>25</v>
      </c>
      <c r="U673" s="24">
        <f>R673+S673/60+T673/3600</f>
        <v>48.906944444444441</v>
      </c>
      <c r="V673" s="28">
        <f>ABS(U673-P673)/P673</f>
        <v>2.5788459772980955E-7</v>
      </c>
      <c r="W673" s="22">
        <v>2</v>
      </c>
      <c r="X673" s="22">
        <v>26</v>
      </c>
      <c r="Y673" s="22">
        <v>19</v>
      </c>
      <c r="Z673" s="14">
        <f>W673+X673/60+Y673/3600</f>
        <v>2.4386111111111113</v>
      </c>
      <c r="AA673" s="26">
        <f>ABS(Z673-Q673)/Q673</f>
        <v>5.4886469448299588E-6</v>
      </c>
      <c r="AB673" s="26"/>
      <c r="AC673" s="24">
        <f>U673</f>
        <v>48.906944444444441</v>
      </c>
      <c r="AD673" s="14">
        <f>Z673</f>
        <v>2.4386111111111113</v>
      </c>
    </row>
    <row r="674" spans="1:30" s="14" customFormat="1">
      <c r="A674" s="12">
        <v>29</v>
      </c>
      <c r="B674" s="12" t="s">
        <v>213</v>
      </c>
      <c r="C674" s="14" t="str">
        <f>VLOOKUP(B674,weights!A:B,2,FALSE)</f>
        <v>P</v>
      </c>
      <c r="D674" s="13">
        <v>672</v>
      </c>
      <c r="E674" s="14" t="s">
        <v>1311</v>
      </c>
      <c r="F674" s="14" t="s">
        <v>802</v>
      </c>
      <c r="G674" s="15"/>
      <c r="H674" s="18"/>
      <c r="I674" s="18"/>
      <c r="K674" s="14">
        <f>VLOOKUP(B674,weights!A:G,5,FALSE)</f>
        <v>1.78</v>
      </c>
      <c r="L674" s="14">
        <f>VLOOKUP(B674,weights!A:G,6,FALSE)</f>
        <v>7</v>
      </c>
      <c r="M674" s="14">
        <f>VLOOKUP(B674,weights!A:G,7,FALSE)</f>
        <v>10</v>
      </c>
      <c r="N674" t="s">
        <v>4243</v>
      </c>
      <c r="O674">
        <v>709</v>
      </c>
      <c r="P674">
        <v>48.906536559099997</v>
      </c>
      <c r="Q674">
        <v>2.4439923345499999</v>
      </c>
      <c r="R674" s="22">
        <v>48</v>
      </c>
      <c r="S674" s="22">
        <v>54</v>
      </c>
      <c r="T674" s="22">
        <v>24</v>
      </c>
      <c r="U674" s="24">
        <f>R674+S674/60+T674/3600</f>
        <v>48.906666666666666</v>
      </c>
      <c r="V674" s="28">
        <f>ABS(U674-P674)/P674</f>
        <v>2.6603308232968688E-6</v>
      </c>
      <c r="W674" s="22">
        <v>2</v>
      </c>
      <c r="X674" s="22">
        <v>26</v>
      </c>
      <c r="Y674" s="22">
        <v>38</v>
      </c>
      <c r="Z674" s="14">
        <f>W674+X674/60+Y674/3600</f>
        <v>2.443888888888889</v>
      </c>
      <c r="AA674" s="26">
        <f>ABS(Z674-Q674)/Q674</f>
        <v>4.2326508004336677E-5</v>
      </c>
      <c r="AB674" s="26"/>
      <c r="AC674" s="24">
        <f>U674</f>
        <v>48.906666666666666</v>
      </c>
      <c r="AD674" s="14">
        <f>Z674</f>
        <v>2.443888888888889</v>
      </c>
    </row>
    <row r="675" spans="1:30" s="14" customFormat="1">
      <c r="A675" s="12">
        <v>30</v>
      </c>
      <c r="B675" s="12" t="s">
        <v>213</v>
      </c>
      <c r="C675" s="14" t="str">
        <f>VLOOKUP(B675,weights!A:B,2,FALSE)</f>
        <v>P</v>
      </c>
      <c r="D675" s="13">
        <v>673</v>
      </c>
      <c r="E675" s="14" t="s">
        <v>328</v>
      </c>
      <c r="F675" s="14" t="s">
        <v>803</v>
      </c>
      <c r="G675" s="15" t="s">
        <v>219</v>
      </c>
      <c r="H675" s="18"/>
      <c r="I675" s="18" t="s">
        <v>1867</v>
      </c>
      <c r="K675" s="14">
        <f>VLOOKUP(B675,weights!A:G,5,FALSE)</f>
        <v>1.78</v>
      </c>
      <c r="L675" s="14">
        <f>VLOOKUP(B675,weights!A:G,6,FALSE)</f>
        <v>7</v>
      </c>
      <c r="M675" s="14">
        <f>VLOOKUP(B675,weights!A:G,7,FALSE)</f>
        <v>10</v>
      </c>
      <c r="N675" t="s">
        <v>3353</v>
      </c>
      <c r="O675">
        <v>635</v>
      </c>
      <c r="P675">
        <v>48.906374770299998</v>
      </c>
      <c r="Q675">
        <v>2.4491899044899998</v>
      </c>
      <c r="R675" s="22">
        <v>48</v>
      </c>
      <c r="S675" s="22">
        <v>54</v>
      </c>
      <c r="T675" s="22">
        <v>24</v>
      </c>
      <c r="U675" s="24">
        <f>R675+S675/60+T675/3600</f>
        <v>48.906666666666666</v>
      </c>
      <c r="V675" s="28">
        <f>ABS(U675-P675)/P675</f>
        <v>5.9684727817113272E-6</v>
      </c>
      <c r="W675" s="22">
        <v>2</v>
      </c>
      <c r="X675" s="22">
        <v>27</v>
      </c>
      <c r="Y675" s="22">
        <v>0</v>
      </c>
      <c r="Z675" s="14">
        <f>W675+X675/60+Y675/3600</f>
        <v>2.4500000000000002</v>
      </c>
      <c r="AA675" s="26">
        <f>ABS(Z675-Q675)/Q675</f>
        <v>3.3076059496865283E-4</v>
      </c>
      <c r="AB675" s="26"/>
      <c r="AC675" s="24">
        <f>U675</f>
        <v>48.906666666666666</v>
      </c>
      <c r="AD675" s="14">
        <f>Z675</f>
        <v>2.4500000000000002</v>
      </c>
    </row>
    <row r="676" spans="1:30" s="14" customFormat="1">
      <c r="A676" s="12">
        <v>31</v>
      </c>
      <c r="B676" s="12" t="s">
        <v>213</v>
      </c>
      <c r="C676" s="14" t="str">
        <f>VLOOKUP(B676,weights!A:B,2,FALSE)</f>
        <v>P</v>
      </c>
      <c r="D676" s="13">
        <v>674</v>
      </c>
      <c r="E676" s="14" t="s">
        <v>1318</v>
      </c>
      <c r="F676" s="14" t="s">
        <v>804</v>
      </c>
      <c r="G676" s="15"/>
      <c r="H676" s="18"/>
      <c r="I676" s="18"/>
      <c r="K676" s="14">
        <f>VLOOKUP(B676,weights!A:G,5,FALSE)</f>
        <v>1.78</v>
      </c>
      <c r="L676" s="14">
        <f>VLOOKUP(B676,weights!A:G,6,FALSE)</f>
        <v>7</v>
      </c>
      <c r="M676" s="14">
        <f>VLOOKUP(B676,weights!A:G,7,FALSE)</f>
        <v>10</v>
      </c>
      <c r="N676" t="s">
        <v>4310</v>
      </c>
      <c r="O676">
        <v>4</v>
      </c>
      <c r="P676">
        <v>48.907812546800002</v>
      </c>
      <c r="Q676">
        <v>2.4543528265200001</v>
      </c>
      <c r="R676" s="22">
        <v>48</v>
      </c>
      <c r="S676" s="22">
        <v>54</v>
      </c>
      <c r="T676" s="22">
        <v>28</v>
      </c>
      <c r="U676" s="24">
        <f>R676+S676/60+T676/3600</f>
        <v>48.907777777777774</v>
      </c>
      <c r="V676" s="28">
        <f>ABS(U676-P676)/P676</f>
        <v>7.1090937046429565E-7</v>
      </c>
      <c r="W676" s="22">
        <v>2</v>
      </c>
      <c r="X676" s="22">
        <v>27</v>
      </c>
      <c r="Y676" s="22">
        <v>16</v>
      </c>
      <c r="Z676" s="14">
        <f>W676+X676/60+Y676/3600</f>
        <v>2.4544444444444444</v>
      </c>
      <c r="AA676" s="26">
        <f>ABS(Z676-Q676)/Q676</f>
        <v>3.7328750558755947E-5</v>
      </c>
      <c r="AB676" s="26"/>
      <c r="AC676" s="24">
        <f>U676</f>
        <v>48.907777777777774</v>
      </c>
      <c r="AD676" s="14">
        <f>Z676</f>
        <v>2.4544444444444444</v>
      </c>
    </row>
    <row r="677" spans="1:30" s="14" customFormat="1">
      <c r="A677" s="12">
        <v>32</v>
      </c>
      <c r="B677" s="12" t="s">
        <v>213</v>
      </c>
      <c r="C677" s="14" t="str">
        <f>VLOOKUP(B677,weights!A:B,2,FALSE)</f>
        <v>P</v>
      </c>
      <c r="D677" s="13">
        <v>675</v>
      </c>
      <c r="E677" s="14" t="s">
        <v>1244</v>
      </c>
      <c r="F677" s="14" t="s">
        <v>805</v>
      </c>
      <c r="G677" s="15"/>
      <c r="H677" s="18"/>
      <c r="I677" s="18"/>
      <c r="K677" s="14">
        <f>VLOOKUP(B677,weights!A:G,5,FALSE)</f>
        <v>1.78</v>
      </c>
      <c r="L677" s="14">
        <f>VLOOKUP(B677,weights!A:G,6,FALSE)</f>
        <v>7</v>
      </c>
      <c r="M677" s="14">
        <f>VLOOKUP(B677,weights!A:G,7,FALSE)</f>
        <v>10</v>
      </c>
      <c r="N677" t="s">
        <v>3223</v>
      </c>
      <c r="O677">
        <v>848</v>
      </c>
      <c r="P677">
        <v>48.906700631699998</v>
      </c>
      <c r="Q677">
        <v>2.4605234036699999</v>
      </c>
      <c r="R677" s="22">
        <v>48</v>
      </c>
      <c r="S677" s="22">
        <v>54</v>
      </c>
      <c r="T677" s="22">
        <v>24</v>
      </c>
      <c r="U677" s="24">
        <f>R677+S677/60+T677/3600</f>
        <v>48.906666666666666</v>
      </c>
      <c r="V677" s="28">
        <f>ABS(U677-P677)/P677</f>
        <v>6.94486295189267E-7</v>
      </c>
      <c r="W677" s="22">
        <v>2</v>
      </c>
      <c r="X677" s="22">
        <v>27</v>
      </c>
      <c r="Y677" s="22">
        <v>38</v>
      </c>
      <c r="Z677" s="14">
        <f>W677+X677/60+Y677/3600</f>
        <v>2.4605555555555556</v>
      </c>
      <c r="AA677" s="26">
        <f>ABS(Z677-Q677)/Q677</f>
        <v>1.3067091947901777E-5</v>
      </c>
      <c r="AB677" s="26"/>
      <c r="AC677" s="24">
        <f>U677</f>
        <v>48.906666666666666</v>
      </c>
      <c r="AD677" s="14">
        <f>Z677</f>
        <v>2.4605555555555556</v>
      </c>
    </row>
    <row r="678" spans="1:30" s="14" customFormat="1">
      <c r="A678" s="12">
        <v>33</v>
      </c>
      <c r="B678" s="12" t="s">
        <v>213</v>
      </c>
      <c r="C678" s="14" t="str">
        <f>VLOOKUP(B678,weights!A:B,2,FALSE)</f>
        <v>P</v>
      </c>
      <c r="D678" s="13">
        <v>676</v>
      </c>
      <c r="E678" s="14" t="s">
        <v>1390</v>
      </c>
      <c r="F678" s="14" t="s">
        <v>806</v>
      </c>
      <c r="G678" s="15"/>
      <c r="H678" s="18"/>
      <c r="I678" s="18"/>
      <c r="K678" s="14">
        <f>VLOOKUP(B678,weights!A:G,5,FALSE)</f>
        <v>1.78</v>
      </c>
      <c r="L678" s="14">
        <f>VLOOKUP(B678,weights!A:G,6,FALSE)</f>
        <v>7</v>
      </c>
      <c r="M678" s="14">
        <f>VLOOKUP(B678,weights!A:G,7,FALSE)</f>
        <v>10</v>
      </c>
      <c r="N678" t="s">
        <v>5225</v>
      </c>
      <c r="O678">
        <v>10</v>
      </c>
      <c r="P678">
        <v>48.904703203799997</v>
      </c>
      <c r="Q678">
        <v>2.4699715436099998</v>
      </c>
      <c r="R678" s="22">
        <v>48</v>
      </c>
      <c r="S678" s="22">
        <v>54</v>
      </c>
      <c r="T678" s="22">
        <v>18</v>
      </c>
      <c r="U678" s="24">
        <f>R678+S678/60+T678/3600</f>
        <v>48.905000000000001</v>
      </c>
      <c r="V678" s="28">
        <f>ABS(U678-P678)/P678</f>
        <v>6.0688682388560494E-6</v>
      </c>
      <c r="W678" s="22">
        <v>2</v>
      </c>
      <c r="X678" s="22">
        <v>28</v>
      </c>
      <c r="Y678" s="22">
        <v>11</v>
      </c>
      <c r="Z678" s="14">
        <f>W678+X678/60+Y678/3600</f>
        <v>2.4697222222222224</v>
      </c>
      <c r="AA678" s="26">
        <f>ABS(Z678-Q678)/Q678</f>
        <v>1.0094099602987687E-4</v>
      </c>
      <c r="AB678" s="26"/>
      <c r="AC678" s="24">
        <f>U678</f>
        <v>48.905000000000001</v>
      </c>
      <c r="AD678" s="14">
        <f>Z678</f>
        <v>2.4697222222222224</v>
      </c>
    </row>
    <row r="679" spans="1:30" s="14" customFormat="1">
      <c r="A679" s="12">
        <v>34</v>
      </c>
      <c r="B679" s="12" t="s">
        <v>213</v>
      </c>
      <c r="C679" s="14" t="str">
        <f>VLOOKUP(B679,weights!A:B,2,FALSE)</f>
        <v>P</v>
      </c>
      <c r="D679" s="13">
        <v>677</v>
      </c>
      <c r="E679" s="14" t="s">
        <v>1385</v>
      </c>
      <c r="F679" s="14" t="s">
        <v>807</v>
      </c>
      <c r="G679" s="15"/>
      <c r="H679" s="18"/>
      <c r="I679" s="18"/>
      <c r="K679" s="14">
        <f>VLOOKUP(B679,weights!A:G,5,FALSE)</f>
        <v>1.78</v>
      </c>
      <c r="L679" s="14">
        <f>VLOOKUP(B679,weights!A:G,6,FALSE)</f>
        <v>7</v>
      </c>
      <c r="M679" s="14">
        <f>VLOOKUP(B679,weights!A:G,7,FALSE)</f>
        <v>10</v>
      </c>
      <c r="N679" t="s">
        <v>5153</v>
      </c>
      <c r="O679">
        <v>106</v>
      </c>
      <c r="P679">
        <v>48.900417304100003</v>
      </c>
      <c r="Q679">
        <v>2.4654604813600001</v>
      </c>
      <c r="R679" s="22">
        <v>48</v>
      </c>
      <c r="S679" s="22">
        <v>54</v>
      </c>
      <c r="T679" s="22">
        <v>2</v>
      </c>
      <c r="U679" s="24">
        <f>R679+S679/60+T679/3600</f>
        <v>48.900555555555556</v>
      </c>
      <c r="V679" s="28">
        <f>ABS(U679-P679)/P679</f>
        <v>2.8272040030510401E-6</v>
      </c>
      <c r="W679" s="22">
        <v>2</v>
      </c>
      <c r="X679" s="22">
        <v>27</v>
      </c>
      <c r="Y679" s="22">
        <v>55</v>
      </c>
      <c r="Z679" s="14">
        <f>W679+X679/60+Y679/3600</f>
        <v>2.4652777777777781</v>
      </c>
      <c r="AA679" s="26">
        <f>ABS(Z679-Q679)/Q679</f>
        <v>7.4105256848878981E-5</v>
      </c>
      <c r="AB679" s="26"/>
      <c r="AC679" s="24">
        <f>U679</f>
        <v>48.900555555555556</v>
      </c>
      <c r="AD679" s="14">
        <f>Z679</f>
        <v>2.4652777777777781</v>
      </c>
    </row>
    <row r="680" spans="1:30" s="14" customFormat="1">
      <c r="A680" s="12">
        <v>35</v>
      </c>
      <c r="B680" s="12" t="s">
        <v>213</v>
      </c>
      <c r="C680" s="14" t="str">
        <f>VLOOKUP(B680,weights!A:B,2,FALSE)</f>
        <v>P</v>
      </c>
      <c r="D680" s="13">
        <v>678</v>
      </c>
      <c r="E680" s="14" t="s">
        <v>1293</v>
      </c>
      <c r="F680" s="14" t="s">
        <v>808</v>
      </c>
      <c r="G680" s="15" t="s">
        <v>1454</v>
      </c>
      <c r="H680" s="18"/>
      <c r="I680" s="18" t="s">
        <v>1868</v>
      </c>
      <c r="K680" s="14">
        <f>VLOOKUP(B680,weights!A:G,5,FALSE)</f>
        <v>1.78</v>
      </c>
      <c r="L680" s="14">
        <f>VLOOKUP(B680,weights!A:G,6,FALSE)</f>
        <v>7</v>
      </c>
      <c r="M680" s="14">
        <f>VLOOKUP(B680,weights!A:G,7,FALSE)</f>
        <v>10</v>
      </c>
      <c r="N680" t="s">
        <v>5023</v>
      </c>
      <c r="O680">
        <v>473</v>
      </c>
      <c r="P680">
        <v>48.896604437400001</v>
      </c>
      <c r="Q680">
        <v>2.46111931078</v>
      </c>
      <c r="R680" s="22">
        <v>48</v>
      </c>
      <c r="S680" s="22">
        <v>53</v>
      </c>
      <c r="T680" s="22">
        <v>45</v>
      </c>
      <c r="U680" s="24">
        <f>R680+S680/60+T680/3600</f>
        <v>48.895833333333336</v>
      </c>
      <c r="V680" s="28">
        <f>ABS(U680-P680)/P680</f>
        <v>1.5770094376433155E-5</v>
      </c>
      <c r="W680" s="22">
        <v>2</v>
      </c>
      <c r="X680" s="22">
        <v>27</v>
      </c>
      <c r="Y680" s="22">
        <v>37</v>
      </c>
      <c r="Z680" s="14">
        <f>W680+X680/60+Y680/3600</f>
        <v>2.4602777777777778</v>
      </c>
      <c r="AA680" s="26">
        <f>ABS(Z680-Q680)/Q680</f>
        <v>3.4193100616301353E-4</v>
      </c>
      <c r="AB680" s="26"/>
      <c r="AC680" s="24">
        <f>U680</f>
        <v>48.895833333333336</v>
      </c>
      <c r="AD680" s="14">
        <f>Z680</f>
        <v>2.4602777777777778</v>
      </c>
    </row>
    <row r="681" spans="1:30" s="14" customFormat="1">
      <c r="A681" s="12">
        <v>0</v>
      </c>
      <c r="B681" s="12" t="s">
        <v>661</v>
      </c>
      <c r="C681" s="14" t="str">
        <f>VLOOKUP(B681,weights!A:B,2,FALSE)</f>
        <v>P</v>
      </c>
      <c r="D681" s="13">
        <v>679</v>
      </c>
      <c r="E681" s="14" t="s">
        <v>1389</v>
      </c>
      <c r="F681" s="14" t="s">
        <v>809</v>
      </c>
      <c r="G681" s="15"/>
      <c r="H681" s="18"/>
      <c r="I681" s="18"/>
      <c r="K681" s="14">
        <f>VLOOKUP(B681,weights!A:G,5,FALSE)</f>
        <v>1.88</v>
      </c>
      <c r="L681" s="14">
        <f>VLOOKUP(B681,weights!A:G,6,FALSE)</f>
        <v>7</v>
      </c>
      <c r="M681" s="14">
        <f>VLOOKUP(B681,weights!A:G,7,FALSE)</f>
        <v>10</v>
      </c>
      <c r="N681" t="s">
        <v>5222</v>
      </c>
      <c r="O681">
        <v>684</v>
      </c>
      <c r="P681">
        <v>48.923268254200003</v>
      </c>
      <c r="Q681">
        <v>2.2175897993499998</v>
      </c>
      <c r="R681" s="22">
        <v>48</v>
      </c>
      <c r="S681" s="22">
        <v>55</v>
      </c>
      <c r="T681" s="22">
        <v>24</v>
      </c>
      <c r="U681" s="24">
        <f>R681+S681/60+T681/3600</f>
        <v>48.923333333333332</v>
      </c>
      <c r="V681" s="28">
        <f>ABS(U681-P681)/P681</f>
        <v>1.3302286550112349E-6</v>
      </c>
      <c r="W681" s="22">
        <v>2</v>
      </c>
      <c r="X681" s="22">
        <v>13</v>
      </c>
      <c r="Y681" s="22">
        <v>3</v>
      </c>
      <c r="Z681" s="14">
        <f>W681+X681/60+Y681/3600</f>
        <v>2.2175000000000002</v>
      </c>
      <c r="AA681" s="26">
        <f>ABS(Z681-Q681)/Q681</f>
        <v>4.0494121151644939E-5</v>
      </c>
      <c r="AB681" s="26"/>
      <c r="AC681" s="24">
        <f>U681</f>
        <v>48.923333333333332</v>
      </c>
      <c r="AD681" s="14">
        <f>Z681</f>
        <v>2.2175000000000002</v>
      </c>
    </row>
    <row r="682" spans="1:30" s="14" customFormat="1">
      <c r="A682" s="12">
        <v>1</v>
      </c>
      <c r="B682" s="12" t="s">
        <v>661</v>
      </c>
      <c r="C682" s="14" t="str">
        <f>VLOOKUP(B682,weights!A:B,2,FALSE)</f>
        <v>P</v>
      </c>
      <c r="D682" s="13">
        <v>680</v>
      </c>
      <c r="E682" s="14" t="s">
        <v>1381</v>
      </c>
      <c r="F682" s="14" t="s">
        <v>810</v>
      </c>
      <c r="G682" s="15"/>
      <c r="H682" s="18"/>
      <c r="I682" s="18"/>
      <c r="K682" s="14">
        <f>VLOOKUP(B682,weights!A:G,5,FALSE)</f>
        <v>1.88</v>
      </c>
      <c r="L682" s="14">
        <f>VLOOKUP(B682,weights!A:G,6,FALSE)</f>
        <v>7</v>
      </c>
      <c r="M682" s="14">
        <f>VLOOKUP(B682,weights!A:G,7,FALSE)</f>
        <v>10</v>
      </c>
      <c r="N682" t="s">
        <v>5103</v>
      </c>
      <c r="O682">
        <v>464</v>
      </c>
      <c r="P682">
        <v>48.917514907600001</v>
      </c>
      <c r="Q682">
        <v>2.2248121888800001</v>
      </c>
      <c r="R682" s="22">
        <v>48</v>
      </c>
      <c r="S682" s="22">
        <v>55</v>
      </c>
      <c r="T682" s="22">
        <v>4</v>
      </c>
      <c r="U682" s="24">
        <f>R682+S682/60+T682/3600</f>
        <v>48.917777777777772</v>
      </c>
      <c r="V682" s="28">
        <f>ABS(U682-P682)/P682</f>
        <v>5.3737435000013626E-6</v>
      </c>
      <c r="W682" s="22">
        <v>2</v>
      </c>
      <c r="X682" s="22">
        <v>13</v>
      </c>
      <c r="Y682" s="22">
        <v>28</v>
      </c>
      <c r="Z682" s="14">
        <f>W682+X682/60+Y682/3600</f>
        <v>2.2244444444444444</v>
      </c>
      <c r="AA682" s="26">
        <f>ABS(Z682-Q682)/Q682</f>
        <v>1.6529235024587748E-4</v>
      </c>
      <c r="AB682" s="26"/>
      <c r="AC682" s="24">
        <f>U682</f>
        <v>48.917777777777772</v>
      </c>
      <c r="AD682" s="14">
        <f>Z682</f>
        <v>2.2244444444444444</v>
      </c>
    </row>
    <row r="683" spans="1:30" s="14" customFormat="1">
      <c r="A683" s="12">
        <v>2</v>
      </c>
      <c r="B683" s="12" t="s">
        <v>661</v>
      </c>
      <c r="C683" s="14" t="str">
        <f>VLOOKUP(B683,weights!A:B,2,FALSE)</f>
        <v>P</v>
      </c>
      <c r="D683" s="13">
        <v>681</v>
      </c>
      <c r="E683" s="14" t="s">
        <v>1432</v>
      </c>
      <c r="F683" s="14" t="s">
        <v>812</v>
      </c>
      <c r="G683" s="15"/>
      <c r="H683" s="18"/>
      <c r="I683" s="18"/>
      <c r="K683" s="14">
        <f>VLOOKUP(B683,weights!A:G,5,FALSE)</f>
        <v>1.88</v>
      </c>
      <c r="L683" s="14">
        <f>VLOOKUP(B683,weights!A:G,6,FALSE)</f>
        <v>7</v>
      </c>
      <c r="M683" s="14">
        <f>VLOOKUP(B683,weights!A:G,7,FALSE)</f>
        <v>10</v>
      </c>
      <c r="N683" t="s">
        <v>5909</v>
      </c>
      <c r="O683">
        <v>630</v>
      </c>
      <c r="P683">
        <v>48.914047680700001</v>
      </c>
      <c r="Q683">
        <v>2.2295716132900001</v>
      </c>
      <c r="R683" s="22">
        <v>48</v>
      </c>
      <c r="S683" s="22">
        <v>54</v>
      </c>
      <c r="T683" s="22">
        <v>51</v>
      </c>
      <c r="U683" s="24">
        <f>R683+S683/60+T683/3600</f>
        <v>48.914166666666667</v>
      </c>
      <c r="V683" s="28">
        <f>ABS(U683-P683)/P683</f>
        <v>2.4325520439849426E-6</v>
      </c>
      <c r="W683" s="22">
        <v>2</v>
      </c>
      <c r="X683" s="22">
        <v>13</v>
      </c>
      <c r="Y683" s="22">
        <v>46</v>
      </c>
      <c r="Z683" s="14">
        <f>W683+X683/60+Y683/3600</f>
        <v>2.2294444444444448</v>
      </c>
      <c r="AA683" s="26">
        <f>ABS(Z683-Q683)/Q683</f>
        <v>5.7037345110279014E-5</v>
      </c>
      <c r="AB683" s="26"/>
      <c r="AC683" s="24">
        <f>U683</f>
        <v>48.914166666666667</v>
      </c>
      <c r="AD683" s="14">
        <f>Z683</f>
        <v>2.2294444444444448</v>
      </c>
    </row>
    <row r="684" spans="1:30" s="14" customFormat="1">
      <c r="A684" s="12">
        <v>3</v>
      </c>
      <c r="B684" s="12" t="s">
        <v>661</v>
      </c>
      <c r="C684" s="14" t="str">
        <f>VLOOKUP(B684,weights!A:B,2,FALSE)</f>
        <v>P</v>
      </c>
      <c r="D684" s="13">
        <v>682</v>
      </c>
      <c r="E684" s="14" t="s">
        <v>1314</v>
      </c>
      <c r="F684" s="14" t="s">
        <v>813</v>
      </c>
      <c r="G684" s="15"/>
      <c r="H684" s="18"/>
      <c r="I684" s="18"/>
      <c r="K684" s="14">
        <f>VLOOKUP(B684,weights!A:G,5,FALSE)</f>
        <v>1.88</v>
      </c>
      <c r="L684" s="14">
        <f>VLOOKUP(B684,weights!A:G,6,FALSE)</f>
        <v>7</v>
      </c>
      <c r="M684" s="14">
        <f>VLOOKUP(B684,weights!A:G,7,FALSE)</f>
        <v>10</v>
      </c>
      <c r="N684" t="s">
        <v>4284</v>
      </c>
      <c r="O684">
        <v>557</v>
      </c>
      <c r="P684">
        <v>48.910802589699998</v>
      </c>
      <c r="Q684">
        <v>2.2339886014300001</v>
      </c>
      <c r="R684" s="22">
        <v>48</v>
      </c>
      <c r="S684" s="22">
        <v>54</v>
      </c>
      <c r="T684" s="22">
        <v>38</v>
      </c>
      <c r="U684" s="24">
        <f>R684+S684/60+T684/3600</f>
        <v>48.910555555555554</v>
      </c>
      <c r="V684" s="28">
        <f>ABS(U684-P684)/P684</f>
        <v>5.0507072336536418E-6</v>
      </c>
      <c r="W684" s="22">
        <v>2</v>
      </c>
      <c r="X684" s="22">
        <v>14</v>
      </c>
      <c r="Y684" s="22">
        <v>3</v>
      </c>
      <c r="Z684" s="14">
        <f>W684+X684/60+Y684/3600</f>
        <v>2.2341666666666669</v>
      </c>
      <c r="AA684" s="26">
        <f>ABS(Z684-Q684)/Q684</f>
        <v>7.9707316569460249E-5</v>
      </c>
      <c r="AB684" s="26"/>
      <c r="AC684" s="24">
        <f>U684</f>
        <v>48.910555555555554</v>
      </c>
      <c r="AD684" s="14">
        <f>Z684</f>
        <v>2.2341666666666669</v>
      </c>
    </row>
    <row r="685" spans="1:30" s="14" customFormat="1">
      <c r="A685" s="12">
        <v>4</v>
      </c>
      <c r="B685" s="12" t="s">
        <v>661</v>
      </c>
      <c r="C685" s="14" t="str">
        <f>VLOOKUP(B685,weights!A:B,2,FALSE)</f>
        <v>P</v>
      </c>
      <c r="D685" s="13">
        <v>683</v>
      </c>
      <c r="E685" s="14" t="s">
        <v>1264</v>
      </c>
      <c r="F685" s="14" t="s">
        <v>814</v>
      </c>
      <c r="G685" s="15" t="s">
        <v>1462</v>
      </c>
      <c r="H685" s="18"/>
      <c r="I685" s="18" t="s">
        <v>1869</v>
      </c>
      <c r="K685" s="14">
        <f>VLOOKUP(B685,weights!A:G,5,FALSE)</f>
        <v>1.88</v>
      </c>
      <c r="L685" s="14">
        <f>VLOOKUP(B685,weights!A:G,6,FALSE)</f>
        <v>7</v>
      </c>
      <c r="M685" s="14">
        <f>VLOOKUP(B685,weights!A:G,7,FALSE)</f>
        <v>10</v>
      </c>
      <c r="N685" t="s">
        <v>3594</v>
      </c>
      <c r="O685">
        <v>463</v>
      </c>
      <c r="P685">
        <v>48.907664583900001</v>
      </c>
      <c r="Q685">
        <v>2.2383093022899998</v>
      </c>
      <c r="R685" s="22">
        <v>48</v>
      </c>
      <c r="S685" s="22">
        <v>54</v>
      </c>
      <c r="T685" s="22">
        <v>29</v>
      </c>
      <c r="U685" s="24">
        <f>R685+S685/60+T685/3600</f>
        <v>48.908055555555556</v>
      </c>
      <c r="V685" s="28">
        <f>ABS(U685-P685)/P685</f>
        <v>7.9940773881107715E-6</v>
      </c>
      <c r="W685" s="22">
        <v>2</v>
      </c>
      <c r="X685" s="22">
        <v>14</v>
      </c>
      <c r="Y685" s="22">
        <v>16</v>
      </c>
      <c r="Z685" s="14">
        <f>W685+X685/60+Y685/3600</f>
        <v>2.2377777777777776</v>
      </c>
      <c r="AA685" s="26">
        <f>ABS(Z685-Q685)/Q685</f>
        <v>2.3746696297886969E-4</v>
      </c>
      <c r="AB685" s="26"/>
      <c r="AC685" s="24">
        <f>U685</f>
        <v>48.908055555555556</v>
      </c>
      <c r="AD685" s="14">
        <f>Z685</f>
        <v>2.2377777777777776</v>
      </c>
    </row>
    <row r="686" spans="1:30" s="14" customFormat="1">
      <c r="A686" s="12">
        <v>5</v>
      </c>
      <c r="B686" s="12" t="s">
        <v>661</v>
      </c>
      <c r="C686" s="14" t="str">
        <f>VLOOKUP(B686,weights!A:B,2,FALSE)</f>
        <v>P</v>
      </c>
      <c r="D686" s="13">
        <v>684</v>
      </c>
      <c r="E686" s="14" t="s">
        <v>1345</v>
      </c>
      <c r="F686" s="14" t="s">
        <v>816</v>
      </c>
      <c r="G686" s="15"/>
      <c r="H686" s="18"/>
      <c r="I686" s="18"/>
      <c r="K686" s="14">
        <f>VLOOKUP(B686,weights!A:G,5,FALSE)</f>
        <v>1.88</v>
      </c>
      <c r="L686" s="14">
        <f>VLOOKUP(B686,weights!A:G,6,FALSE)</f>
        <v>7</v>
      </c>
      <c r="M686" s="14">
        <f>VLOOKUP(B686,weights!A:G,7,FALSE)</f>
        <v>10</v>
      </c>
      <c r="N686" t="s">
        <v>4569</v>
      </c>
      <c r="O686">
        <v>462</v>
      </c>
      <c r="P686">
        <v>48.902768025599997</v>
      </c>
      <c r="Q686">
        <v>2.23954203632</v>
      </c>
      <c r="R686" s="22">
        <v>48</v>
      </c>
      <c r="S686" s="22">
        <v>54</v>
      </c>
      <c r="T686" s="22">
        <v>9</v>
      </c>
      <c r="U686" s="24">
        <f>R686+S686/60+T686/3600</f>
        <v>48.902499999999996</v>
      </c>
      <c r="V686" s="28">
        <f>ABS(U686-P686)/P686</f>
        <v>5.4807858700389041E-6</v>
      </c>
      <c r="W686" s="22">
        <v>2</v>
      </c>
      <c r="X686" s="22">
        <v>14</v>
      </c>
      <c r="Y686" s="22">
        <v>22</v>
      </c>
      <c r="Z686" s="14">
        <f>W686+X686/60+Y686/3600</f>
        <v>2.2394444444444446</v>
      </c>
      <c r="AA686" s="26">
        <f>ABS(Z686-Q686)/Q686</f>
        <v>4.3576710761737583E-5</v>
      </c>
      <c r="AB686" s="26"/>
      <c r="AC686" s="24">
        <f>U686</f>
        <v>48.902499999999996</v>
      </c>
      <c r="AD686" s="14">
        <f>Z686</f>
        <v>2.2394444444444446</v>
      </c>
    </row>
    <row r="687" spans="1:30" s="14" customFormat="1">
      <c r="A687" s="12">
        <v>6</v>
      </c>
      <c r="B687" s="12" t="s">
        <v>661</v>
      </c>
      <c r="C687" s="14" t="str">
        <f>VLOOKUP(B687,weights!A:B,2,FALSE)</f>
        <v>P</v>
      </c>
      <c r="D687" s="13">
        <v>685</v>
      </c>
      <c r="E687" s="14" t="s">
        <v>1289</v>
      </c>
      <c r="F687" s="14" t="s">
        <v>817</v>
      </c>
      <c r="G687" s="15"/>
      <c r="H687" s="18"/>
      <c r="I687" s="18"/>
      <c r="K687" s="14">
        <f>VLOOKUP(B687,weights!A:G,5,FALSE)</f>
        <v>1.88</v>
      </c>
      <c r="L687" s="14">
        <f>VLOOKUP(B687,weights!A:G,6,FALSE)</f>
        <v>7</v>
      </c>
      <c r="M687" s="14">
        <f>VLOOKUP(B687,weights!A:G,7,FALSE)</f>
        <v>10</v>
      </c>
      <c r="N687" t="s">
        <v>4017</v>
      </c>
      <c r="O687">
        <v>700</v>
      </c>
      <c r="P687">
        <v>48.896664396299997</v>
      </c>
      <c r="Q687">
        <v>2.2400792520500001</v>
      </c>
      <c r="R687" s="22">
        <v>48</v>
      </c>
      <c r="S687" s="22">
        <v>53</v>
      </c>
      <c r="T687" s="22">
        <v>48</v>
      </c>
      <c r="U687" s="24">
        <f>R687+S687/60+T687/3600</f>
        <v>48.896666666666668</v>
      </c>
      <c r="V687" s="28">
        <f>ABS(U687-P687)/P687</f>
        <v>4.6431933539513398E-8</v>
      </c>
      <c r="W687" s="22">
        <v>2</v>
      </c>
      <c r="X687" s="22">
        <v>14</v>
      </c>
      <c r="Y687" s="22">
        <v>24</v>
      </c>
      <c r="Z687" s="14">
        <f>W687+X687/60+Y687/3600</f>
        <v>2.2400000000000002</v>
      </c>
      <c r="AA687" s="26">
        <f>ABS(Z687-Q687)/Q687</f>
        <v>3.5379127737286766E-5</v>
      </c>
      <c r="AB687" s="26"/>
      <c r="AC687" s="24">
        <f>U687</f>
        <v>48.896666666666668</v>
      </c>
      <c r="AD687" s="14">
        <f>Z687</f>
        <v>2.2400000000000002</v>
      </c>
    </row>
    <row r="688" spans="1:30" s="14" customFormat="1">
      <c r="A688" s="12">
        <v>7</v>
      </c>
      <c r="B688" s="12" t="s">
        <v>661</v>
      </c>
      <c r="C688" s="14" t="str">
        <f>VLOOKUP(B688,weights!A:B,2,FALSE)</f>
        <v>P</v>
      </c>
      <c r="D688" s="13">
        <v>686</v>
      </c>
      <c r="E688" s="14" t="s">
        <v>68</v>
      </c>
      <c r="F688" s="14" t="s">
        <v>819</v>
      </c>
      <c r="G688" s="15" t="s">
        <v>839</v>
      </c>
      <c r="H688" s="18"/>
      <c r="I688" s="18" t="s">
        <v>1579</v>
      </c>
      <c r="K688" s="14">
        <f>VLOOKUP(B688,weights!A:G,5,FALSE)</f>
        <v>1.88</v>
      </c>
      <c r="L688" s="14">
        <f>VLOOKUP(B688,weights!A:G,6,FALSE)</f>
        <v>7</v>
      </c>
      <c r="M688" s="14">
        <f>VLOOKUP(B688,weights!A:G,7,FALSE)</f>
        <v>10</v>
      </c>
      <c r="N688" t="s">
        <v>4391</v>
      </c>
      <c r="O688">
        <v>719</v>
      </c>
      <c r="P688">
        <v>48.892187076399999</v>
      </c>
      <c r="Q688">
        <v>2.2370180564000002</v>
      </c>
      <c r="R688" s="22">
        <v>48</v>
      </c>
      <c r="S688" s="22">
        <v>53</v>
      </c>
      <c r="T688" s="22">
        <v>34</v>
      </c>
      <c r="U688" s="24">
        <f>R688+S688/60+T688/3600</f>
        <v>48.892777777777781</v>
      </c>
      <c r="V688" s="28">
        <f>ABS(U688-P688)/P688</f>
        <v>1.2081713114172141E-5</v>
      </c>
      <c r="W688" s="22">
        <v>2</v>
      </c>
      <c r="X688" s="22">
        <v>14</v>
      </c>
      <c r="Y688" s="22">
        <v>14</v>
      </c>
      <c r="Z688" s="14">
        <f>W688+X688/60+Y688/3600</f>
        <v>2.2372222222222224</v>
      </c>
      <c r="AA688" s="26">
        <f>ABS(Z688-Q688)/Q688</f>
        <v>9.1266953182680006E-5</v>
      </c>
      <c r="AB688" s="26"/>
      <c r="AC688" s="24">
        <f>U688</f>
        <v>48.892777777777781</v>
      </c>
      <c r="AD688" s="14">
        <f>Z688</f>
        <v>2.2372222222222224</v>
      </c>
    </row>
    <row r="689" spans="1:30" s="14" customFormat="1">
      <c r="A689" s="12">
        <v>8</v>
      </c>
      <c r="B689" s="12" t="s">
        <v>661</v>
      </c>
      <c r="C689" s="14" t="str">
        <f>VLOOKUP(B689,weights!A:B,2,FALSE)</f>
        <v>P</v>
      </c>
      <c r="D689" s="13">
        <v>687</v>
      </c>
      <c r="E689" s="14" t="s">
        <v>820</v>
      </c>
      <c r="F689" s="14" t="s">
        <v>821</v>
      </c>
      <c r="G689" s="15" t="s">
        <v>840</v>
      </c>
      <c r="H689" s="18"/>
      <c r="I689" s="18" t="s">
        <v>1871</v>
      </c>
      <c r="K689" s="14">
        <f>VLOOKUP(B689,weights!A:G,5,FALSE)</f>
        <v>1.88</v>
      </c>
      <c r="L689" s="14">
        <f>VLOOKUP(B689,weights!A:G,6,FALSE)</f>
        <v>7</v>
      </c>
      <c r="M689" s="14">
        <f>VLOOKUP(B689,weights!A:G,7,FALSE)</f>
        <v>10</v>
      </c>
      <c r="N689" t="s">
        <v>5393</v>
      </c>
      <c r="O689">
        <v>573</v>
      </c>
      <c r="P689">
        <v>48.883362341900003</v>
      </c>
      <c r="Q689">
        <v>2.2337816806499999</v>
      </c>
      <c r="R689" s="22">
        <v>48</v>
      </c>
      <c r="S689" s="22">
        <v>53</v>
      </c>
      <c r="T689" s="22">
        <v>0</v>
      </c>
      <c r="U689" s="24">
        <f>R689+S689/60+T689/3600</f>
        <v>48.883333333333333</v>
      </c>
      <c r="V689" s="28">
        <f>ABS(U689-P689)/P689</f>
        <v>5.9342412798140082E-7</v>
      </c>
      <c r="W689" s="22">
        <v>2</v>
      </c>
      <c r="X689" s="22">
        <v>14</v>
      </c>
      <c r="Y689" s="22">
        <v>2</v>
      </c>
      <c r="Z689" s="14">
        <f>W689+X689/60+Y689/3600</f>
        <v>2.233888888888889</v>
      </c>
      <c r="AA689" s="26">
        <f>ABS(Z689-Q689)/Q689</f>
        <v>4.7994054127037313E-5</v>
      </c>
      <c r="AB689" s="26"/>
      <c r="AC689" s="24">
        <f>U689</f>
        <v>48.883333333333333</v>
      </c>
      <c r="AD689" s="14">
        <f>Z689</f>
        <v>2.233888888888889</v>
      </c>
    </row>
    <row r="690" spans="1:30" s="14" customFormat="1">
      <c r="A690" s="12">
        <v>9</v>
      </c>
      <c r="B690" s="12" t="s">
        <v>661</v>
      </c>
      <c r="C690" s="14" t="str">
        <f>VLOOKUP(B690,weights!A:B,2,FALSE)</f>
        <v>P</v>
      </c>
      <c r="D690" s="13">
        <v>688</v>
      </c>
      <c r="E690" s="14" t="s">
        <v>1250</v>
      </c>
      <c r="F690" s="14" t="s">
        <v>822</v>
      </c>
      <c r="G690" s="15"/>
      <c r="H690" s="18"/>
      <c r="I690" s="18"/>
      <c r="K690" s="14">
        <f>VLOOKUP(B690,weights!A:G,5,FALSE)</f>
        <v>1.88</v>
      </c>
      <c r="L690" s="14">
        <f>VLOOKUP(B690,weights!A:G,6,FALSE)</f>
        <v>7</v>
      </c>
      <c r="M690" s="14">
        <f>VLOOKUP(B690,weights!A:G,7,FALSE)</f>
        <v>10</v>
      </c>
      <c r="N690" t="s">
        <v>3315</v>
      </c>
      <c r="O690">
        <v>25</v>
      </c>
      <c r="P690">
        <v>48.876001291500003</v>
      </c>
      <c r="Q690">
        <v>2.2259590951399999</v>
      </c>
      <c r="R690" s="22">
        <v>48</v>
      </c>
      <c r="S690" s="22">
        <v>52</v>
      </c>
      <c r="T690" s="22">
        <v>33</v>
      </c>
      <c r="U690" s="24">
        <f>R690+S690/60+T690/3600</f>
        <v>48.875833333333333</v>
      </c>
      <c r="V690" s="28">
        <f>ABS(U690-P690)/P690</f>
        <v>3.4364138274935014E-6</v>
      </c>
      <c r="W690" s="22">
        <v>2</v>
      </c>
      <c r="X690" s="22">
        <v>13</v>
      </c>
      <c r="Y690" s="22">
        <v>33</v>
      </c>
      <c r="Z690" s="14">
        <f>W690+X690/60+Y690/3600</f>
        <v>2.2258333333333336</v>
      </c>
      <c r="AA690" s="26">
        <f>ABS(Z690-Q690)/Q690</f>
        <v>5.6497806694168907E-5</v>
      </c>
      <c r="AB690" s="26"/>
      <c r="AC690" s="24">
        <f>U690</f>
        <v>48.875833333333333</v>
      </c>
      <c r="AD690" s="14">
        <f>Z690</f>
        <v>2.2258333333333336</v>
      </c>
    </row>
    <row r="691" spans="1:30" s="14" customFormat="1">
      <c r="A691" s="12">
        <v>10</v>
      </c>
      <c r="B691" s="12" t="s">
        <v>661</v>
      </c>
      <c r="C691" s="14" t="str">
        <f>VLOOKUP(B691,weights!A:B,2,FALSE)</f>
        <v>P</v>
      </c>
      <c r="D691" s="13">
        <v>689</v>
      </c>
      <c r="E691" s="14" t="s">
        <v>1423</v>
      </c>
      <c r="F691" s="14" t="s">
        <v>823</v>
      </c>
      <c r="G691" s="15" t="s">
        <v>1473</v>
      </c>
      <c r="H691" s="18"/>
      <c r="I691" s="18" t="s">
        <v>1873</v>
      </c>
      <c r="K691" s="14">
        <f>VLOOKUP(B691,weights!A:G,5,FALSE)</f>
        <v>1.88</v>
      </c>
      <c r="L691" s="14">
        <f>VLOOKUP(B691,weights!A:G,6,FALSE)</f>
        <v>7</v>
      </c>
      <c r="M691" s="14">
        <f>VLOOKUP(B691,weights!A:G,7,FALSE)</f>
        <v>10</v>
      </c>
      <c r="N691" t="s">
        <v>5751</v>
      </c>
      <c r="O691">
        <v>572</v>
      </c>
      <c r="P691">
        <v>48.868238784900001</v>
      </c>
      <c r="Q691">
        <v>2.2214106039799999</v>
      </c>
      <c r="R691" s="22">
        <v>48</v>
      </c>
      <c r="S691" s="22">
        <v>52</v>
      </c>
      <c r="T691" s="22">
        <v>5</v>
      </c>
      <c r="U691" s="24">
        <f>R691+S691/60+T691/3600</f>
        <v>48.868055555555557</v>
      </c>
      <c r="V691" s="28">
        <f>ABS(U691-P691)/P691</f>
        <v>3.7494566818790192E-6</v>
      </c>
      <c r="W691" s="22">
        <v>2</v>
      </c>
      <c r="X691" s="22">
        <v>13</v>
      </c>
      <c r="Y691" s="22">
        <v>17</v>
      </c>
      <c r="Z691" s="14">
        <f>W691+X691/60+Y691/3600</f>
        <v>2.2213888888888889</v>
      </c>
      <c r="AA691" s="26">
        <f>ABS(Z691-Q691)/Q691</f>
        <v>9.7753612376455419E-6</v>
      </c>
      <c r="AB691" s="26"/>
      <c r="AC691" s="24">
        <f>U691</f>
        <v>48.868055555555557</v>
      </c>
      <c r="AD691" s="14">
        <f>Z691</f>
        <v>2.2213888888888889</v>
      </c>
    </row>
    <row r="692" spans="1:30" s="14" customFormat="1">
      <c r="A692" s="12">
        <v>11</v>
      </c>
      <c r="B692" s="12" t="s">
        <v>661</v>
      </c>
      <c r="C692" s="14" t="str">
        <f>VLOOKUP(B692,weights!A:B,2,FALSE)</f>
        <v>P</v>
      </c>
      <c r="D692" s="13">
        <v>690</v>
      </c>
      <c r="E692" s="14" t="s">
        <v>1344</v>
      </c>
      <c r="F692" s="14" t="s">
        <v>824</v>
      </c>
      <c r="G692" s="15" t="s">
        <v>1469</v>
      </c>
      <c r="H692" s="18"/>
      <c r="I692" s="18" t="s">
        <v>1874</v>
      </c>
      <c r="K692" s="14">
        <f>VLOOKUP(B692,weights!A:G,5,FALSE)</f>
        <v>1.88</v>
      </c>
      <c r="L692" s="14">
        <f>VLOOKUP(B692,weights!A:G,6,FALSE)</f>
        <v>7</v>
      </c>
      <c r="M692" s="14">
        <f>VLOOKUP(B692,weights!A:G,7,FALSE)</f>
        <v>10</v>
      </c>
      <c r="N692" t="s">
        <v>4563</v>
      </c>
      <c r="O692">
        <v>6</v>
      </c>
      <c r="P692">
        <v>48.857471408899997</v>
      </c>
      <c r="Q692">
        <v>2.2206035600299998</v>
      </c>
      <c r="R692" s="22">
        <v>48</v>
      </c>
      <c r="S692" s="22">
        <v>51</v>
      </c>
      <c r="T692" s="22">
        <v>25</v>
      </c>
      <c r="U692" s="24">
        <f>R692+S692/60+T692/3600</f>
        <v>48.856944444444444</v>
      </c>
      <c r="V692" s="28">
        <f>ABS(U692-P692)/P692</f>
        <v>1.0785749658271624E-5</v>
      </c>
      <c r="W692" s="22">
        <v>2</v>
      </c>
      <c r="X692" s="22">
        <v>13</v>
      </c>
      <c r="Y692" s="22">
        <v>14</v>
      </c>
      <c r="Z692" s="14">
        <f>W692+X692/60+Y692/3600</f>
        <v>2.2205555555555558</v>
      </c>
      <c r="AA692" s="26">
        <f>ABS(Z692-Q692)/Q692</f>
        <v>2.1617759832523171E-5</v>
      </c>
      <c r="AB692" s="26"/>
      <c r="AC692" s="24">
        <f>U692</f>
        <v>48.856944444444444</v>
      </c>
      <c r="AD692" s="14">
        <f>Z692</f>
        <v>2.2205555555555558</v>
      </c>
    </row>
    <row r="693" spans="1:30" s="14" customFormat="1">
      <c r="A693" s="12">
        <v>12</v>
      </c>
      <c r="B693" s="12" t="s">
        <v>661</v>
      </c>
      <c r="C693" s="14" t="str">
        <f>VLOOKUP(B693,weights!A:B,2,FALSE)</f>
        <v>P</v>
      </c>
      <c r="D693" s="13">
        <v>691</v>
      </c>
      <c r="E693" s="14" t="s">
        <v>1347</v>
      </c>
      <c r="F693" s="14" t="s">
        <v>826</v>
      </c>
      <c r="G693" s="15" t="s">
        <v>1471</v>
      </c>
      <c r="H693" s="18"/>
      <c r="I693" s="18" t="s">
        <v>1876</v>
      </c>
      <c r="K693" s="14">
        <f>VLOOKUP(B693,weights!A:G,5,FALSE)</f>
        <v>1.88</v>
      </c>
      <c r="L693" s="14">
        <f>VLOOKUP(B693,weights!A:G,6,FALSE)</f>
        <v>7</v>
      </c>
      <c r="M693" s="14">
        <f>VLOOKUP(B693,weights!A:G,7,FALSE)</f>
        <v>10</v>
      </c>
      <c r="N693" t="s">
        <v>4587</v>
      </c>
      <c r="O693">
        <v>206</v>
      </c>
      <c r="P693">
        <v>48.849850487799998</v>
      </c>
      <c r="Q693">
        <v>2.2212326832699998</v>
      </c>
      <c r="R693" s="22">
        <v>48</v>
      </c>
      <c r="S693" s="22">
        <v>50</v>
      </c>
      <c r="T693" s="22">
        <v>59</v>
      </c>
      <c r="U693" s="24">
        <f>R693+S693/60+T693/3600</f>
        <v>48.849722222222226</v>
      </c>
      <c r="V693" s="28">
        <f>ABS(U693-P693)/P693</f>
        <v>2.6257107542937467E-6</v>
      </c>
      <c r="W693" s="22">
        <v>2</v>
      </c>
      <c r="X693" s="22">
        <v>13</v>
      </c>
      <c r="Y693" s="22">
        <v>16</v>
      </c>
      <c r="Z693" s="14">
        <f>W693+X693/60+Y693/3600</f>
        <v>2.221111111111111</v>
      </c>
      <c r="AA693" s="26">
        <f>ABS(Z693-Q693)/Q693</f>
        <v>5.4731843180776815E-5</v>
      </c>
      <c r="AB693" s="26"/>
      <c r="AC693" s="24">
        <f>U693</f>
        <v>48.849722222222226</v>
      </c>
      <c r="AD693" s="14">
        <f>Z693</f>
        <v>2.221111111111111</v>
      </c>
    </row>
    <row r="694" spans="1:30" s="14" customFormat="1">
      <c r="A694" s="12">
        <v>13</v>
      </c>
      <c r="B694" s="12" t="s">
        <v>661</v>
      </c>
      <c r="C694" s="14" t="str">
        <f>VLOOKUP(B694,weights!A:B,2,FALSE)</f>
        <v>P</v>
      </c>
      <c r="D694" s="13">
        <v>692</v>
      </c>
      <c r="E694" s="14" t="s">
        <v>1377</v>
      </c>
      <c r="F694" s="14" t="s">
        <v>827</v>
      </c>
      <c r="G694" s="15" t="s">
        <v>1497</v>
      </c>
      <c r="H694" s="18"/>
      <c r="I694" s="18" t="s">
        <v>1877</v>
      </c>
      <c r="K694" s="14">
        <f>VLOOKUP(B694,weights!A:G,5,FALSE)</f>
        <v>1.88</v>
      </c>
      <c r="L694" s="14">
        <f>VLOOKUP(B694,weights!A:G,6,FALSE)</f>
        <v>7</v>
      </c>
      <c r="M694" s="14">
        <f>VLOOKUP(B694,weights!A:G,7,FALSE)</f>
        <v>10</v>
      </c>
      <c r="N694" t="s">
        <v>5094</v>
      </c>
      <c r="O694">
        <v>834</v>
      </c>
      <c r="P694">
        <v>48.843124399899999</v>
      </c>
      <c r="Q694">
        <v>2.2218514947500001</v>
      </c>
      <c r="R694" s="22">
        <v>48</v>
      </c>
      <c r="S694" s="22">
        <v>50</v>
      </c>
      <c r="T694" s="22">
        <v>35</v>
      </c>
      <c r="U694" s="24">
        <f>R694+S694/60+T694/3600</f>
        <v>48.843055555555559</v>
      </c>
      <c r="V694" s="28">
        <f>ABS(U694-P694)/P694</f>
        <v>1.409499193308422E-6</v>
      </c>
      <c r="W694" s="22">
        <v>2</v>
      </c>
      <c r="X694" s="22">
        <v>13</v>
      </c>
      <c r="Y694" s="22">
        <v>19</v>
      </c>
      <c r="Z694" s="14">
        <f>W694+X694/60+Y694/3600</f>
        <v>2.2219444444444445</v>
      </c>
      <c r="AA694" s="26">
        <f>ABS(Z694-Q694)/Q694</f>
        <v>4.1834341612853063E-5</v>
      </c>
      <c r="AB694" s="26"/>
      <c r="AC694" s="24">
        <f>U694</f>
        <v>48.843055555555559</v>
      </c>
      <c r="AD694" s="14">
        <f>Z694</f>
        <v>2.2219444444444445</v>
      </c>
    </row>
    <row r="695" spans="1:30" s="14" customFormat="1">
      <c r="A695" s="12">
        <v>14</v>
      </c>
      <c r="B695" s="12" t="s">
        <v>661</v>
      </c>
      <c r="C695" s="14" t="str">
        <f>VLOOKUP(B695,weights!A:B,2,FALSE)</f>
        <v>P</v>
      </c>
      <c r="D695" s="13">
        <v>693</v>
      </c>
      <c r="E695" s="14" t="s">
        <v>1368</v>
      </c>
      <c r="F695" s="14" t="s">
        <v>828</v>
      </c>
      <c r="G695" s="15" t="s">
        <v>1477</v>
      </c>
      <c r="H695" s="18"/>
      <c r="I695" s="18" t="s">
        <v>1878</v>
      </c>
      <c r="K695" s="14">
        <f>VLOOKUP(B695,weights!A:G,5,FALSE)</f>
        <v>1.88</v>
      </c>
      <c r="L695" s="14">
        <f>VLOOKUP(B695,weights!A:G,6,FALSE)</f>
        <v>7</v>
      </c>
      <c r="M695" s="14">
        <f>VLOOKUP(B695,weights!A:G,7,FALSE)</f>
        <v>10</v>
      </c>
      <c r="N695" t="s">
        <v>4959</v>
      </c>
      <c r="O695">
        <v>833</v>
      </c>
      <c r="P695">
        <v>48.829010502800003</v>
      </c>
      <c r="Q695">
        <v>2.2253128532800002</v>
      </c>
      <c r="R695" s="22">
        <v>48</v>
      </c>
      <c r="S695" s="22">
        <v>49</v>
      </c>
      <c r="T695" s="22">
        <v>42</v>
      </c>
      <c r="U695" s="24">
        <f>R695+S695/60+T695/3600</f>
        <v>48.828333333333333</v>
      </c>
      <c r="V695" s="28">
        <f>ABS(U695-P695)/P695</f>
        <v>1.3868179176614565E-5</v>
      </c>
      <c r="W695" s="22">
        <v>2</v>
      </c>
      <c r="X695" s="22">
        <v>13</v>
      </c>
      <c r="Y695" s="22">
        <v>32</v>
      </c>
      <c r="Z695" s="14">
        <f>W695+X695/60+Y695/3600</f>
        <v>2.2255555555555557</v>
      </c>
      <c r="AA695" s="26">
        <f>ABS(Z695-Q695)/Q695</f>
        <v>1.0906433906487839E-4</v>
      </c>
      <c r="AB695" s="26"/>
      <c r="AC695" s="24">
        <f>U695</f>
        <v>48.828333333333333</v>
      </c>
      <c r="AD695" s="14">
        <f>Z695</f>
        <v>2.2255555555555557</v>
      </c>
    </row>
    <row r="696" spans="1:30" s="14" customFormat="1">
      <c r="A696" s="12">
        <v>15</v>
      </c>
      <c r="B696" s="12" t="s">
        <v>661</v>
      </c>
      <c r="C696" s="14" t="str">
        <f>VLOOKUP(B696,weights!A:B,2,FALSE)</f>
        <v>P</v>
      </c>
      <c r="D696" s="13">
        <v>694</v>
      </c>
      <c r="E696" s="14" t="s">
        <v>1255</v>
      </c>
      <c r="F696" s="14" t="s">
        <v>829</v>
      </c>
      <c r="G696" s="15"/>
      <c r="H696" s="18"/>
      <c r="I696" s="18"/>
      <c r="K696" s="14">
        <f>VLOOKUP(B696,weights!A:G,5,FALSE)</f>
        <v>1.88</v>
      </c>
      <c r="L696" s="14">
        <f>VLOOKUP(B696,weights!A:G,6,FALSE)</f>
        <v>7</v>
      </c>
      <c r="M696" s="14">
        <f>VLOOKUP(B696,weights!A:G,7,FALSE)</f>
        <v>10</v>
      </c>
      <c r="N696" t="s">
        <v>3459</v>
      </c>
      <c r="O696">
        <v>849</v>
      </c>
      <c r="P696">
        <v>48.822309932899998</v>
      </c>
      <c r="Q696">
        <v>2.2313231598700001</v>
      </c>
      <c r="R696" s="22">
        <v>48</v>
      </c>
      <c r="S696" s="22">
        <v>49</v>
      </c>
      <c r="T696" s="22">
        <v>20</v>
      </c>
      <c r="U696" s="24">
        <f>R696+S696/60+T696/3600</f>
        <v>48.822222222222223</v>
      </c>
      <c r="V696" s="28">
        <f>ABS(U696-P696)/P696</f>
        <v>1.7965286340521058E-6</v>
      </c>
      <c r="W696" s="22">
        <v>2</v>
      </c>
      <c r="X696" s="22">
        <v>13</v>
      </c>
      <c r="Y696" s="22">
        <v>53</v>
      </c>
      <c r="Z696" s="14">
        <f>W696+X696/60+Y696/3600</f>
        <v>2.2313888888888891</v>
      </c>
      <c r="AA696" s="26">
        <f>ABS(Z696-Q696)/Q696</f>
        <v>2.9457417944268233E-5</v>
      </c>
      <c r="AB696" s="26"/>
      <c r="AC696" s="24">
        <f>U696</f>
        <v>48.822222222222223</v>
      </c>
      <c r="AD696" s="14">
        <f>Z696</f>
        <v>2.2313888888888891</v>
      </c>
    </row>
    <row r="697" spans="1:30" s="14" customFormat="1">
      <c r="A697" s="12">
        <v>16</v>
      </c>
      <c r="B697" s="12" t="s">
        <v>661</v>
      </c>
      <c r="C697" s="14" t="str">
        <f>VLOOKUP(B697,weights!A:B,2,FALSE)</f>
        <v>P</v>
      </c>
      <c r="D697" s="13">
        <v>695</v>
      </c>
      <c r="E697" s="14" t="s">
        <v>1364</v>
      </c>
      <c r="F697" s="14" t="s">
        <v>830</v>
      </c>
      <c r="G697" s="15"/>
      <c r="H697" s="18"/>
      <c r="I697" s="18"/>
      <c r="K697" s="14">
        <f>VLOOKUP(B697,weights!A:G,5,FALSE)</f>
        <v>1.88</v>
      </c>
      <c r="L697" s="14">
        <f>VLOOKUP(B697,weights!A:G,6,FALSE)</f>
        <v>7</v>
      </c>
      <c r="M697" s="14">
        <f>VLOOKUP(B697,weights!A:G,7,FALSE)</f>
        <v>10</v>
      </c>
      <c r="N697" t="s">
        <v>4856</v>
      </c>
      <c r="O697">
        <v>9</v>
      </c>
      <c r="P697">
        <v>48.819174329100001</v>
      </c>
      <c r="Q697">
        <v>2.2385983377900001</v>
      </c>
      <c r="R697" s="22">
        <v>48</v>
      </c>
      <c r="S697" s="22">
        <v>49</v>
      </c>
      <c r="T697" s="22">
        <v>9</v>
      </c>
      <c r="U697" s="24">
        <f>R697+S697/60+T697/3600</f>
        <v>48.819166666666668</v>
      </c>
      <c r="V697" s="28">
        <f>ABS(U697-P697)/P697</f>
        <v>1.5695540611794238E-7</v>
      </c>
      <c r="W697" s="22">
        <v>2</v>
      </c>
      <c r="X697" s="22">
        <v>14</v>
      </c>
      <c r="Y697" s="22">
        <v>22</v>
      </c>
      <c r="Z697" s="14">
        <f>W697+X697/60+Y697/3600</f>
        <v>2.2394444444444446</v>
      </c>
      <c r="AA697" s="26">
        <f>ABS(Z697-Q697)/Q697</f>
        <v>3.7796269217273219E-4</v>
      </c>
      <c r="AB697" s="26"/>
      <c r="AC697" s="24">
        <f>U697</f>
        <v>48.819166666666668</v>
      </c>
      <c r="AD697" s="14">
        <f>Z697</f>
        <v>2.2394444444444446</v>
      </c>
    </row>
    <row r="698" spans="1:30" s="14" customFormat="1">
      <c r="A698" s="12">
        <v>17</v>
      </c>
      <c r="B698" s="12" t="s">
        <v>661</v>
      </c>
      <c r="C698" s="14" t="str">
        <f>VLOOKUP(B698,weights!A:B,2,FALSE)</f>
        <v>P</v>
      </c>
      <c r="D698" s="13">
        <v>696</v>
      </c>
      <c r="E698" s="14" t="s">
        <v>1349</v>
      </c>
      <c r="F698" s="14" t="s">
        <v>832</v>
      </c>
      <c r="G698" s="15"/>
      <c r="H698" s="18"/>
      <c r="I698" s="18"/>
      <c r="K698" s="14">
        <f>VLOOKUP(B698,weights!A:G,5,FALSE)</f>
        <v>1.88</v>
      </c>
      <c r="L698" s="14">
        <f>VLOOKUP(B698,weights!A:G,6,FALSE)</f>
        <v>7</v>
      </c>
      <c r="M698" s="14">
        <f>VLOOKUP(B698,weights!A:G,7,FALSE)</f>
        <v>10</v>
      </c>
      <c r="N698" t="s">
        <v>4593</v>
      </c>
      <c r="O698">
        <v>832</v>
      </c>
      <c r="P698">
        <v>48.821517522500002</v>
      </c>
      <c r="Q698">
        <v>2.2513361562099998</v>
      </c>
      <c r="R698" s="22">
        <v>48</v>
      </c>
      <c r="S698" s="22">
        <v>49</v>
      </c>
      <c r="T698" s="22">
        <v>17</v>
      </c>
      <c r="U698" s="24">
        <f>R698+S698/60+T698/3600</f>
        <v>48.82138888888889</v>
      </c>
      <c r="V698" s="28">
        <f>ABS(U698-P698)/P698</f>
        <v>2.6347728960466581E-6</v>
      </c>
      <c r="W698" s="22">
        <v>2</v>
      </c>
      <c r="X698" s="22">
        <v>15</v>
      </c>
      <c r="Y698" s="22">
        <v>5</v>
      </c>
      <c r="Z698" s="14">
        <f>W698+X698/60+Y698/3600</f>
        <v>2.2513888888888891</v>
      </c>
      <c r="AA698" s="26">
        <f>ABS(Z698-Q698)/Q698</f>
        <v>2.3422836586985065E-5</v>
      </c>
      <c r="AB698" s="26"/>
      <c r="AC698" s="24">
        <f>U698</f>
        <v>48.82138888888889</v>
      </c>
      <c r="AD698" s="14">
        <f>Z698</f>
        <v>2.2513888888888891</v>
      </c>
    </row>
    <row r="699" spans="1:30" s="14" customFormat="1">
      <c r="A699" s="12">
        <v>18</v>
      </c>
      <c r="B699" s="12" t="s">
        <v>661</v>
      </c>
      <c r="C699" s="14" t="str">
        <f>VLOOKUP(B699,weights!A:B,2,FALSE)</f>
        <v>P</v>
      </c>
      <c r="D699" s="13">
        <v>697</v>
      </c>
      <c r="E699" s="14" t="s">
        <v>1316</v>
      </c>
      <c r="F699" s="14" t="s">
        <v>833</v>
      </c>
      <c r="G699" s="15"/>
      <c r="H699" s="18"/>
      <c r="I699" s="18"/>
      <c r="K699" s="14">
        <f>VLOOKUP(B699,weights!A:G,5,FALSE)</f>
        <v>1.88</v>
      </c>
      <c r="L699" s="14">
        <f>VLOOKUP(B699,weights!A:G,6,FALSE)</f>
        <v>7</v>
      </c>
      <c r="M699" s="14">
        <f>VLOOKUP(B699,weights!A:G,7,FALSE)</f>
        <v>10</v>
      </c>
      <c r="N699" t="s">
        <v>4293</v>
      </c>
      <c r="O699">
        <v>570</v>
      </c>
      <c r="P699">
        <v>48.824767025500002</v>
      </c>
      <c r="Q699">
        <v>2.2605399136700002</v>
      </c>
      <c r="R699" s="22">
        <v>48</v>
      </c>
      <c r="S699" s="22">
        <v>49</v>
      </c>
      <c r="T699" s="22">
        <v>29</v>
      </c>
      <c r="U699" s="24">
        <f>R699+S699/60+T699/3600</f>
        <v>48.824722222222228</v>
      </c>
      <c r="V699" s="28">
        <f>ABS(U699-P699)/P699</f>
        <v>9.1763423572729987E-7</v>
      </c>
      <c r="W699" s="22">
        <v>2</v>
      </c>
      <c r="X699" s="22">
        <v>15</v>
      </c>
      <c r="Y699" s="22">
        <v>38</v>
      </c>
      <c r="Z699" s="14">
        <f>W699+X699/60+Y699/3600</f>
        <v>2.2605555555555554</v>
      </c>
      <c r="AA699" s="26">
        <f>ABS(Z699-Q699)/Q699</f>
        <v>6.9195352228292347E-6</v>
      </c>
      <c r="AB699" s="26"/>
      <c r="AC699" s="24">
        <f>U699</f>
        <v>48.824722222222228</v>
      </c>
      <c r="AD699" s="14">
        <f>Z699</f>
        <v>2.2605555555555554</v>
      </c>
    </row>
    <row r="700" spans="1:30" s="14" customFormat="1">
      <c r="A700" s="12">
        <v>19</v>
      </c>
      <c r="B700" s="12" t="s">
        <v>661</v>
      </c>
      <c r="C700" s="14" t="str">
        <f>VLOOKUP(B700,weights!A:B,2,FALSE)</f>
        <v>P</v>
      </c>
      <c r="D700" s="13">
        <v>698</v>
      </c>
      <c r="E700" s="14" t="s">
        <v>599</v>
      </c>
      <c r="F700" s="14" t="s">
        <v>834</v>
      </c>
      <c r="G700" s="15" t="s">
        <v>569</v>
      </c>
      <c r="H700" s="18"/>
      <c r="I700" s="18" t="s">
        <v>1879</v>
      </c>
      <c r="K700" s="14">
        <f>VLOOKUP(B700,weights!A:G,5,FALSE)</f>
        <v>1.88</v>
      </c>
      <c r="L700" s="14">
        <f>VLOOKUP(B700,weights!A:G,6,FALSE)</f>
        <v>7</v>
      </c>
      <c r="M700" s="14">
        <f>VLOOKUP(B700,weights!A:G,7,FALSE)</f>
        <v>10</v>
      </c>
      <c r="N700" t="s">
        <v>4277</v>
      </c>
      <c r="O700">
        <v>820</v>
      </c>
      <c r="P700">
        <v>48.830119639300001</v>
      </c>
      <c r="Q700">
        <v>2.2636896487399998</v>
      </c>
      <c r="R700" s="22">
        <v>48</v>
      </c>
      <c r="S700" s="22">
        <v>49</v>
      </c>
      <c r="T700" s="22">
        <v>47</v>
      </c>
      <c r="U700" s="24">
        <f>R700+S700/60+T700/3600</f>
        <v>48.829722222222223</v>
      </c>
      <c r="V700" s="28">
        <f>ABS(U700-P700)/P700</f>
        <v>8.138769282437291E-6</v>
      </c>
      <c r="W700" s="22">
        <v>2</v>
      </c>
      <c r="X700" s="22">
        <v>15</v>
      </c>
      <c r="Y700" s="22">
        <v>47</v>
      </c>
      <c r="Z700" s="14">
        <f>W700+X700/60+Y700/3600</f>
        <v>2.2630555555555554</v>
      </c>
      <c r="AA700" s="26">
        <f>ABS(Z700-Q700)/Q700</f>
        <v>2.8011489331028716E-4</v>
      </c>
      <c r="AB700" s="26"/>
      <c r="AC700" s="24">
        <f>U700</f>
        <v>48.829722222222223</v>
      </c>
      <c r="AD700" s="14">
        <f>Z700</f>
        <v>2.2630555555555554</v>
      </c>
    </row>
    <row r="701" spans="1:30" s="14" customFormat="1">
      <c r="A701" s="12">
        <v>20</v>
      </c>
      <c r="B701" s="12" t="s">
        <v>661</v>
      </c>
      <c r="C701" s="14" t="str">
        <f>VLOOKUP(B701,weights!A:B,2,FALSE)</f>
        <v>P</v>
      </c>
      <c r="D701" s="13">
        <v>699</v>
      </c>
      <c r="E701" s="14" t="s">
        <v>1305</v>
      </c>
      <c r="F701" s="14" t="s">
        <v>835</v>
      </c>
      <c r="G701" s="15"/>
      <c r="H701" s="18"/>
      <c r="I701" s="18"/>
      <c r="K701" s="14">
        <f>VLOOKUP(B701,weights!A:G,5,FALSE)</f>
        <v>1.88</v>
      </c>
      <c r="L701" s="14">
        <f>VLOOKUP(B701,weights!A:G,6,FALSE)</f>
        <v>7</v>
      </c>
      <c r="M701" s="14">
        <f>VLOOKUP(B701,weights!A:G,7,FALSE)</f>
        <v>10</v>
      </c>
      <c r="N701" t="s">
        <v>4212</v>
      </c>
      <c r="O701">
        <v>661</v>
      </c>
      <c r="P701">
        <v>48.834750010400001</v>
      </c>
      <c r="Q701">
        <v>2.27124150094</v>
      </c>
      <c r="R701" s="22">
        <v>48</v>
      </c>
      <c r="S701" s="22">
        <v>50</v>
      </c>
      <c r="T701" s="22">
        <v>5</v>
      </c>
      <c r="U701" s="24">
        <f>R701+S701/60+T701/3600</f>
        <v>48.834722222222226</v>
      </c>
      <c r="V701" s="28">
        <f>ABS(U701-P701)/P701</f>
        <v>5.6902467543922302E-7</v>
      </c>
      <c r="W701" s="22">
        <v>2</v>
      </c>
      <c r="X701" s="22">
        <v>16</v>
      </c>
      <c r="Y701" s="22">
        <v>14</v>
      </c>
      <c r="Z701" s="14">
        <f>W701+X701/60+Y701/3600</f>
        <v>2.2705555555555557</v>
      </c>
      <c r="AA701" s="26">
        <f>ABS(Z701-Q701)/Q701</f>
        <v>3.020134072754651E-4</v>
      </c>
      <c r="AB701" s="26"/>
      <c r="AC701" s="24">
        <f>U701</f>
        <v>48.834722222222226</v>
      </c>
      <c r="AD701" s="14">
        <f>Z701</f>
        <v>2.2705555555555557</v>
      </c>
    </row>
    <row r="702" spans="1:30" s="14" customFormat="1">
      <c r="A702" s="12">
        <v>21</v>
      </c>
      <c r="B702" s="12" t="s">
        <v>661</v>
      </c>
      <c r="C702" s="14" t="str">
        <f>VLOOKUP(B702,weights!A:B,2,FALSE)</f>
        <v>P</v>
      </c>
      <c r="D702" s="13">
        <v>700</v>
      </c>
      <c r="E702" s="14" t="s">
        <v>1424</v>
      </c>
      <c r="F702" s="14" t="s">
        <v>836</v>
      </c>
      <c r="G702" s="15" t="s">
        <v>1498</v>
      </c>
      <c r="H702" s="18" t="s">
        <v>1881</v>
      </c>
      <c r="I702" s="18" t="s">
        <v>1880</v>
      </c>
      <c r="K702" s="14">
        <f>VLOOKUP(B702,weights!A:G,5,FALSE)</f>
        <v>1.88</v>
      </c>
      <c r="L702" s="14">
        <f>VLOOKUP(B702,weights!A:G,6,FALSE)</f>
        <v>7</v>
      </c>
      <c r="M702" s="14">
        <f>VLOOKUP(B702,weights!A:G,7,FALSE)</f>
        <v>10</v>
      </c>
      <c r="N702" t="s">
        <v>5760</v>
      </c>
      <c r="O702">
        <v>417</v>
      </c>
      <c r="P702">
        <v>48.833365343799997</v>
      </c>
      <c r="Q702">
        <v>2.2767120905299998</v>
      </c>
      <c r="R702" s="22">
        <v>48</v>
      </c>
      <c r="S702" s="22">
        <v>49</v>
      </c>
      <c r="T702" s="22">
        <v>59</v>
      </c>
      <c r="U702" s="24">
        <f>R702+S702/60+T702/3600</f>
        <v>48.833055555555561</v>
      </c>
      <c r="V702" s="28">
        <f>ABS(U702-P702)/P702</f>
        <v>6.3437824171140312E-6</v>
      </c>
      <c r="W702" s="22">
        <v>2</v>
      </c>
      <c r="X702" s="22">
        <v>16</v>
      </c>
      <c r="Y702" s="22">
        <v>38</v>
      </c>
      <c r="Z702" s="14">
        <f>W702+X702/60+Y702/3600</f>
        <v>2.277222222222222</v>
      </c>
      <c r="AA702" s="26">
        <f>ABS(Z702-Q702)/Q702</f>
        <v>2.2406508681714529E-4</v>
      </c>
      <c r="AB702" s="26"/>
      <c r="AC702" s="24">
        <f>U702</f>
        <v>48.833055555555561</v>
      </c>
      <c r="AD702" s="14">
        <f>Z702</f>
        <v>2.277222222222222</v>
      </c>
    </row>
    <row r="703" spans="1:30" s="14" customFormat="1">
      <c r="A703" s="12">
        <v>22</v>
      </c>
      <c r="B703" s="12" t="s">
        <v>661</v>
      </c>
      <c r="C703" s="14" t="str">
        <f>VLOOKUP(B703,weights!A:B,2,FALSE)</f>
        <v>P</v>
      </c>
      <c r="D703" s="13">
        <v>701</v>
      </c>
      <c r="E703" s="14" t="s">
        <v>1395</v>
      </c>
      <c r="F703" s="14" t="s">
        <v>837</v>
      </c>
      <c r="G703" s="15" t="s">
        <v>1499</v>
      </c>
      <c r="H703" s="18" t="s">
        <v>1882</v>
      </c>
      <c r="I703" s="18"/>
      <c r="K703" s="14">
        <f>VLOOKUP(B703,weights!A:G,5,FALSE)</f>
        <v>1.88</v>
      </c>
      <c r="L703" s="14">
        <f>VLOOKUP(B703,weights!A:G,6,FALSE)</f>
        <v>7</v>
      </c>
      <c r="M703" s="14">
        <f>VLOOKUP(B703,weights!A:G,7,FALSE)</f>
        <v>10</v>
      </c>
      <c r="N703" t="s">
        <v>5283</v>
      </c>
      <c r="O703">
        <v>660</v>
      </c>
      <c r="P703">
        <v>48.831696593099998</v>
      </c>
      <c r="Q703">
        <v>2.28147044408</v>
      </c>
      <c r="R703" s="22">
        <v>48</v>
      </c>
      <c r="S703" s="22">
        <v>49</v>
      </c>
      <c r="T703" s="22">
        <v>55</v>
      </c>
      <c r="U703" s="24">
        <f>R703+S703/60+T703/3600</f>
        <v>48.831944444444446</v>
      </c>
      <c r="V703" s="28">
        <f>ABS(U703-P703)/P703</f>
        <v>5.0756242715165349E-6</v>
      </c>
      <c r="W703" s="22">
        <v>2</v>
      </c>
      <c r="X703" s="22">
        <v>16</v>
      </c>
      <c r="Y703" s="22">
        <v>52</v>
      </c>
      <c r="Z703" s="14">
        <f>W703+X703/60+Y703/3600</f>
        <v>2.2811111111111111</v>
      </c>
      <c r="AA703" s="26">
        <f>ABS(Z703-Q703)/Q703</f>
        <v>1.5750060221963739E-4</v>
      </c>
      <c r="AB703" s="26"/>
      <c r="AC703" s="24">
        <f>U703</f>
        <v>48.831944444444446</v>
      </c>
      <c r="AD703" s="14">
        <f>Z703</f>
        <v>2.2811111111111111</v>
      </c>
    </row>
    <row r="704" spans="1:30" s="14" customFormat="1">
      <c r="A704" s="12">
        <v>23</v>
      </c>
      <c r="B704" s="12" t="s">
        <v>661</v>
      </c>
      <c r="C704" s="14" t="str">
        <f>VLOOKUP(B704,weights!A:B,2,FALSE)</f>
        <v>P</v>
      </c>
      <c r="D704" s="13">
        <v>702</v>
      </c>
      <c r="E704" s="14" t="s">
        <v>1400</v>
      </c>
      <c r="F704" s="14" t="s">
        <v>838</v>
      </c>
      <c r="G704" s="15" t="s">
        <v>841</v>
      </c>
      <c r="H704" s="18" t="s">
        <v>1882</v>
      </c>
      <c r="I704" s="18" t="s">
        <v>1883</v>
      </c>
      <c r="K704" s="14">
        <f>VLOOKUP(B704,weights!A:G,5,FALSE)</f>
        <v>1.88</v>
      </c>
      <c r="L704" s="14">
        <f>VLOOKUP(B704,weights!A:G,6,FALSE)</f>
        <v>7</v>
      </c>
      <c r="M704" s="14">
        <f>VLOOKUP(B704,weights!A:G,7,FALSE)</f>
        <v>10</v>
      </c>
      <c r="N704" t="s">
        <v>5359</v>
      </c>
      <c r="O704">
        <v>480</v>
      </c>
      <c r="P704">
        <v>48.832601192399999</v>
      </c>
      <c r="Q704">
        <v>2.28825267741</v>
      </c>
      <c r="R704" s="22">
        <v>48</v>
      </c>
      <c r="S704" s="22">
        <v>49</v>
      </c>
      <c r="T704" s="22">
        <v>55</v>
      </c>
      <c r="U704" s="24">
        <f>R704+S704/60+T704/3600</f>
        <v>48.831944444444446</v>
      </c>
      <c r="V704" s="28">
        <f>ABS(U704-P704)/P704</f>
        <v>1.3448965230527772E-5</v>
      </c>
      <c r="W704" s="22">
        <v>2</v>
      </c>
      <c r="X704" s="22">
        <v>17</v>
      </c>
      <c r="Y704" s="22">
        <v>15</v>
      </c>
      <c r="Z704" s="14">
        <f>W704+X704/60+Y704/3600</f>
        <v>2.2875000000000001</v>
      </c>
      <c r="AA704" s="26">
        <f>ABS(Z704-Q704)/Q704</f>
        <v>3.2893107366616927E-4</v>
      </c>
      <c r="AB704" s="26"/>
      <c r="AC704" s="24">
        <f>U704</f>
        <v>48.831944444444446</v>
      </c>
      <c r="AD704" s="14">
        <f>Z704</f>
        <v>2.2875000000000001</v>
      </c>
    </row>
    <row r="705" spans="1:30" s="14" customFormat="1">
      <c r="A705" s="12">
        <v>0</v>
      </c>
      <c r="B705" s="12" t="s">
        <v>198</v>
      </c>
      <c r="C705" s="14" t="str">
        <f>VLOOKUP(B705,weights!A:B,2,FALSE)</f>
        <v>P</v>
      </c>
      <c r="D705" s="13">
        <v>703</v>
      </c>
      <c r="E705" s="14" t="s">
        <v>1391</v>
      </c>
      <c r="F705" s="14" t="s">
        <v>842</v>
      </c>
      <c r="G705" s="15" t="s">
        <v>569</v>
      </c>
      <c r="H705" s="18"/>
      <c r="I705" s="18" t="s">
        <v>1884</v>
      </c>
      <c r="K705" s="14">
        <f>VLOOKUP(B705,weights!A:G,5,FALSE)</f>
        <v>1.48</v>
      </c>
      <c r="L705" s="14">
        <f>VLOOKUP(B705,weights!A:G,6,FALSE)</f>
        <v>7</v>
      </c>
      <c r="M705" s="14">
        <f>VLOOKUP(B705,weights!A:G,7,FALSE)</f>
        <v>10</v>
      </c>
      <c r="N705" t="s">
        <v>5243</v>
      </c>
      <c r="O705">
        <v>682</v>
      </c>
      <c r="P705">
        <v>48.839089755400003</v>
      </c>
      <c r="Q705">
        <v>2.2704582437899998</v>
      </c>
      <c r="R705" s="22">
        <v>48</v>
      </c>
      <c r="S705" s="22">
        <v>50</v>
      </c>
      <c r="T705" s="22">
        <v>17</v>
      </c>
      <c r="U705" s="24">
        <f>R705+S705/60+T705/3600</f>
        <v>48.838055555555556</v>
      </c>
      <c r="V705" s="28">
        <f>ABS(U705-P705)/P705</f>
        <v>2.1175657646917256E-5</v>
      </c>
      <c r="W705" s="22">
        <v>2</v>
      </c>
      <c r="X705" s="22">
        <v>16</v>
      </c>
      <c r="Y705" s="22">
        <v>16</v>
      </c>
      <c r="Z705" s="14">
        <f>W705+X705/60+Y705/3600</f>
        <v>2.2711111111111109</v>
      </c>
      <c r="AA705" s="26">
        <f>ABS(Z705-Q705)/Q705</f>
        <v>2.8754870207223828E-4</v>
      </c>
      <c r="AB705" s="26"/>
      <c r="AC705" s="24">
        <f>U705</f>
        <v>48.838055555555556</v>
      </c>
      <c r="AD705" s="14">
        <f>Z705</f>
        <v>2.2711111111111109</v>
      </c>
    </row>
    <row r="706" spans="1:30" s="14" customFormat="1">
      <c r="A706" s="12">
        <v>1</v>
      </c>
      <c r="B706" s="12" t="s">
        <v>198</v>
      </c>
      <c r="C706" s="14" t="str">
        <f>VLOOKUP(B706,weights!A:B,2,FALSE)</f>
        <v>P</v>
      </c>
      <c r="D706" s="13">
        <v>704</v>
      </c>
      <c r="E706" s="14" t="s">
        <v>345</v>
      </c>
      <c r="F706" s="14" t="s">
        <v>843</v>
      </c>
      <c r="G706" s="15" t="s">
        <v>1439</v>
      </c>
      <c r="H706" s="18" t="s">
        <v>1694</v>
      </c>
      <c r="I706" s="18" t="s">
        <v>1880</v>
      </c>
      <c r="K706" s="14">
        <f>VLOOKUP(B706,weights!A:G,5,FALSE)</f>
        <v>1.48</v>
      </c>
      <c r="L706" s="14">
        <f>VLOOKUP(B706,weights!A:G,6,FALSE)</f>
        <v>7</v>
      </c>
      <c r="M706" s="14">
        <f>VLOOKUP(B706,weights!A:G,7,FALSE)</f>
        <v>10</v>
      </c>
      <c r="N706" t="s">
        <v>3269</v>
      </c>
      <c r="O706">
        <v>715</v>
      </c>
      <c r="P706">
        <v>48.8360967841</v>
      </c>
      <c r="Q706">
        <v>2.27823795192</v>
      </c>
      <c r="R706" s="22">
        <v>48</v>
      </c>
      <c r="S706" s="22">
        <v>50</v>
      </c>
      <c r="T706" s="22">
        <v>10</v>
      </c>
      <c r="U706" s="24">
        <f>R706+S706/60+T706/3600</f>
        <v>48.836111111111116</v>
      </c>
      <c r="V706" s="28">
        <f>ABS(U706-P706)/P706</f>
        <v>2.9336929154257469E-7</v>
      </c>
      <c r="W706" s="22">
        <v>2</v>
      </c>
      <c r="X706" s="22">
        <v>16</v>
      </c>
      <c r="Y706" s="22">
        <v>42</v>
      </c>
      <c r="Z706" s="14">
        <f>W706+X706/60+Y706/3600</f>
        <v>2.2783333333333333</v>
      </c>
      <c r="AA706" s="26">
        <f>ABS(Z706-Q706)/Q706</f>
        <v>4.1866308676376054E-5</v>
      </c>
      <c r="AB706" s="26"/>
      <c r="AC706" s="24">
        <f>U706</f>
        <v>48.836111111111116</v>
      </c>
      <c r="AD706" s="14">
        <f>Z706</f>
        <v>2.2783333333333333</v>
      </c>
    </row>
    <row r="707" spans="1:30" s="14" customFormat="1">
      <c r="A707" s="12">
        <v>2</v>
      </c>
      <c r="B707" s="12" t="s">
        <v>198</v>
      </c>
      <c r="C707" s="14" t="str">
        <f>VLOOKUP(B707,weights!A:B,2,FALSE)</f>
        <v>P</v>
      </c>
      <c r="D707" s="13">
        <v>705</v>
      </c>
      <c r="E707" s="14" t="s">
        <v>1275</v>
      </c>
      <c r="F707" s="14" t="s">
        <v>844</v>
      </c>
      <c r="G707" s="15"/>
      <c r="H707" s="18"/>
      <c r="I707" s="18"/>
      <c r="K707" s="14">
        <f>VLOOKUP(B707,weights!A:G,5,FALSE)</f>
        <v>1.48</v>
      </c>
      <c r="L707" s="14">
        <f>VLOOKUP(B707,weights!A:G,6,FALSE)</f>
        <v>7</v>
      </c>
      <c r="M707" s="14">
        <f>VLOOKUP(B707,weights!A:G,7,FALSE)</f>
        <v>10</v>
      </c>
      <c r="N707" t="s">
        <v>3850</v>
      </c>
      <c r="O707">
        <v>850</v>
      </c>
      <c r="P707">
        <v>48.834358165499999</v>
      </c>
      <c r="Q707">
        <v>2.2840072433</v>
      </c>
      <c r="R707" s="22">
        <v>48</v>
      </c>
      <c r="S707" s="22">
        <v>50</v>
      </c>
      <c r="T707" s="22">
        <v>4</v>
      </c>
      <c r="U707" s="24">
        <f>R707+S707/60+T707/3600</f>
        <v>48.834444444444443</v>
      </c>
      <c r="V707" s="28">
        <f>ABS(U707-P707)/P707</f>
        <v>1.7667672451354474E-6</v>
      </c>
      <c r="W707" s="22">
        <v>2</v>
      </c>
      <c r="X707" s="22">
        <v>17</v>
      </c>
      <c r="Y707" s="22">
        <v>2</v>
      </c>
      <c r="Z707" s="14">
        <f>W707+X707/60+Y707/3600</f>
        <v>2.2838888888888889</v>
      </c>
      <c r="AA707" s="26">
        <f>ABS(Z707-Q707)/Q707</f>
        <v>5.181875471646313E-5</v>
      </c>
      <c r="AB707" s="26"/>
      <c r="AC707" s="24">
        <f>U707</f>
        <v>48.834444444444443</v>
      </c>
      <c r="AD707" s="14">
        <f>Z707</f>
        <v>2.2838888888888889</v>
      </c>
    </row>
    <row r="708" spans="1:30" s="14" customFormat="1">
      <c r="A708" s="12">
        <v>3</v>
      </c>
      <c r="B708" s="12" t="s">
        <v>198</v>
      </c>
      <c r="C708" s="14" t="str">
        <f>VLOOKUP(B708,weights!A:B,2,FALSE)</f>
        <v>P</v>
      </c>
      <c r="D708" s="13">
        <v>706</v>
      </c>
      <c r="E708" s="14" t="s">
        <v>1400</v>
      </c>
      <c r="F708" s="14" t="s">
        <v>845</v>
      </c>
      <c r="G708" s="15" t="s">
        <v>867</v>
      </c>
      <c r="H708" s="18" t="s">
        <v>1754</v>
      </c>
      <c r="I708" s="18" t="s">
        <v>1883</v>
      </c>
      <c r="K708" s="14">
        <f>VLOOKUP(B708,weights!A:G,5,FALSE)</f>
        <v>1.48</v>
      </c>
      <c r="L708" s="14">
        <f>VLOOKUP(B708,weights!A:G,6,FALSE)</f>
        <v>7</v>
      </c>
      <c r="M708" s="14">
        <f>VLOOKUP(B708,weights!A:G,7,FALSE)</f>
        <v>10</v>
      </c>
      <c r="N708" t="s">
        <v>5359</v>
      </c>
      <c r="O708">
        <v>480</v>
      </c>
      <c r="P708">
        <v>48.832601192399999</v>
      </c>
      <c r="Q708">
        <v>2.28825267741</v>
      </c>
      <c r="R708" s="22">
        <v>48</v>
      </c>
      <c r="S708" s="22">
        <v>49</v>
      </c>
      <c r="T708" s="22">
        <v>58</v>
      </c>
      <c r="U708" s="24">
        <f>R708+S708/60+T708/3600</f>
        <v>48.832777777777778</v>
      </c>
      <c r="V708" s="28">
        <f>ABS(U708-P708)/P708</f>
        <v>3.6161370368949637E-6</v>
      </c>
      <c r="W708" s="22">
        <v>2</v>
      </c>
      <c r="X708" s="22">
        <v>17</v>
      </c>
      <c r="Y708" s="22">
        <v>17</v>
      </c>
      <c r="Z708" s="14">
        <f>W708+X708/60+Y708/3600</f>
        <v>2.2880555555555553</v>
      </c>
      <c r="AA708" s="26">
        <f>ABS(Z708-Q708)/Q708</f>
        <v>8.6145143143839958E-5</v>
      </c>
      <c r="AB708" s="26"/>
      <c r="AC708" s="24">
        <f>U708</f>
        <v>48.832777777777778</v>
      </c>
      <c r="AD708" s="14">
        <f>Z708</f>
        <v>2.2880555555555553</v>
      </c>
    </row>
    <row r="709" spans="1:30" s="14" customFormat="1">
      <c r="A709" s="12">
        <v>4</v>
      </c>
      <c r="B709" s="12" t="s">
        <v>198</v>
      </c>
      <c r="C709" s="14" t="str">
        <f>VLOOKUP(B709,weights!A:B,2,FALSE)</f>
        <v>P</v>
      </c>
      <c r="D709" s="13">
        <v>707</v>
      </c>
      <c r="E709" s="14" t="s">
        <v>1298</v>
      </c>
      <c r="F709" s="14" t="s">
        <v>846</v>
      </c>
      <c r="G709" s="15"/>
      <c r="H709" s="18"/>
      <c r="I709" s="18"/>
      <c r="K709" s="14">
        <f>VLOOKUP(B709,weights!A:G,5,FALSE)</f>
        <v>1.48</v>
      </c>
      <c r="L709" s="14">
        <f>VLOOKUP(B709,weights!A:G,6,FALSE)</f>
        <v>7</v>
      </c>
      <c r="M709" s="14">
        <f>VLOOKUP(B709,weights!A:G,7,FALSE)</f>
        <v>10</v>
      </c>
      <c r="N709" t="s">
        <v>4142</v>
      </c>
      <c r="O709">
        <v>27</v>
      </c>
      <c r="P709">
        <v>48.829826378999996</v>
      </c>
      <c r="Q709">
        <v>2.29566198282</v>
      </c>
      <c r="R709" s="22">
        <v>48</v>
      </c>
      <c r="S709" s="22">
        <v>49</v>
      </c>
      <c r="T709" s="22">
        <v>47</v>
      </c>
      <c r="U709" s="24">
        <f>R709+S709/60+T709/3600</f>
        <v>48.829722222222223</v>
      </c>
      <c r="V709" s="28">
        <f>ABS(U709-P709)/P709</f>
        <v>2.1330564840612727E-6</v>
      </c>
      <c r="W709" s="22">
        <v>2</v>
      </c>
      <c r="X709" s="22">
        <v>17</v>
      </c>
      <c r="Y709" s="22">
        <v>44</v>
      </c>
      <c r="Z709" s="14">
        <f>W709+X709/60+Y709/3600</f>
        <v>2.2955555555555556</v>
      </c>
      <c r="AA709" s="26">
        <f>ABS(Z709-Q709)/Q709</f>
        <v>4.6360163317116568E-5</v>
      </c>
      <c r="AB709" s="26"/>
      <c r="AC709" s="24">
        <f>U709</f>
        <v>48.829722222222223</v>
      </c>
      <c r="AD709" s="14">
        <f>Z709</f>
        <v>2.2955555555555556</v>
      </c>
    </row>
    <row r="710" spans="1:30" s="14" customFormat="1">
      <c r="A710" s="12">
        <v>5</v>
      </c>
      <c r="B710" s="12" t="s">
        <v>198</v>
      </c>
      <c r="C710" s="14" t="str">
        <f>VLOOKUP(B710,weights!A:B,2,FALSE)</f>
        <v>P</v>
      </c>
      <c r="D710" s="13">
        <v>708</v>
      </c>
      <c r="E710" s="14" t="s">
        <v>1253</v>
      </c>
      <c r="F710" s="14" t="s">
        <v>847</v>
      </c>
      <c r="G710" s="15"/>
      <c r="H710" s="18"/>
      <c r="I710" s="18"/>
      <c r="K710" s="14">
        <f>VLOOKUP(B710,weights!A:G,5,FALSE)</f>
        <v>1.48</v>
      </c>
      <c r="L710" s="14">
        <f>VLOOKUP(B710,weights!A:G,6,FALSE)</f>
        <v>7</v>
      </c>
      <c r="M710" s="14">
        <f>VLOOKUP(B710,weights!A:G,7,FALSE)</f>
        <v>10</v>
      </c>
      <c r="N710" t="s">
        <v>5304</v>
      </c>
      <c r="O710">
        <v>309</v>
      </c>
      <c r="P710">
        <v>48.828671939499998</v>
      </c>
      <c r="Q710">
        <v>2.3008518261300002</v>
      </c>
      <c r="R710" s="22">
        <v>48</v>
      </c>
      <c r="S710" s="22">
        <v>49</v>
      </c>
      <c r="T710" s="22">
        <v>43</v>
      </c>
      <c r="U710" s="24">
        <f>R710+S710/60+T710/3600</f>
        <v>48.828611111111115</v>
      </c>
      <c r="V710" s="28">
        <f>ABS(U710-P710)/P710</f>
        <v>1.2457514502482468E-6</v>
      </c>
      <c r="W710" s="22">
        <v>2</v>
      </c>
      <c r="X710" s="22">
        <v>18</v>
      </c>
      <c r="Y710" s="22">
        <v>3</v>
      </c>
      <c r="Z710" s="14">
        <f>W710+X710/60+Y710/3600</f>
        <v>2.3008333333333333</v>
      </c>
      <c r="AA710" s="26">
        <f>ABS(Z710-Q710)/Q710</f>
        <v>8.0373696632106961E-6</v>
      </c>
      <c r="AB710" s="26"/>
      <c r="AC710" s="24">
        <f>U710</f>
        <v>48.828611111111115</v>
      </c>
      <c r="AD710" s="14">
        <f>Z710</f>
        <v>2.3008333333333333</v>
      </c>
    </row>
    <row r="711" spans="1:30" s="14" customFormat="1">
      <c r="A711" s="12">
        <v>6</v>
      </c>
      <c r="B711" s="12" t="s">
        <v>198</v>
      </c>
      <c r="C711" s="14" t="str">
        <f>VLOOKUP(B711,weights!A:B,2,FALSE)</f>
        <v>P</v>
      </c>
      <c r="D711" s="13">
        <v>709</v>
      </c>
      <c r="E711" s="14" t="s">
        <v>513</v>
      </c>
      <c r="F711" s="14" t="s">
        <v>848</v>
      </c>
      <c r="G711" s="15" t="s">
        <v>72</v>
      </c>
      <c r="H711" s="18"/>
      <c r="I711" s="18" t="s">
        <v>1885</v>
      </c>
      <c r="K711" s="14">
        <f>VLOOKUP(B711,weights!A:G,5,FALSE)</f>
        <v>1.48</v>
      </c>
      <c r="L711" s="14">
        <f>VLOOKUP(B711,weights!A:G,6,FALSE)</f>
        <v>7</v>
      </c>
      <c r="M711" s="14">
        <f>VLOOKUP(B711,weights!A:G,7,FALSE)</f>
        <v>10</v>
      </c>
      <c r="N711" t="s">
        <v>5355</v>
      </c>
      <c r="O711">
        <v>716</v>
      </c>
      <c r="P711">
        <v>48.8277046117</v>
      </c>
      <c r="Q711">
        <v>2.3053409308099999</v>
      </c>
      <c r="R711" s="22">
        <v>48</v>
      </c>
      <c r="S711" s="22">
        <v>49</v>
      </c>
      <c r="T711" s="22">
        <v>39</v>
      </c>
      <c r="U711" s="24">
        <f>R711+S711/60+T711/3600</f>
        <v>48.827500000000001</v>
      </c>
      <c r="V711" s="28">
        <f>ABS(U711-P711)/P711</f>
        <v>4.1904836941723097E-6</v>
      </c>
      <c r="W711" s="22">
        <v>2</v>
      </c>
      <c r="X711" s="22">
        <v>18</v>
      </c>
      <c r="Y711" s="22">
        <v>24</v>
      </c>
      <c r="Z711" s="14">
        <f>W711+X711/60+Y711/3600</f>
        <v>2.3066666666666666</v>
      </c>
      <c r="AA711" s="26">
        <f>ABS(Z711-Q711)/Q711</f>
        <v>5.7507149547764472E-4</v>
      </c>
      <c r="AB711" s="26"/>
      <c r="AC711" s="24">
        <f>U711</f>
        <v>48.827500000000001</v>
      </c>
      <c r="AD711" s="14">
        <f>Z711</f>
        <v>2.3066666666666666</v>
      </c>
    </row>
    <row r="712" spans="1:30" s="14" customFormat="1">
      <c r="A712" s="12">
        <v>7</v>
      </c>
      <c r="B712" s="12" t="s">
        <v>198</v>
      </c>
      <c r="C712" s="14" t="str">
        <f>VLOOKUP(B712,weights!A:B,2,FALSE)</f>
        <v>P</v>
      </c>
      <c r="D712" s="13">
        <v>710</v>
      </c>
      <c r="E712" s="14" t="s">
        <v>1278</v>
      </c>
      <c r="F712" s="14" t="s">
        <v>849</v>
      </c>
      <c r="G712" s="15"/>
      <c r="H712" s="18"/>
      <c r="I712" s="18"/>
      <c r="K712" s="14">
        <f>VLOOKUP(B712,weights!A:G,5,FALSE)</f>
        <v>1.48</v>
      </c>
      <c r="L712" s="14">
        <f>VLOOKUP(B712,weights!A:G,6,FALSE)</f>
        <v>7</v>
      </c>
      <c r="M712" s="14">
        <f>VLOOKUP(B712,weights!A:G,7,FALSE)</f>
        <v>10</v>
      </c>
      <c r="N712" t="s">
        <v>3862</v>
      </c>
      <c r="O712">
        <v>331</v>
      </c>
      <c r="P712">
        <v>48.825920546100001</v>
      </c>
      <c r="Q712">
        <v>2.3133800873800001</v>
      </c>
      <c r="R712" s="22">
        <v>48</v>
      </c>
      <c r="S712" s="22">
        <v>49</v>
      </c>
      <c r="T712" s="22">
        <v>33</v>
      </c>
      <c r="U712" s="24">
        <f>R712+S712/60+T712/3600</f>
        <v>48.825833333333335</v>
      </c>
      <c r="V712" s="28">
        <f>ABS(U712-P712)/P712</f>
        <v>1.7861981031776302E-6</v>
      </c>
      <c r="W712" s="22">
        <v>2</v>
      </c>
      <c r="X712" s="22">
        <v>18</v>
      </c>
      <c r="Y712" s="22">
        <v>48</v>
      </c>
      <c r="Z712" s="14">
        <f>W712+X712/60+Y712/3600</f>
        <v>2.313333333333333</v>
      </c>
      <c r="AA712" s="26">
        <f>ABS(Z712-Q712)/Q712</f>
        <v>2.0210274533852209E-5</v>
      </c>
      <c r="AB712" s="26"/>
      <c r="AC712" s="24">
        <f>U712</f>
        <v>48.825833333333335</v>
      </c>
      <c r="AD712" s="14">
        <f>Z712</f>
        <v>2.313333333333333</v>
      </c>
    </row>
    <row r="713" spans="1:30" s="14" customFormat="1">
      <c r="A713" s="12">
        <v>8</v>
      </c>
      <c r="B713" s="12" t="s">
        <v>198</v>
      </c>
      <c r="C713" s="14" t="str">
        <f>VLOOKUP(B713,weights!A:B,2,FALSE)</f>
        <v>P</v>
      </c>
      <c r="D713" s="13">
        <v>711</v>
      </c>
      <c r="E713" s="14" t="s">
        <v>1317</v>
      </c>
      <c r="F713" s="14" t="s">
        <v>850</v>
      </c>
      <c r="G713" s="15"/>
      <c r="H713" s="18"/>
      <c r="I713" s="18"/>
      <c r="K713" s="14">
        <f>VLOOKUP(B713,weights!A:G,5,FALSE)</f>
        <v>1.48</v>
      </c>
      <c r="L713" s="14">
        <f>VLOOKUP(B713,weights!A:G,6,FALSE)</f>
        <v>7</v>
      </c>
      <c r="M713" s="14">
        <f>VLOOKUP(B713,weights!A:G,7,FALSE)</f>
        <v>10</v>
      </c>
      <c r="N713" t="s">
        <v>4307</v>
      </c>
      <c r="O713">
        <v>107</v>
      </c>
      <c r="P713">
        <v>48.8247110179</v>
      </c>
      <c r="Q713">
        <v>2.3188296912699999</v>
      </c>
      <c r="R713" s="22">
        <v>48</v>
      </c>
      <c r="S713" s="22">
        <v>49</v>
      </c>
      <c r="T713" s="22">
        <v>29</v>
      </c>
      <c r="U713" s="24">
        <f>R713+S713/60+T713/3600</f>
        <v>48.824722222222228</v>
      </c>
      <c r="V713" s="28">
        <f>ABS(U713-P713)/P713</f>
        <v>2.2948056411916289E-7</v>
      </c>
      <c r="W713" s="22">
        <v>2</v>
      </c>
      <c r="X713" s="22">
        <v>19</v>
      </c>
      <c r="Y713" s="22">
        <v>8</v>
      </c>
      <c r="Z713" s="14">
        <f>W713+X713/60+Y713/3600</f>
        <v>2.3188888888888886</v>
      </c>
      <c r="AA713" s="26">
        <f>ABS(Z713-Q713)/Q713</f>
        <v>2.5529093021142017E-5</v>
      </c>
      <c r="AB713" s="26"/>
      <c r="AC713" s="24">
        <f>U713</f>
        <v>48.824722222222228</v>
      </c>
      <c r="AD713" s="14">
        <f>Z713</f>
        <v>2.3188888888888886</v>
      </c>
    </row>
    <row r="714" spans="1:30" s="14" customFormat="1">
      <c r="A714" s="12">
        <v>9</v>
      </c>
      <c r="B714" s="12" t="s">
        <v>198</v>
      </c>
      <c r="C714" s="14" t="str">
        <f>VLOOKUP(B714,weights!A:B,2,FALSE)</f>
        <v>P</v>
      </c>
      <c r="D714" s="13">
        <v>712</v>
      </c>
      <c r="E714" s="14" t="s">
        <v>763</v>
      </c>
      <c r="F714" s="14" t="s">
        <v>851</v>
      </c>
      <c r="G714" s="15" t="s">
        <v>111</v>
      </c>
      <c r="H714" s="18"/>
      <c r="I714" s="18" t="s">
        <v>1886</v>
      </c>
      <c r="K714" s="14">
        <f>VLOOKUP(B714,weights!A:G,5,FALSE)</f>
        <v>1.48</v>
      </c>
      <c r="L714" s="14">
        <f>VLOOKUP(B714,weights!A:G,6,FALSE)</f>
        <v>7</v>
      </c>
      <c r="M714" s="14">
        <f>VLOOKUP(B714,weights!A:G,7,FALSE)</f>
        <v>10</v>
      </c>
      <c r="N714" t="s">
        <v>5293</v>
      </c>
      <c r="O714">
        <v>717</v>
      </c>
      <c r="P714">
        <v>48.823151633099997</v>
      </c>
      <c r="Q714">
        <v>2.3255095778200001</v>
      </c>
      <c r="R714" s="22">
        <v>48</v>
      </c>
      <c r="S714" s="22">
        <v>49</v>
      </c>
      <c r="T714" s="22">
        <v>23</v>
      </c>
      <c r="U714" s="24">
        <f>R714+S714/60+T714/3600</f>
        <v>48.823055555555555</v>
      </c>
      <c r="V714" s="28">
        <f>ABS(U714-P714)/P714</f>
        <v>1.9678685465288584E-6</v>
      </c>
      <c r="W714" s="22">
        <v>2</v>
      </c>
      <c r="X714" s="22">
        <v>19</v>
      </c>
      <c r="Y714" s="22">
        <v>32</v>
      </c>
      <c r="Z714" s="14">
        <f>W714+X714/60+Y714/3600</f>
        <v>2.3255555555555554</v>
      </c>
      <c r="AA714" s="26">
        <f>ABS(Z714-Q714)/Q714</f>
        <v>1.9771036848774904E-5</v>
      </c>
      <c r="AB714" s="26"/>
      <c r="AC714" s="24">
        <f>U714</f>
        <v>48.823055555555555</v>
      </c>
      <c r="AD714" s="14">
        <f>Z714</f>
        <v>2.3255555555555554</v>
      </c>
    </row>
    <row r="715" spans="1:30" s="14" customFormat="1">
      <c r="A715" s="12">
        <v>10</v>
      </c>
      <c r="B715" s="12" t="s">
        <v>198</v>
      </c>
      <c r="C715" s="14" t="str">
        <f>VLOOKUP(B715,weights!A:B,2,FALSE)</f>
        <v>P</v>
      </c>
      <c r="D715" s="13">
        <v>713</v>
      </c>
      <c r="E715" s="14" t="s">
        <v>1366</v>
      </c>
      <c r="F715" s="14" t="s">
        <v>852</v>
      </c>
      <c r="G715" s="15"/>
      <c r="H715" s="18"/>
      <c r="I715" s="18"/>
      <c r="K715" s="14">
        <f>VLOOKUP(B715,weights!A:G,5,FALSE)</f>
        <v>1.48</v>
      </c>
      <c r="L715" s="14">
        <f>VLOOKUP(B715,weights!A:G,6,FALSE)</f>
        <v>7</v>
      </c>
      <c r="M715" s="14">
        <f>VLOOKUP(B715,weights!A:G,7,FALSE)</f>
        <v>10</v>
      </c>
      <c r="N715" t="s">
        <v>4932</v>
      </c>
      <c r="O715">
        <v>835</v>
      </c>
      <c r="P715">
        <v>48.821508917400003</v>
      </c>
      <c r="Q715">
        <v>2.3333398328600001</v>
      </c>
      <c r="R715" s="22">
        <v>48</v>
      </c>
      <c r="S715" s="22">
        <v>49</v>
      </c>
      <c r="T715" s="22">
        <v>17</v>
      </c>
      <c r="U715" s="24">
        <f>R715+S715/60+T715/3600</f>
        <v>48.82138888888889</v>
      </c>
      <c r="V715" s="28">
        <f>ABS(U715-P715)/P715</f>
        <v>2.4585170301793296E-6</v>
      </c>
      <c r="W715" s="22">
        <v>2</v>
      </c>
      <c r="X715" s="22">
        <v>20</v>
      </c>
      <c r="Y715" s="22">
        <v>0</v>
      </c>
      <c r="Z715" s="14">
        <f>W715+X715/60+Y715/3600</f>
        <v>2.3333333333333335</v>
      </c>
      <c r="AA715" s="26">
        <f>ABS(Z715-Q715)/Q715</f>
        <v>2.7855036695110716E-6</v>
      </c>
      <c r="AB715" s="26"/>
      <c r="AC715" s="24">
        <f>U715</f>
        <v>48.82138888888889</v>
      </c>
      <c r="AD715" s="14">
        <f>Z715</f>
        <v>2.3333333333333335</v>
      </c>
    </row>
    <row r="716" spans="1:30" s="14" customFormat="1">
      <c r="A716" s="12">
        <v>11</v>
      </c>
      <c r="B716" s="12" t="s">
        <v>198</v>
      </c>
      <c r="C716" s="14" t="str">
        <f>VLOOKUP(B716,weights!A:B,2,FALSE)</f>
        <v>P</v>
      </c>
      <c r="D716" s="13">
        <v>714</v>
      </c>
      <c r="E716" s="14" t="s">
        <v>1267</v>
      </c>
      <c r="F716" s="14" t="s">
        <v>853</v>
      </c>
      <c r="G716" s="15" t="s">
        <v>571</v>
      </c>
      <c r="H716" s="18"/>
      <c r="I716" s="18" t="s">
        <v>1887</v>
      </c>
      <c r="K716" s="14">
        <f>VLOOKUP(B716,weights!A:G,5,FALSE)</f>
        <v>1.48</v>
      </c>
      <c r="L716" s="14">
        <f>VLOOKUP(B716,weights!A:G,6,FALSE)</f>
        <v>7</v>
      </c>
      <c r="M716" s="14">
        <f>VLOOKUP(B716,weights!A:G,7,FALSE)</f>
        <v>10</v>
      </c>
      <c r="N716" t="s">
        <v>3702</v>
      </c>
      <c r="O716">
        <v>481</v>
      </c>
      <c r="P716">
        <v>48.8202676123</v>
      </c>
      <c r="Q716">
        <v>2.3389751795799998</v>
      </c>
      <c r="R716" s="22">
        <v>48</v>
      </c>
      <c r="S716" s="22">
        <v>49</v>
      </c>
      <c r="T716" s="22">
        <v>13</v>
      </c>
      <c r="U716" s="24">
        <f>R716+S716/60+T716/3600</f>
        <v>48.820277777777783</v>
      </c>
      <c r="V716" s="28">
        <f>ABS(U716-P716)/P716</f>
        <v>2.0822249199731902E-7</v>
      </c>
      <c r="W716" s="22">
        <v>2</v>
      </c>
      <c r="X716" s="22">
        <v>20</v>
      </c>
      <c r="Y716" s="22">
        <v>19</v>
      </c>
      <c r="Z716" s="14">
        <f>W716+X716/60+Y716/3600</f>
        <v>2.3386111111111112</v>
      </c>
      <c r="AA716" s="26">
        <f>ABS(Z716-Q716)/Q716</f>
        <v>1.5565298514795016E-4</v>
      </c>
      <c r="AB716" s="26"/>
      <c r="AC716" s="24">
        <f>U716</f>
        <v>48.820277777777783</v>
      </c>
      <c r="AD716" s="14">
        <f>Z716</f>
        <v>2.3386111111111112</v>
      </c>
    </row>
    <row r="717" spans="1:30" s="14" customFormat="1">
      <c r="A717" s="12">
        <v>12</v>
      </c>
      <c r="B717" s="12" t="s">
        <v>198</v>
      </c>
      <c r="C717" s="14" t="str">
        <f>VLOOKUP(B717,weights!A:B,2,FALSE)</f>
        <v>P</v>
      </c>
      <c r="D717" s="13">
        <v>715</v>
      </c>
      <c r="E717" s="14" t="s">
        <v>1419</v>
      </c>
      <c r="F717" s="14" t="s">
        <v>854</v>
      </c>
      <c r="G717" s="15"/>
      <c r="H717" s="18"/>
      <c r="I717" s="18"/>
      <c r="K717" s="14">
        <f>VLOOKUP(B717,weights!A:G,5,FALSE)</f>
        <v>1.48</v>
      </c>
      <c r="L717" s="14">
        <f>VLOOKUP(B717,weights!A:G,6,FALSE)</f>
        <v>7</v>
      </c>
      <c r="M717" s="14">
        <f>VLOOKUP(B717,weights!A:G,7,FALSE)</f>
        <v>10</v>
      </c>
      <c r="N717" t="s">
        <v>5725</v>
      </c>
      <c r="O717">
        <v>11</v>
      </c>
      <c r="P717">
        <v>48.819500509900003</v>
      </c>
      <c r="Q717">
        <v>2.3458035798400001</v>
      </c>
      <c r="R717" s="22">
        <v>48</v>
      </c>
      <c r="S717" s="22">
        <v>49</v>
      </c>
      <c r="T717" s="22">
        <v>10</v>
      </c>
      <c r="U717" s="24">
        <f>R717+S717/60+T717/3600</f>
        <v>48.81944444444445</v>
      </c>
      <c r="V717" s="28">
        <f>ABS(U717-P717)/P717</f>
        <v>1.1484233752338849E-6</v>
      </c>
      <c r="W717" s="22">
        <v>2</v>
      </c>
      <c r="X717" s="22">
        <v>20</v>
      </c>
      <c r="Y717" s="22">
        <v>45</v>
      </c>
      <c r="Z717" s="14">
        <f>W717+X717/60+Y717/3600</f>
        <v>2.3458333333333337</v>
      </c>
      <c r="AA717" s="26">
        <f>ABS(Z717-Q717)/Q717</f>
        <v>1.2683710430517508E-5</v>
      </c>
      <c r="AB717" s="26"/>
      <c r="AC717" s="24">
        <f>U717</f>
        <v>48.81944444444445</v>
      </c>
      <c r="AD717" s="14">
        <f>Z717</f>
        <v>2.3458333333333337</v>
      </c>
    </row>
    <row r="718" spans="1:30" s="14" customFormat="1">
      <c r="A718" s="12">
        <v>13</v>
      </c>
      <c r="B718" s="12" t="s">
        <v>198</v>
      </c>
      <c r="C718" s="14" t="str">
        <f>VLOOKUP(B718,weights!A:B,2,FALSE)</f>
        <v>P</v>
      </c>
      <c r="D718" s="13">
        <v>716</v>
      </c>
      <c r="E718" s="14" t="s">
        <v>1401</v>
      </c>
      <c r="F718" s="14" t="s">
        <v>855</v>
      </c>
      <c r="G718" s="15"/>
      <c r="H718" s="18"/>
      <c r="I718" s="18"/>
      <c r="K718" s="14">
        <f>VLOOKUP(B718,weights!A:G,5,FALSE)</f>
        <v>1.48</v>
      </c>
      <c r="L718" s="14">
        <f>VLOOKUP(B718,weights!A:G,6,FALSE)</f>
        <v>7</v>
      </c>
      <c r="M718" s="14">
        <f>VLOOKUP(B718,weights!A:G,7,FALSE)</f>
        <v>10</v>
      </c>
      <c r="N718" t="s">
        <v>5378</v>
      </c>
      <c r="O718">
        <v>640</v>
      </c>
      <c r="P718">
        <v>48.8208733552</v>
      </c>
      <c r="Q718">
        <v>2.3509328780600001</v>
      </c>
      <c r="R718" s="22">
        <v>48</v>
      </c>
      <c r="S718" s="22">
        <v>49</v>
      </c>
      <c r="T718" s="22">
        <v>15</v>
      </c>
      <c r="U718" s="24">
        <f>R718+S718/60+T718/3600</f>
        <v>48.82083333333334</v>
      </c>
      <c r="V718" s="28">
        <f>ABS(U718-P718)/P718</f>
        <v>8.1976957619487945E-7</v>
      </c>
      <c r="W718" s="22">
        <v>2</v>
      </c>
      <c r="X718" s="22">
        <v>21</v>
      </c>
      <c r="Y718" s="22">
        <v>3</v>
      </c>
      <c r="Z718" s="14">
        <f>W718+X718/60+Y718/3600</f>
        <v>2.3508333333333336</v>
      </c>
      <c r="AA718" s="26">
        <f>ABS(Z718-Q718)/Q718</f>
        <v>4.2342649420368158E-5</v>
      </c>
      <c r="AB718" s="26"/>
      <c r="AC718" s="24">
        <f>U718</f>
        <v>48.82083333333334</v>
      </c>
      <c r="AD718" s="14">
        <f>Z718</f>
        <v>2.3508333333333336</v>
      </c>
    </row>
    <row r="719" spans="1:30" s="14" customFormat="1">
      <c r="A719" s="12">
        <v>14</v>
      </c>
      <c r="B719" s="12" t="s">
        <v>198</v>
      </c>
      <c r="C719" s="14" t="str">
        <f>VLOOKUP(B719,weights!A:B,2,FALSE)</f>
        <v>P</v>
      </c>
      <c r="D719" s="13">
        <v>717</v>
      </c>
      <c r="E719" s="14" t="s">
        <v>304</v>
      </c>
      <c r="F719" s="14" t="s">
        <v>856</v>
      </c>
      <c r="G719" s="15" t="s">
        <v>74</v>
      </c>
      <c r="H719" s="18"/>
      <c r="I719" s="18" t="s">
        <v>1888</v>
      </c>
      <c r="K719" s="14">
        <f>VLOOKUP(B719,weights!A:G,5,FALSE)</f>
        <v>1.48</v>
      </c>
      <c r="L719" s="14">
        <f>VLOOKUP(B719,weights!A:G,6,FALSE)</f>
        <v>7</v>
      </c>
      <c r="M719" s="14">
        <f>VLOOKUP(B719,weights!A:G,7,FALSE)</f>
        <v>10</v>
      </c>
      <c r="N719" t="s">
        <v>5286</v>
      </c>
      <c r="O719">
        <v>482</v>
      </c>
      <c r="P719">
        <v>48.8190515147</v>
      </c>
      <c r="Q719">
        <v>2.3601297420199998</v>
      </c>
      <c r="R719" s="22">
        <v>48</v>
      </c>
      <c r="S719" s="22">
        <v>49</v>
      </c>
      <c r="T719" s="22">
        <v>9</v>
      </c>
      <c r="U719" s="24">
        <f>R719+S719/60+T719/3600</f>
        <v>48.819166666666668</v>
      </c>
      <c r="V719" s="28">
        <f>ABS(U719-P719)/P719</f>
        <v>2.3587505921352802E-6</v>
      </c>
      <c r="W719" s="22">
        <v>2</v>
      </c>
      <c r="X719" s="22">
        <v>21</v>
      </c>
      <c r="Y719" s="22">
        <v>37</v>
      </c>
      <c r="Z719" s="14">
        <f>W719+X719/60+Y719/3600</f>
        <v>2.3602777777777777</v>
      </c>
      <c r="AA719" s="26">
        <f>ABS(Z719-Q719)/Q719</f>
        <v>6.2723567752332631E-5</v>
      </c>
      <c r="AB719" s="26"/>
      <c r="AC719" s="24">
        <f>U719</f>
        <v>48.819166666666668</v>
      </c>
      <c r="AD719" s="14">
        <f>Z719</f>
        <v>2.3602777777777777</v>
      </c>
    </row>
    <row r="720" spans="1:30" s="14" customFormat="1">
      <c r="A720" s="12">
        <v>15</v>
      </c>
      <c r="B720" s="12" t="s">
        <v>198</v>
      </c>
      <c r="C720" s="14" t="str">
        <f>VLOOKUP(B720,weights!A:B,2,FALSE)</f>
        <v>P</v>
      </c>
      <c r="D720" s="13">
        <v>718</v>
      </c>
      <c r="E720" s="14" t="s">
        <v>306</v>
      </c>
      <c r="F720" s="14" t="s">
        <v>857</v>
      </c>
      <c r="G720" s="15" t="s">
        <v>74</v>
      </c>
      <c r="H720" s="18"/>
      <c r="I720" s="18" t="s">
        <v>1889</v>
      </c>
      <c r="K720" s="14">
        <f>VLOOKUP(B720,weights!A:G,5,FALSE)</f>
        <v>1.48</v>
      </c>
      <c r="L720" s="14">
        <f>VLOOKUP(B720,weights!A:G,6,FALSE)</f>
        <v>7</v>
      </c>
      <c r="M720" s="14">
        <f>VLOOKUP(B720,weights!A:G,7,FALSE)</f>
        <v>10</v>
      </c>
      <c r="N720" t="s">
        <v>5313</v>
      </c>
      <c r="O720">
        <v>821</v>
      </c>
      <c r="P720">
        <v>48.819761266699999</v>
      </c>
      <c r="Q720">
        <v>2.36401545947</v>
      </c>
      <c r="R720" s="22">
        <v>48</v>
      </c>
      <c r="S720" s="22">
        <v>49</v>
      </c>
      <c r="T720" s="22">
        <v>11</v>
      </c>
      <c r="U720" s="24">
        <f>R720+S720/60+T720/3600</f>
        <v>48.819722222222225</v>
      </c>
      <c r="V720" s="28">
        <f>ABS(U720-P720)/P720</f>
        <v>7.9976789645259539E-7</v>
      </c>
      <c r="W720" s="22">
        <v>2</v>
      </c>
      <c r="X720" s="22">
        <v>21</v>
      </c>
      <c r="Y720" s="22">
        <v>50</v>
      </c>
      <c r="Z720" s="14">
        <f>W720+X720/60+Y720/3600</f>
        <v>2.3638888888888889</v>
      </c>
      <c r="AA720" s="26">
        <f>ABS(Z720-Q720)/Q720</f>
        <v>5.3540504823717469E-5</v>
      </c>
      <c r="AB720" s="26"/>
      <c r="AC720" s="24">
        <f>U720</f>
        <v>48.819722222222225</v>
      </c>
      <c r="AD720" s="14">
        <f>Z720</f>
        <v>2.3638888888888889</v>
      </c>
    </row>
    <row r="721" spans="1:30" s="14" customFormat="1">
      <c r="A721" s="12">
        <v>16</v>
      </c>
      <c r="B721" s="12" t="s">
        <v>198</v>
      </c>
      <c r="C721" s="14" t="str">
        <f>VLOOKUP(B721,weights!A:B,2,FALSE)</f>
        <v>P</v>
      </c>
      <c r="D721" s="13">
        <v>719</v>
      </c>
      <c r="E721" s="14" t="s">
        <v>308</v>
      </c>
      <c r="F721" s="14" t="s">
        <v>858</v>
      </c>
      <c r="G721" s="15" t="s">
        <v>74</v>
      </c>
      <c r="H721" s="18"/>
      <c r="I721" s="18" t="s">
        <v>1890</v>
      </c>
      <c r="K721" s="14">
        <f>VLOOKUP(B721,weights!A:G,5,FALSE)</f>
        <v>1.48</v>
      </c>
      <c r="L721" s="14">
        <f>VLOOKUP(B721,weights!A:G,6,FALSE)</f>
        <v>7</v>
      </c>
      <c r="M721" s="14">
        <f>VLOOKUP(B721,weights!A:G,7,FALSE)</f>
        <v>10</v>
      </c>
      <c r="N721" t="s">
        <v>5290</v>
      </c>
      <c r="O721">
        <v>822</v>
      </c>
      <c r="P721">
        <v>48.821355783800001</v>
      </c>
      <c r="Q721">
        <v>2.3692905873500001</v>
      </c>
      <c r="R721" s="22">
        <v>48</v>
      </c>
      <c r="S721" s="22">
        <v>49</v>
      </c>
      <c r="T721" s="22">
        <v>18</v>
      </c>
      <c r="U721" s="24">
        <f>R721+S721/60+T721/3600</f>
        <v>48.821666666666673</v>
      </c>
      <c r="V721" s="28">
        <f>ABS(U721-P721)/P721</f>
        <v>6.3677638951250477E-6</v>
      </c>
      <c r="W721" s="22">
        <v>2</v>
      </c>
      <c r="X721" s="22">
        <v>22</v>
      </c>
      <c r="Y721" s="22">
        <v>12</v>
      </c>
      <c r="Z721" s="14">
        <f>W721+X721/60+Y721/3600</f>
        <v>2.37</v>
      </c>
      <c r="AA721" s="26">
        <f>ABS(Z721-Q721)/Q721</f>
        <v>2.9941985748294439E-4</v>
      </c>
      <c r="AB721" s="26"/>
      <c r="AC721" s="24">
        <f>U721</f>
        <v>48.821666666666673</v>
      </c>
      <c r="AD721" s="14">
        <f>Z721</f>
        <v>2.37</v>
      </c>
    </row>
    <row r="722" spans="1:30" s="14" customFormat="1">
      <c r="A722" s="12">
        <v>17</v>
      </c>
      <c r="B722" s="12" t="s">
        <v>198</v>
      </c>
      <c r="C722" s="14" t="str">
        <f>VLOOKUP(B722,weights!A:B,2,FALSE)</f>
        <v>P</v>
      </c>
      <c r="D722" s="13">
        <v>720</v>
      </c>
      <c r="E722" s="14" t="s">
        <v>1361</v>
      </c>
      <c r="F722" s="14" t="s">
        <v>859</v>
      </c>
      <c r="G722" s="15"/>
      <c r="H722" s="18"/>
      <c r="I722" s="18"/>
      <c r="K722" s="14">
        <f>VLOOKUP(B722,weights!A:G,5,FALSE)</f>
        <v>1.48</v>
      </c>
      <c r="L722" s="14">
        <f>VLOOKUP(B722,weights!A:G,6,FALSE)</f>
        <v>7</v>
      </c>
      <c r="M722" s="14">
        <f>VLOOKUP(B722,weights!A:G,7,FALSE)</f>
        <v>10</v>
      </c>
      <c r="N722" t="s">
        <v>4809</v>
      </c>
      <c r="O722">
        <v>467</v>
      </c>
      <c r="P722">
        <v>48.8243283105</v>
      </c>
      <c r="Q722">
        <v>2.3775836726500001</v>
      </c>
      <c r="R722" s="22">
        <v>48</v>
      </c>
      <c r="S722" s="22">
        <v>49</v>
      </c>
      <c r="T722" s="22">
        <v>27</v>
      </c>
      <c r="U722" s="24">
        <f>R722+S722/60+T722/3600</f>
        <v>48.82416666666667</v>
      </c>
      <c r="V722" s="28">
        <f>ABS(U722-P722)/P722</f>
        <v>3.3107231358531177E-6</v>
      </c>
      <c r="W722" s="22">
        <v>2</v>
      </c>
      <c r="X722" s="22">
        <v>22</v>
      </c>
      <c r="Y722" s="22">
        <v>37</v>
      </c>
      <c r="Z722" s="14">
        <f>W722+X722/60+Y722/3600</f>
        <v>2.3769444444444443</v>
      </c>
      <c r="AA722" s="26">
        <f>ABS(Z722-Q722)/Q722</f>
        <v>2.6885623959697398E-4</v>
      </c>
      <c r="AB722" s="26"/>
      <c r="AC722" s="24">
        <f>U722</f>
        <v>48.82416666666667</v>
      </c>
      <c r="AD722" s="14">
        <f>Z722</f>
        <v>2.3769444444444443</v>
      </c>
    </row>
    <row r="723" spans="1:30" s="14" customFormat="1">
      <c r="A723" s="12">
        <v>18</v>
      </c>
      <c r="B723" s="12" t="s">
        <v>198</v>
      </c>
      <c r="C723" s="14" t="str">
        <f>VLOOKUP(B723,weights!A:B,2,FALSE)</f>
        <v>P</v>
      </c>
      <c r="D723" s="13">
        <v>721</v>
      </c>
      <c r="E723" s="14" t="s">
        <v>1246</v>
      </c>
      <c r="F723" s="14" t="s">
        <v>860</v>
      </c>
      <c r="G723" s="15" t="s">
        <v>868</v>
      </c>
      <c r="H723" s="18"/>
      <c r="I723" s="18" t="s">
        <v>1891</v>
      </c>
      <c r="K723" s="14">
        <f>VLOOKUP(B723,weights!A:G,5,FALSE)</f>
        <v>1.48</v>
      </c>
      <c r="L723" s="14">
        <f>VLOOKUP(B723,weights!A:G,6,FALSE)</f>
        <v>7</v>
      </c>
      <c r="M723" s="14">
        <f>VLOOKUP(B723,weights!A:G,7,FALSE)</f>
        <v>10</v>
      </c>
      <c r="N723" t="s">
        <v>3244</v>
      </c>
      <c r="O723">
        <v>466</v>
      </c>
      <c r="P723">
        <v>48.825570555299997</v>
      </c>
      <c r="Q723">
        <v>2.3811665020600001</v>
      </c>
      <c r="R723" s="22">
        <v>48</v>
      </c>
      <c r="S723" s="22">
        <v>49</v>
      </c>
      <c r="T723" s="22">
        <v>32</v>
      </c>
      <c r="U723" s="24">
        <f>R723+S723/60+T723/3600</f>
        <v>48.82555555555556</v>
      </c>
      <c r="V723" s="28">
        <f>ABS(U723-P723)/P723</f>
        <v>3.0721083780805485E-7</v>
      </c>
      <c r="W723" s="22">
        <v>2</v>
      </c>
      <c r="X723" s="22">
        <v>22</v>
      </c>
      <c r="Y723" s="22">
        <v>52</v>
      </c>
      <c r="Z723" s="14">
        <f>W723+X723/60+Y723/3600</f>
        <v>2.3811111111111112</v>
      </c>
      <c r="AA723" s="26">
        <f>ABS(Z723-Q723)/Q723</f>
        <v>2.3262106551992885E-5</v>
      </c>
      <c r="AB723" s="26"/>
      <c r="AC723" s="24">
        <f>U723</f>
        <v>48.82555555555556</v>
      </c>
      <c r="AD723" s="14">
        <f>Z723</f>
        <v>2.3811111111111112</v>
      </c>
    </row>
    <row r="724" spans="1:30" s="14" customFormat="1">
      <c r="A724" s="12">
        <v>19</v>
      </c>
      <c r="B724" s="12" t="s">
        <v>198</v>
      </c>
      <c r="C724" s="14" t="str">
        <f>VLOOKUP(B724,weights!A:B,2,FALSE)</f>
        <v>P</v>
      </c>
      <c r="D724" s="13">
        <v>722</v>
      </c>
      <c r="E724" s="14" t="s">
        <v>1248</v>
      </c>
      <c r="F724" s="14" t="s">
        <v>861</v>
      </c>
      <c r="G724" s="15"/>
      <c r="H724" s="18"/>
      <c r="I724" s="18"/>
      <c r="K724" s="14">
        <f>VLOOKUP(B724,weights!A:G,5,FALSE)</f>
        <v>1.48</v>
      </c>
      <c r="L724" s="14">
        <f>VLOOKUP(B724,weights!A:G,6,FALSE)</f>
        <v>7</v>
      </c>
      <c r="M724" s="14">
        <f>VLOOKUP(B724,weights!A:G,7,FALSE)</f>
        <v>10</v>
      </c>
      <c r="N724" t="s">
        <v>3280</v>
      </c>
      <c r="O724">
        <v>561</v>
      </c>
      <c r="P724">
        <v>48.8303885897</v>
      </c>
      <c r="Q724">
        <v>2.39344969832</v>
      </c>
      <c r="R724" s="22">
        <v>48</v>
      </c>
      <c r="S724" s="22">
        <v>49</v>
      </c>
      <c r="T724" s="22">
        <v>46</v>
      </c>
      <c r="U724" s="24">
        <f>R724+S724/60+T724/3600</f>
        <v>48.829444444444448</v>
      </c>
      <c r="V724" s="28">
        <f>ABS(U724-P724)/P724</f>
        <v>1.9335198486444962E-5</v>
      </c>
      <c r="W724" s="22">
        <v>2</v>
      </c>
      <c r="X724" s="22">
        <v>23</v>
      </c>
      <c r="Y724" s="22">
        <v>25</v>
      </c>
      <c r="Z724" s="14">
        <f>W724+X724/60+Y724/3600</f>
        <v>2.3902777777777779</v>
      </c>
      <c r="AA724" s="26">
        <f>ABS(Z724-Q724)/Q724</f>
        <v>1.3252505554841869E-3</v>
      </c>
      <c r="AB724" s="26"/>
      <c r="AC724" s="24">
        <f>U724</f>
        <v>48.829444444444448</v>
      </c>
      <c r="AD724" s="14">
        <f>Z724</f>
        <v>2.3902777777777779</v>
      </c>
    </row>
    <row r="725" spans="1:30" s="14" customFormat="1">
      <c r="A725" s="12">
        <v>20</v>
      </c>
      <c r="B725" s="12" t="s">
        <v>198</v>
      </c>
      <c r="C725" s="14" t="str">
        <f>VLOOKUP(B725,weights!A:B,2,FALSE)</f>
        <v>P</v>
      </c>
      <c r="D725" s="13">
        <v>723</v>
      </c>
      <c r="E725" s="14" t="s">
        <v>365</v>
      </c>
      <c r="F725" s="14" t="s">
        <v>862</v>
      </c>
      <c r="G725" s="15" t="s">
        <v>220</v>
      </c>
      <c r="H725" s="18"/>
      <c r="I725" s="18" t="s">
        <v>1892</v>
      </c>
      <c r="K725" s="14">
        <f>VLOOKUP(B725,weights!A:G,5,FALSE)</f>
        <v>1.48</v>
      </c>
      <c r="L725" s="14">
        <f>VLOOKUP(B725,weights!A:G,6,FALSE)</f>
        <v>7</v>
      </c>
      <c r="M725" s="14">
        <f>VLOOKUP(B725,weights!A:G,7,FALSE)</f>
        <v>10</v>
      </c>
      <c r="N725" t="s">
        <v>5310</v>
      </c>
      <c r="O725">
        <v>641</v>
      </c>
      <c r="P725">
        <v>48.832304960499997</v>
      </c>
      <c r="Q725">
        <v>2.39918151028</v>
      </c>
      <c r="R725" s="22">
        <v>48</v>
      </c>
      <c r="S725" s="22">
        <v>49</v>
      </c>
      <c r="T725" s="22">
        <v>54</v>
      </c>
      <c r="U725" s="24">
        <f>R725+S725/60+T725/3600</f>
        <v>48.831666666666671</v>
      </c>
      <c r="V725" s="28">
        <f>ABS(U725-P725)/P725</f>
        <v>1.307113874395938E-5</v>
      </c>
      <c r="W725" s="22">
        <v>2</v>
      </c>
      <c r="X725" s="22">
        <v>23</v>
      </c>
      <c r="Y725" s="22">
        <v>52</v>
      </c>
      <c r="Z725" s="14">
        <f>W725+X725/60+Y725/3600</f>
        <v>2.3977777777777778</v>
      </c>
      <c r="AA725" s="26">
        <f>ABS(Z725-Q725)/Q725</f>
        <v>5.8508807950025837E-4</v>
      </c>
      <c r="AB725" s="26"/>
      <c r="AC725" s="24">
        <f>U725</f>
        <v>48.831666666666671</v>
      </c>
      <c r="AD725" s="14">
        <f>Z725</f>
        <v>2.3977777777777778</v>
      </c>
    </row>
    <row r="726" spans="1:30" s="14" customFormat="1">
      <c r="A726" s="12">
        <v>21</v>
      </c>
      <c r="B726" s="12" t="s">
        <v>198</v>
      </c>
      <c r="C726" s="14" t="str">
        <f>VLOOKUP(B726,weights!A:B,2,FALSE)</f>
        <v>P</v>
      </c>
      <c r="D726" s="13">
        <v>724</v>
      </c>
      <c r="E726" s="14" t="s">
        <v>364</v>
      </c>
      <c r="F726" s="14" t="s">
        <v>863</v>
      </c>
      <c r="G726" s="15" t="s">
        <v>220</v>
      </c>
      <c r="H726" s="18"/>
      <c r="I726" s="18" t="s">
        <v>1893</v>
      </c>
      <c r="K726" s="14">
        <f>VLOOKUP(B726,weights!A:G,5,FALSE)</f>
        <v>1.48</v>
      </c>
      <c r="L726" s="14">
        <f>VLOOKUP(B726,weights!A:G,6,FALSE)</f>
        <v>7</v>
      </c>
      <c r="M726" s="14">
        <f>VLOOKUP(B726,weights!A:G,7,FALSE)</f>
        <v>10</v>
      </c>
      <c r="N726" t="s">
        <v>5371</v>
      </c>
      <c r="O726">
        <v>639</v>
      </c>
      <c r="P726">
        <v>48.834764459900001</v>
      </c>
      <c r="Q726">
        <v>2.4053493429500001</v>
      </c>
      <c r="R726" s="22">
        <v>48</v>
      </c>
      <c r="S726" s="22">
        <v>50</v>
      </c>
      <c r="T726" s="22">
        <v>8</v>
      </c>
      <c r="U726" s="24">
        <f>R726+S726/60+T726/3600</f>
        <v>48.835555555555558</v>
      </c>
      <c r="V726" s="28">
        <f>ABS(U726-P726)/P726</f>
        <v>1.6199436289024811E-5</v>
      </c>
      <c r="W726" s="22">
        <v>2</v>
      </c>
      <c r="X726" s="22">
        <v>24</v>
      </c>
      <c r="Y726" s="22">
        <v>24</v>
      </c>
      <c r="Z726" s="14">
        <f>W726+X726/60+Y726/3600</f>
        <v>2.4066666666666667</v>
      </c>
      <c r="AA726" s="26">
        <f>ABS(Z726-Q726)/Q726</f>
        <v>5.4766419710618284E-4</v>
      </c>
      <c r="AB726" s="26"/>
      <c r="AC726" s="24">
        <f>U726</f>
        <v>48.835555555555558</v>
      </c>
      <c r="AD726" s="14">
        <f>Z726</f>
        <v>2.4066666666666667</v>
      </c>
    </row>
    <row r="727" spans="1:30" s="14" customFormat="1">
      <c r="A727" s="12">
        <v>22</v>
      </c>
      <c r="B727" s="12" t="s">
        <v>198</v>
      </c>
      <c r="C727" s="14" t="str">
        <f>VLOOKUP(B727,weights!A:B,2,FALSE)</f>
        <v>P</v>
      </c>
      <c r="D727" s="13">
        <v>725</v>
      </c>
      <c r="E727" s="14" t="s">
        <v>1365</v>
      </c>
      <c r="F727" s="14" t="s">
        <v>864</v>
      </c>
      <c r="G727" s="15"/>
      <c r="H727" s="18"/>
      <c r="I727" s="18"/>
      <c r="K727" s="14">
        <f>VLOOKUP(B727,weights!A:G,5,FALSE)</f>
        <v>1.48</v>
      </c>
      <c r="L727" s="14">
        <f>VLOOKUP(B727,weights!A:G,6,FALSE)</f>
        <v>7</v>
      </c>
      <c r="M727" s="14">
        <f>VLOOKUP(B727,weights!A:G,7,FALSE)</f>
        <v>10</v>
      </c>
      <c r="N727" t="s">
        <v>4895</v>
      </c>
      <c r="O727">
        <v>465</v>
      </c>
      <c r="P727">
        <v>48.839843232299998</v>
      </c>
      <c r="Q727">
        <v>2.40886752214</v>
      </c>
      <c r="R727" s="22">
        <v>48</v>
      </c>
      <c r="S727" s="22">
        <v>50</v>
      </c>
      <c r="T727" s="22">
        <v>26</v>
      </c>
      <c r="U727" s="24">
        <f>R727+S727/60+T727/3600</f>
        <v>48.840555555555561</v>
      </c>
      <c r="V727" s="28">
        <f>ABS(U727-P727)/P727</f>
        <v>1.4584880057348674E-5</v>
      </c>
      <c r="W727" s="22">
        <v>2</v>
      </c>
      <c r="X727" s="22">
        <v>24</v>
      </c>
      <c r="Y727" s="22">
        <v>33</v>
      </c>
      <c r="Z727" s="14">
        <f>W727+X727/60+Y727/3600</f>
        <v>2.4091666666666667</v>
      </c>
      <c r="AA727" s="26">
        <f>ABS(Z727-Q727)/Q727</f>
        <v>1.2418471498213749E-4</v>
      </c>
      <c r="AB727" s="26"/>
      <c r="AC727" s="24">
        <f>U727</f>
        <v>48.840555555555561</v>
      </c>
      <c r="AD727" s="14">
        <f>Z727</f>
        <v>2.4091666666666667</v>
      </c>
    </row>
    <row r="728" spans="1:30" s="14" customFormat="1">
      <c r="A728" s="12">
        <v>23</v>
      </c>
      <c r="B728" s="12" t="s">
        <v>198</v>
      </c>
      <c r="C728" s="14" t="str">
        <f>VLOOKUP(B728,weights!A:B,2,FALSE)</f>
        <v>P</v>
      </c>
      <c r="D728" s="13">
        <v>726</v>
      </c>
      <c r="E728" s="14" t="s">
        <v>1237</v>
      </c>
      <c r="F728" s="14" t="s">
        <v>865</v>
      </c>
      <c r="G728" s="15"/>
      <c r="H728" s="18"/>
      <c r="I728" s="18"/>
      <c r="K728" s="14">
        <f>VLOOKUP(B728,weights!A:G,5,FALSE)</f>
        <v>1.48</v>
      </c>
      <c r="L728" s="14">
        <f>VLOOKUP(B728,weights!A:G,6,FALSE)</f>
        <v>7</v>
      </c>
      <c r="M728" s="14">
        <f>VLOOKUP(B728,weights!A:G,7,FALSE)</f>
        <v>10</v>
      </c>
      <c r="N728" t="s">
        <v>3156</v>
      </c>
      <c r="O728">
        <v>701</v>
      </c>
      <c r="P728">
        <v>48.843771786700003</v>
      </c>
      <c r="Q728">
        <v>2.41013203808</v>
      </c>
      <c r="R728" s="22">
        <v>48</v>
      </c>
      <c r="S728" s="22">
        <v>50</v>
      </c>
      <c r="T728" s="22">
        <v>39</v>
      </c>
      <c r="U728" s="24">
        <f>R728+S728/60+T728/3600</f>
        <v>48.844166666666666</v>
      </c>
      <c r="V728" s="28">
        <f>ABS(U728-P728)/P728</f>
        <v>8.0845510536641652E-6</v>
      </c>
      <c r="W728" s="22">
        <v>2</v>
      </c>
      <c r="X728" s="22">
        <v>24</v>
      </c>
      <c r="Y728" s="22">
        <v>37</v>
      </c>
      <c r="Z728" s="14">
        <f>W728+X728/60+Y728/3600</f>
        <v>2.4102777777777775</v>
      </c>
      <c r="AA728" s="26">
        <f>ABS(Z728-Q728)/Q728</f>
        <v>6.0469590659289213E-5</v>
      </c>
      <c r="AB728" s="26"/>
      <c r="AC728" s="24">
        <f>U728</f>
        <v>48.844166666666666</v>
      </c>
      <c r="AD728" s="14">
        <f>Z728</f>
        <v>2.4102777777777775</v>
      </c>
    </row>
    <row r="729" spans="1:30" s="14" customFormat="1">
      <c r="A729" s="12">
        <v>24</v>
      </c>
      <c r="B729" s="12" t="s">
        <v>198</v>
      </c>
      <c r="C729" s="14" t="str">
        <f>VLOOKUP(B729,weights!A:B,2,FALSE)</f>
        <v>P</v>
      </c>
      <c r="D729" s="13">
        <v>727</v>
      </c>
      <c r="E729" s="14" t="s">
        <v>59</v>
      </c>
      <c r="F729" s="14" t="s">
        <v>866</v>
      </c>
      <c r="G729" s="15" t="s">
        <v>143</v>
      </c>
      <c r="H729" s="18" t="s">
        <v>1894</v>
      </c>
      <c r="I729" s="18"/>
      <c r="K729" s="14">
        <f>VLOOKUP(B729,weights!A:G,5,FALSE)</f>
        <v>1.48</v>
      </c>
      <c r="L729" s="14">
        <f>VLOOKUP(B729,weights!A:G,6,FALSE)</f>
        <v>7</v>
      </c>
      <c r="M729" s="14">
        <f>VLOOKUP(B729,weights!A:G,7,FALSE)</f>
        <v>10</v>
      </c>
      <c r="N729" t="s">
        <v>5363</v>
      </c>
      <c r="O729">
        <v>569</v>
      </c>
      <c r="P729">
        <v>48.847158479400001</v>
      </c>
      <c r="Q729">
        <v>2.41014036797</v>
      </c>
      <c r="R729" s="22">
        <v>48</v>
      </c>
      <c r="S729" s="22">
        <v>50</v>
      </c>
      <c r="T729" s="22">
        <v>49</v>
      </c>
      <c r="U729" s="24">
        <f>R729+S729/60+T729/3600</f>
        <v>48.846944444444446</v>
      </c>
      <c r="V729" s="28">
        <f>ABS(U729-P729)/P729</f>
        <v>4.3817278674433661E-6</v>
      </c>
      <c r="W729" s="22">
        <v>2</v>
      </c>
      <c r="X729" s="22">
        <v>24</v>
      </c>
      <c r="Y729" s="22">
        <v>37</v>
      </c>
      <c r="Z729" s="14">
        <f>W729+X729/60+Y729/3600</f>
        <v>2.4102777777777775</v>
      </c>
      <c r="AA729" s="26">
        <f>ABS(Z729-Q729)/Q729</f>
        <v>5.7013197075023927E-5</v>
      </c>
      <c r="AB729" s="26"/>
      <c r="AC729" s="24">
        <f>U729</f>
        <v>48.846944444444446</v>
      </c>
      <c r="AD729" s="14">
        <f>Z729</f>
        <v>2.4102777777777775</v>
      </c>
    </row>
    <row r="730" spans="1:30" s="14" customFormat="1">
      <c r="A730" s="12">
        <v>0</v>
      </c>
      <c r="B730" s="12" t="s">
        <v>143</v>
      </c>
      <c r="C730" s="14" t="str">
        <f>VLOOKUP(B730,weights!A:B,2,FALSE)</f>
        <v>P</v>
      </c>
      <c r="D730" s="13">
        <v>728</v>
      </c>
      <c r="E730" s="14" t="s">
        <v>59</v>
      </c>
      <c r="F730" s="14" t="s">
        <v>869</v>
      </c>
      <c r="G730" s="15" t="s">
        <v>894</v>
      </c>
      <c r="H730" s="18" t="s">
        <v>1601</v>
      </c>
      <c r="I730" s="18" t="s">
        <v>1895</v>
      </c>
      <c r="K730" s="14">
        <f>VLOOKUP(B730,weights!A:G,5,FALSE)</f>
        <v>1.92</v>
      </c>
      <c r="L730" s="14">
        <f>VLOOKUP(B730,weights!A:G,6,FALSE)</f>
        <v>7</v>
      </c>
      <c r="M730" s="14">
        <f>VLOOKUP(B730,weights!A:G,7,FALSE)</f>
        <v>10</v>
      </c>
      <c r="N730" t="s">
        <v>5363</v>
      </c>
      <c r="O730">
        <v>569</v>
      </c>
      <c r="P730">
        <v>48.847158479400001</v>
      </c>
      <c r="Q730">
        <v>2.41014036797</v>
      </c>
      <c r="R730" s="22">
        <v>48</v>
      </c>
      <c r="S730" s="22">
        <v>50</v>
      </c>
      <c r="T730" s="22">
        <v>50</v>
      </c>
      <c r="U730" s="24">
        <f>R730+S730/60+T730/3600</f>
        <v>48.847222222222221</v>
      </c>
      <c r="V730" s="28">
        <f>ABS(U730-P730)/P730</f>
        <v>1.3049443243956354E-6</v>
      </c>
      <c r="W730" s="22">
        <v>2</v>
      </c>
      <c r="X730" s="22">
        <v>24</v>
      </c>
      <c r="Y730" s="22">
        <v>37</v>
      </c>
      <c r="Z730" s="14">
        <f>W730+X730/60+Y730/3600</f>
        <v>2.4102777777777775</v>
      </c>
      <c r="AA730" s="26">
        <f>ABS(Z730-Q730)/Q730</f>
        <v>5.7013197075023927E-5</v>
      </c>
      <c r="AB730" s="26"/>
      <c r="AC730" s="24">
        <f>U730</f>
        <v>48.847222222222221</v>
      </c>
      <c r="AD730" s="14">
        <f>Z730</f>
        <v>2.4102777777777775</v>
      </c>
    </row>
    <row r="731" spans="1:30" s="14" customFormat="1">
      <c r="A731" s="12">
        <v>1</v>
      </c>
      <c r="B731" s="12" t="s">
        <v>143</v>
      </c>
      <c r="C731" s="14" t="str">
        <f>VLOOKUP(B731,weights!A:B,2,FALSE)</f>
        <v>P</v>
      </c>
      <c r="D731" s="13">
        <v>729</v>
      </c>
      <c r="E731" s="14" t="s">
        <v>404</v>
      </c>
      <c r="F731" s="14" t="s">
        <v>870</v>
      </c>
      <c r="G731" s="15" t="s">
        <v>71</v>
      </c>
      <c r="H731" s="18"/>
      <c r="I731" s="18" t="s">
        <v>1896</v>
      </c>
      <c r="K731" s="14">
        <f>VLOOKUP(B731,weights!A:G,5,FALSE)</f>
        <v>1.92</v>
      </c>
      <c r="L731" s="14">
        <f>VLOOKUP(B731,weights!A:G,6,FALSE)</f>
        <v>7</v>
      </c>
      <c r="M731" s="14">
        <f>VLOOKUP(B731,weights!A:G,7,FALSE)</f>
        <v>10</v>
      </c>
      <c r="N731" t="s">
        <v>5335</v>
      </c>
      <c r="O731">
        <v>568</v>
      </c>
      <c r="P731">
        <v>48.853543916100001</v>
      </c>
      <c r="Q731">
        <v>2.4106264257399999</v>
      </c>
      <c r="R731" s="22">
        <v>48</v>
      </c>
      <c r="S731" s="22">
        <v>51</v>
      </c>
      <c r="T731" s="22">
        <v>13</v>
      </c>
      <c r="U731" s="24">
        <f>R731+S731/60+T731/3600</f>
        <v>48.853611111111114</v>
      </c>
      <c r="V731" s="28">
        <f>ABS(U731-P731)/P731</f>
        <v>1.3754378029980781E-6</v>
      </c>
      <c r="W731" s="22">
        <v>2</v>
      </c>
      <c r="X731" s="22">
        <v>24</v>
      </c>
      <c r="Y731" s="22">
        <v>38</v>
      </c>
      <c r="Z731" s="14">
        <f>W731+X731/60+Y731/3600</f>
        <v>2.4105555555555553</v>
      </c>
      <c r="AA731" s="26">
        <f>ABS(Z731-Q731)/Q731</f>
        <v>2.9399073903688979E-5</v>
      </c>
      <c r="AB731" s="26"/>
      <c r="AC731" s="24">
        <f>U731</f>
        <v>48.853611111111114</v>
      </c>
      <c r="AD731" s="14">
        <f>Z731</f>
        <v>2.4105555555555553</v>
      </c>
    </row>
    <row r="732" spans="1:30" s="14" customFormat="1">
      <c r="A732" s="12">
        <v>2</v>
      </c>
      <c r="B732" s="12" t="s">
        <v>143</v>
      </c>
      <c r="C732" s="14" t="str">
        <f>VLOOKUP(B732,weights!A:B,2,FALSE)</f>
        <v>P</v>
      </c>
      <c r="D732" s="13">
        <v>730</v>
      </c>
      <c r="E732" s="14" t="s">
        <v>1360</v>
      </c>
      <c r="F732" s="14" t="s">
        <v>871</v>
      </c>
      <c r="G732" s="15"/>
      <c r="H732" s="18"/>
      <c r="I732" s="18"/>
      <c r="K732" s="14">
        <f>VLOOKUP(B732,weights!A:G,5,FALSE)</f>
        <v>1.92</v>
      </c>
      <c r="L732" s="14">
        <f>VLOOKUP(B732,weights!A:G,6,FALSE)</f>
        <v>7</v>
      </c>
      <c r="M732" s="14">
        <f>VLOOKUP(B732,weights!A:G,7,FALSE)</f>
        <v>10</v>
      </c>
      <c r="N732" t="s">
        <v>4794</v>
      </c>
      <c r="O732">
        <v>560</v>
      </c>
      <c r="P732">
        <v>48.8587040102</v>
      </c>
      <c r="Q732">
        <v>2.4096856869700001</v>
      </c>
      <c r="R732" s="22">
        <v>48</v>
      </c>
      <c r="S732" s="22">
        <v>51</v>
      </c>
      <c r="T732" s="22">
        <v>25</v>
      </c>
      <c r="U732" s="24">
        <f>R732+S732/60+T732/3600</f>
        <v>48.856944444444444</v>
      </c>
      <c r="V732" s="28">
        <f>ABS(U732-P732)/P732</f>
        <v>3.6013353018710627E-5</v>
      </c>
      <c r="W732" s="22">
        <v>2</v>
      </c>
      <c r="X732" s="22">
        <v>24</v>
      </c>
      <c r="Y732" s="22">
        <v>36</v>
      </c>
      <c r="Z732" s="14">
        <f>W732+X732/60+Y732/3600</f>
        <v>2.4099999999999997</v>
      </c>
      <c r="AA732" s="26">
        <f>ABS(Z732-Q732)/Q732</f>
        <v>1.3043735608308715E-4</v>
      </c>
      <c r="AB732" s="26"/>
      <c r="AC732" s="24">
        <f>U732</f>
        <v>48.856944444444444</v>
      </c>
      <c r="AD732" s="14">
        <f>Z732</f>
        <v>2.4099999999999997</v>
      </c>
    </row>
    <row r="733" spans="1:30" s="14" customFormat="1">
      <c r="A733" s="12">
        <v>3</v>
      </c>
      <c r="B733" s="12" t="s">
        <v>143</v>
      </c>
      <c r="C733" s="14" t="str">
        <f>VLOOKUP(B733,weights!A:B,2,FALSE)</f>
        <v>P</v>
      </c>
      <c r="D733" s="13">
        <v>731</v>
      </c>
      <c r="E733" s="14" t="s">
        <v>136</v>
      </c>
      <c r="F733" s="14" t="s">
        <v>872</v>
      </c>
      <c r="G733" s="15" t="s">
        <v>109</v>
      </c>
      <c r="H733" s="18"/>
      <c r="I733" s="18" t="s">
        <v>1897</v>
      </c>
      <c r="K733" s="14">
        <f>VLOOKUP(B733,weights!A:G,5,FALSE)</f>
        <v>1.92</v>
      </c>
      <c r="L733" s="14">
        <f>VLOOKUP(B733,weights!A:G,6,FALSE)</f>
        <v>7</v>
      </c>
      <c r="M733" s="14">
        <f>VLOOKUP(B733,weights!A:G,7,FALSE)</f>
        <v>10</v>
      </c>
      <c r="N733" t="s">
        <v>5300</v>
      </c>
      <c r="O733">
        <v>637</v>
      </c>
      <c r="P733">
        <v>48.864585191099998</v>
      </c>
      <c r="Q733">
        <v>2.4087599484200002</v>
      </c>
      <c r="R733" s="22">
        <v>48</v>
      </c>
      <c r="S733" s="22">
        <v>51</v>
      </c>
      <c r="T733" s="22">
        <v>52</v>
      </c>
      <c r="U733" s="24">
        <f>R733+S733/60+T733/3600</f>
        <v>48.864444444444445</v>
      </c>
      <c r="V733" s="28">
        <f>ABS(U733-P733)/P733</f>
        <v>2.8803407417249353E-6</v>
      </c>
      <c r="W733" s="22">
        <v>2</v>
      </c>
      <c r="X733" s="22">
        <v>24</v>
      </c>
      <c r="Y733" s="22">
        <v>32</v>
      </c>
      <c r="Z733" s="14">
        <f>W733+X733/60+Y733/3600</f>
        <v>2.4088888888888889</v>
      </c>
      <c r="AA733" s="26">
        <f>ABS(Z733-Q733)/Q733</f>
        <v>5.3529812704353971E-5</v>
      </c>
      <c r="AB733" s="26"/>
      <c r="AC733" s="24">
        <f>U733</f>
        <v>48.864444444444445</v>
      </c>
      <c r="AD733" s="14">
        <f>Z733</f>
        <v>2.4088888888888889</v>
      </c>
    </row>
    <row r="734" spans="1:30" s="14" customFormat="1">
      <c r="A734" s="12">
        <v>4</v>
      </c>
      <c r="B734" s="12" t="s">
        <v>143</v>
      </c>
      <c r="C734" s="14" t="str">
        <f>VLOOKUP(B734,weights!A:B,2,FALSE)</f>
        <v>P</v>
      </c>
      <c r="D734" s="13">
        <v>732</v>
      </c>
      <c r="E734" s="14" t="s">
        <v>1415</v>
      </c>
      <c r="F734" s="14" t="s">
        <v>873</v>
      </c>
      <c r="G734" s="15"/>
      <c r="H734" s="18"/>
      <c r="I734" s="18"/>
      <c r="K734" s="14">
        <f>VLOOKUP(B734,weights!A:G,5,FALSE)</f>
        <v>1.92</v>
      </c>
      <c r="L734" s="14">
        <f>VLOOKUP(B734,weights!A:G,6,FALSE)</f>
        <v>7</v>
      </c>
      <c r="M734" s="14">
        <f>VLOOKUP(B734,weights!A:G,7,FALSE)</f>
        <v>10</v>
      </c>
      <c r="N734" t="s">
        <v>5688</v>
      </c>
      <c r="O734">
        <v>559</v>
      </c>
      <c r="P734">
        <v>48.867521357199998</v>
      </c>
      <c r="Q734">
        <v>2.4089789397399999</v>
      </c>
      <c r="R734" s="22">
        <v>48</v>
      </c>
      <c r="S734" s="22">
        <v>52</v>
      </c>
      <c r="T734" s="22">
        <v>10</v>
      </c>
      <c r="U734" s="24">
        <f>R734+S734/60+T734/3600</f>
        <v>48.869444444444447</v>
      </c>
      <c r="V734" s="28">
        <f>ABS(U734-P734)/P734</f>
        <v>3.9353075233602362E-5</v>
      </c>
      <c r="W734" s="22">
        <v>2</v>
      </c>
      <c r="X734" s="22">
        <v>24</v>
      </c>
      <c r="Y734" s="22">
        <v>32</v>
      </c>
      <c r="Z734" s="14">
        <f>W734+X734/60+Y734/3600</f>
        <v>2.4088888888888889</v>
      </c>
      <c r="AA734" s="26">
        <f>ABS(Z734-Q734)/Q734</f>
        <v>3.7381335978280631E-5</v>
      </c>
      <c r="AB734" s="26"/>
      <c r="AC734" s="24">
        <f>U734</f>
        <v>48.869444444444447</v>
      </c>
      <c r="AD734" s="14">
        <f>Z734</f>
        <v>2.4088888888888889</v>
      </c>
    </row>
    <row r="735" spans="1:30" s="14" customFormat="1">
      <c r="A735" s="12">
        <v>5</v>
      </c>
      <c r="B735" s="12" t="s">
        <v>143</v>
      </c>
      <c r="C735" s="14" t="str">
        <f>VLOOKUP(B735,weights!A:B,2,FALSE)</f>
        <v>P</v>
      </c>
      <c r="D735" s="13">
        <v>733</v>
      </c>
      <c r="E735" s="14" t="s">
        <v>1238</v>
      </c>
      <c r="F735" s="14" t="s">
        <v>874</v>
      </c>
      <c r="G735" s="15"/>
      <c r="H735" s="18"/>
      <c r="I735" s="18"/>
      <c r="K735" s="14">
        <f>VLOOKUP(B735,weights!A:G,5,FALSE)</f>
        <v>1.92</v>
      </c>
      <c r="L735" s="14">
        <f>VLOOKUP(B735,weights!A:G,6,FALSE)</f>
        <v>7</v>
      </c>
      <c r="M735" s="14">
        <f>VLOOKUP(B735,weights!A:G,7,FALSE)</f>
        <v>10</v>
      </c>
      <c r="N735" t="s">
        <v>3132</v>
      </c>
      <c r="O735">
        <v>558</v>
      </c>
      <c r="P735">
        <v>48.872404094399997</v>
      </c>
      <c r="Q735">
        <v>2.40857757742</v>
      </c>
      <c r="R735" s="22">
        <v>48</v>
      </c>
      <c r="S735" s="22">
        <v>52</v>
      </c>
      <c r="T735" s="22">
        <v>22</v>
      </c>
      <c r="U735" s="24">
        <f>R735+S735/60+T735/3600</f>
        <v>48.872777777777777</v>
      </c>
      <c r="V735" s="28">
        <f>ABS(U735-P735)/P735</f>
        <v>7.6461018176837102E-6</v>
      </c>
      <c r="W735" s="22">
        <v>2</v>
      </c>
      <c r="X735" s="22">
        <v>24</v>
      </c>
      <c r="Y735" s="22">
        <v>31</v>
      </c>
      <c r="Z735" s="14">
        <f>W735+X735/60+Y735/3600</f>
        <v>2.408611111111111</v>
      </c>
      <c r="AA735" s="26">
        <f>ABS(Z735-Q735)/Q735</f>
        <v>1.3922612011921207E-5</v>
      </c>
      <c r="AB735" s="26"/>
      <c r="AC735" s="24">
        <f>U735</f>
        <v>48.872777777777777</v>
      </c>
      <c r="AD735" s="14">
        <f>Z735</f>
        <v>2.408611111111111</v>
      </c>
    </row>
    <row r="736" spans="1:30" s="14" customFormat="1">
      <c r="A736" s="12">
        <v>6</v>
      </c>
      <c r="B736" s="12" t="s">
        <v>143</v>
      </c>
      <c r="C736" s="14" t="str">
        <f>VLOOKUP(B736,weights!A:B,2,FALSE)</f>
        <v>P</v>
      </c>
      <c r="D736" s="13">
        <v>734</v>
      </c>
      <c r="E736" s="14" t="s">
        <v>335</v>
      </c>
      <c r="F736" s="14" t="s">
        <v>336</v>
      </c>
      <c r="G736" s="15" t="s">
        <v>895</v>
      </c>
      <c r="H736" s="18"/>
      <c r="I736" s="18" t="s">
        <v>1898</v>
      </c>
      <c r="K736" s="14">
        <f>VLOOKUP(B736,weights!A:G,5,FALSE)</f>
        <v>1.92</v>
      </c>
      <c r="L736" s="14">
        <f>VLOOKUP(B736,weights!A:G,6,FALSE)</f>
        <v>7</v>
      </c>
      <c r="M736" s="14">
        <f>VLOOKUP(B736,weights!A:G,7,FALSE)</f>
        <v>10</v>
      </c>
      <c r="N736" t="s">
        <v>5367</v>
      </c>
      <c r="O736">
        <v>713</v>
      </c>
      <c r="P736">
        <v>48.877213660400002</v>
      </c>
      <c r="Q736">
        <v>2.4066098651200001</v>
      </c>
      <c r="R736" s="22">
        <v>48</v>
      </c>
      <c r="S736" s="22">
        <v>52</v>
      </c>
      <c r="T736" s="22">
        <v>38</v>
      </c>
      <c r="U736" s="24">
        <f>R736+S736/60+T736/3600</f>
        <v>48.877222222222223</v>
      </c>
      <c r="V736" s="28">
        <f>ABS(U736-P736)/P736</f>
        <v>1.7517001438698143E-7</v>
      </c>
      <c r="W736" s="22">
        <v>2</v>
      </c>
      <c r="X736" s="22">
        <v>24</v>
      </c>
      <c r="Y736" s="22">
        <v>24</v>
      </c>
      <c r="Z736" s="14">
        <f>W736+X736/60+Y736/3600</f>
        <v>2.4066666666666667</v>
      </c>
      <c r="AA736" s="26">
        <f>ABS(Z736-Q736)/Q736</f>
        <v>2.3602307748297761E-5</v>
      </c>
      <c r="AB736" s="26"/>
      <c r="AC736" s="24">
        <f>U736</f>
        <v>48.877222222222223</v>
      </c>
      <c r="AD736" s="14">
        <f>Z736</f>
        <v>2.4066666666666667</v>
      </c>
    </row>
    <row r="737" spans="1:30" s="14" customFormat="1">
      <c r="A737" s="12">
        <v>7</v>
      </c>
      <c r="B737" s="12" t="s">
        <v>143</v>
      </c>
      <c r="C737" s="14" t="str">
        <f>VLOOKUP(B737,weights!A:B,2,FALSE)</f>
        <v>P</v>
      </c>
      <c r="D737" s="13">
        <v>735</v>
      </c>
      <c r="E737" s="14" t="s">
        <v>1310</v>
      </c>
      <c r="F737" s="14" t="s">
        <v>875</v>
      </c>
      <c r="G737" s="15" t="s">
        <v>896</v>
      </c>
      <c r="H737" s="18"/>
      <c r="I737" s="18" t="s">
        <v>1899</v>
      </c>
      <c r="K737" s="14">
        <f>VLOOKUP(B737,weights!A:G,5,FALSE)</f>
        <v>1.92</v>
      </c>
      <c r="L737" s="14">
        <f>VLOOKUP(B737,weights!A:G,6,FALSE)</f>
        <v>7</v>
      </c>
      <c r="M737" s="14">
        <f>VLOOKUP(B737,weights!A:G,7,FALSE)</f>
        <v>10</v>
      </c>
      <c r="N737" t="s">
        <v>4236</v>
      </c>
      <c r="O737">
        <v>702</v>
      </c>
      <c r="P737">
        <v>48.879470369099998</v>
      </c>
      <c r="Q737">
        <v>2.40122176128</v>
      </c>
      <c r="R737" s="22">
        <v>48</v>
      </c>
      <c r="S737" s="22">
        <v>52</v>
      </c>
      <c r="T737" s="22">
        <v>44</v>
      </c>
      <c r="U737" s="24">
        <f>R737+S737/60+T737/3600</f>
        <v>48.878888888888888</v>
      </c>
      <c r="V737" s="28">
        <f>ABS(U737-P737)/P737</f>
        <v>1.1896205231347336E-5</v>
      </c>
      <c r="W737" s="22">
        <v>2</v>
      </c>
      <c r="X737" s="22">
        <v>24</v>
      </c>
      <c r="Y737" s="22">
        <v>6</v>
      </c>
      <c r="Z737" s="14">
        <f>W737+X737/60+Y737/3600</f>
        <v>2.4016666666666664</v>
      </c>
      <c r="AA737" s="26">
        <f>ABS(Z737-Q737)/Q737</f>
        <v>1.8528292298552817E-4</v>
      </c>
      <c r="AB737" s="26"/>
      <c r="AC737" s="24">
        <f>U737</f>
        <v>48.878888888888888</v>
      </c>
      <c r="AD737" s="14">
        <f>Z737</f>
        <v>2.4016666666666664</v>
      </c>
    </row>
    <row r="738" spans="1:30" s="14" customFormat="1">
      <c r="A738" s="12">
        <v>8</v>
      </c>
      <c r="B738" s="12" t="s">
        <v>143</v>
      </c>
      <c r="C738" s="14" t="str">
        <f>VLOOKUP(B738,weights!A:B,2,FALSE)</f>
        <v>P</v>
      </c>
      <c r="D738" s="13">
        <v>736</v>
      </c>
      <c r="E738" s="14" t="s">
        <v>1258</v>
      </c>
      <c r="F738" s="14" t="s">
        <v>876</v>
      </c>
      <c r="G738" s="15"/>
      <c r="H738" s="18"/>
      <c r="I738" s="18"/>
      <c r="K738" s="14">
        <f>VLOOKUP(B738,weights!A:G,5,FALSE)</f>
        <v>1.92</v>
      </c>
      <c r="L738" s="14">
        <f>VLOOKUP(B738,weights!A:G,6,FALSE)</f>
        <v>7</v>
      </c>
      <c r="M738" s="14">
        <f>VLOOKUP(B738,weights!A:G,7,FALSE)</f>
        <v>10</v>
      </c>
      <c r="N738" t="s">
        <v>3486</v>
      </c>
      <c r="O738">
        <v>562</v>
      </c>
      <c r="P738">
        <v>48.885016789200002</v>
      </c>
      <c r="Q738">
        <v>2.3967512888</v>
      </c>
      <c r="R738" s="22">
        <v>48</v>
      </c>
      <c r="S738" s="22">
        <v>53</v>
      </c>
      <c r="T738" s="22">
        <v>3</v>
      </c>
      <c r="U738" s="24">
        <f>R738+S738/60+T738/3600</f>
        <v>48.884166666666665</v>
      </c>
      <c r="V738" s="28">
        <f>ABS(U738-P738)/P738</f>
        <v>1.7390247343107721E-5</v>
      </c>
      <c r="W738" s="22">
        <v>2</v>
      </c>
      <c r="X738" s="22">
        <v>23</v>
      </c>
      <c r="Y738" s="22">
        <v>49</v>
      </c>
      <c r="Z738" s="14">
        <f>W738+X738/60+Y738/3600</f>
        <v>2.3969444444444443</v>
      </c>
      <c r="AA738" s="26">
        <f>ABS(Z738-Q738)/Q738</f>
        <v>8.0590608356797988E-5</v>
      </c>
      <c r="AB738" s="26"/>
      <c r="AC738" s="24">
        <f>U738</f>
        <v>48.884166666666665</v>
      </c>
      <c r="AD738" s="14">
        <f>Z738</f>
        <v>2.3969444444444443</v>
      </c>
    </row>
    <row r="739" spans="1:30" s="14" customFormat="1">
      <c r="A739" s="12">
        <v>9</v>
      </c>
      <c r="B739" s="12" t="s">
        <v>143</v>
      </c>
      <c r="C739" s="14" t="str">
        <f>VLOOKUP(B739,weights!A:B,2,FALSE)</f>
        <v>P</v>
      </c>
      <c r="D739" s="13">
        <v>737</v>
      </c>
      <c r="E739" s="14" t="s">
        <v>329</v>
      </c>
      <c r="F739" s="14" t="s">
        <v>877</v>
      </c>
      <c r="G739" s="15" t="s">
        <v>219</v>
      </c>
      <c r="H739" s="18"/>
      <c r="I739" s="18" t="s">
        <v>1900</v>
      </c>
      <c r="K739" s="14">
        <f>VLOOKUP(B739,weights!A:G,5,FALSE)</f>
        <v>1.92</v>
      </c>
      <c r="L739" s="14">
        <f>VLOOKUP(B739,weights!A:G,6,FALSE)</f>
        <v>7</v>
      </c>
      <c r="M739" s="14">
        <f>VLOOKUP(B739,weights!A:G,7,FALSE)</f>
        <v>10</v>
      </c>
      <c r="N739" t="s">
        <v>5339</v>
      </c>
      <c r="O739">
        <v>711</v>
      </c>
      <c r="P739">
        <v>48.889472657699997</v>
      </c>
      <c r="Q739">
        <v>2.3957953281600002</v>
      </c>
      <c r="R739" s="22">
        <v>48</v>
      </c>
      <c r="S739" s="22">
        <v>53</v>
      </c>
      <c r="T739" s="22">
        <v>19</v>
      </c>
      <c r="U739" s="24">
        <f>R739+S739/60+T739/3600</f>
        <v>48.888611111111111</v>
      </c>
      <c r="V739" s="28">
        <f>ABS(U739-P739)/P739</f>
        <v>1.7622333440140003E-5</v>
      </c>
      <c r="W739" s="22">
        <v>2</v>
      </c>
      <c r="X739" s="22">
        <v>23</v>
      </c>
      <c r="Y739" s="22">
        <v>45</v>
      </c>
      <c r="Z739" s="14">
        <f>W739+X739/60+Y739/3600</f>
        <v>2.3958333333333335</v>
      </c>
      <c r="AA739" s="26">
        <f>ABS(Z739-Q739)/Q739</f>
        <v>1.5863280509227896E-5</v>
      </c>
      <c r="AB739" s="26"/>
      <c r="AC739" s="24">
        <f>U739</f>
        <v>48.888611111111111</v>
      </c>
      <c r="AD739" s="14">
        <f>Z739</f>
        <v>2.3958333333333335</v>
      </c>
    </row>
    <row r="740" spans="1:30" s="14" customFormat="1">
      <c r="A740" s="12">
        <v>10</v>
      </c>
      <c r="B740" s="12" t="s">
        <v>143</v>
      </c>
      <c r="C740" s="14" t="str">
        <f>VLOOKUP(B740,weights!A:B,2,FALSE)</f>
        <v>P</v>
      </c>
      <c r="D740" s="13">
        <v>738</v>
      </c>
      <c r="E740" s="14" t="s">
        <v>1274</v>
      </c>
      <c r="F740" s="14" t="s">
        <v>878</v>
      </c>
      <c r="G740" s="15"/>
      <c r="H740" s="18"/>
      <c r="I740" s="18"/>
      <c r="K740" s="14">
        <f>VLOOKUP(B740,weights!A:G,5,FALSE)</f>
        <v>1.92</v>
      </c>
      <c r="L740" s="14">
        <f>VLOOKUP(B740,weights!A:G,6,FALSE)</f>
        <v>7</v>
      </c>
      <c r="M740" s="14">
        <f>VLOOKUP(B740,weights!A:G,7,FALSE)</f>
        <v>10</v>
      </c>
      <c r="N740" t="s">
        <v>3843</v>
      </c>
      <c r="O740">
        <v>563</v>
      </c>
      <c r="P740">
        <v>48.8938802825</v>
      </c>
      <c r="Q740">
        <v>2.3977388506500001</v>
      </c>
      <c r="R740" s="22">
        <v>48</v>
      </c>
      <c r="S740" s="22">
        <v>53</v>
      </c>
      <c r="T740" s="22">
        <v>37</v>
      </c>
      <c r="U740" s="24">
        <f>R740+S740/60+T740/3600</f>
        <v>48.893611111111113</v>
      </c>
      <c r="V740" s="28">
        <f>ABS(U740-P740)/P740</f>
        <v>5.5052163446890988E-6</v>
      </c>
      <c r="W740" s="22">
        <v>2</v>
      </c>
      <c r="X740" s="22">
        <v>23</v>
      </c>
      <c r="Y740" s="22">
        <v>53</v>
      </c>
      <c r="Z740" s="14">
        <f>W740+X740/60+Y740/3600</f>
        <v>2.3980555555555556</v>
      </c>
      <c r="AA740" s="26">
        <f>ABS(Z740-Q740)/Q740</f>
        <v>1.320848204422303E-4</v>
      </c>
      <c r="AB740" s="26"/>
      <c r="AC740" s="24">
        <f>U740</f>
        <v>48.893611111111113</v>
      </c>
      <c r="AD740" s="14">
        <f>Z740</f>
        <v>2.3980555555555556</v>
      </c>
    </row>
    <row r="741" spans="1:30" s="14" customFormat="1">
      <c r="A741" s="12">
        <v>11</v>
      </c>
      <c r="B741" s="12" t="s">
        <v>143</v>
      </c>
      <c r="C741" s="14" t="str">
        <f>VLOOKUP(B741,weights!A:B,2,FALSE)</f>
        <v>P</v>
      </c>
      <c r="D741" s="13">
        <v>739</v>
      </c>
      <c r="E741" s="14" t="s">
        <v>1284</v>
      </c>
      <c r="F741" s="14" t="s">
        <v>879</v>
      </c>
      <c r="G741" s="15" t="s">
        <v>897</v>
      </c>
      <c r="H741" s="18"/>
      <c r="I741" s="18" t="s">
        <v>1901</v>
      </c>
      <c r="K741" s="14">
        <f>VLOOKUP(B741,weights!A:G,5,FALSE)</f>
        <v>1.92</v>
      </c>
      <c r="L741" s="14">
        <f>VLOOKUP(B741,weights!A:G,6,FALSE)</f>
        <v>7</v>
      </c>
      <c r="M741" s="14">
        <f>VLOOKUP(B741,weights!A:G,7,FALSE)</f>
        <v>10</v>
      </c>
      <c r="N741" t="s">
        <v>3923</v>
      </c>
      <c r="O741">
        <v>703</v>
      </c>
      <c r="P741">
        <v>48.897432849499999</v>
      </c>
      <c r="Q741">
        <v>2.3950417496799998</v>
      </c>
      <c r="R741" s="22">
        <v>48</v>
      </c>
      <c r="S741" s="22">
        <v>53</v>
      </c>
      <c r="T741" s="22">
        <v>51</v>
      </c>
      <c r="U741" s="24">
        <f>R741+S741/60+T741/3600</f>
        <v>48.897500000000001</v>
      </c>
      <c r="V741" s="28">
        <f>ABS(U741-P741)/P741</f>
        <v>1.3732929540098769E-6</v>
      </c>
      <c r="W741" s="22">
        <v>2</v>
      </c>
      <c r="X741" s="22">
        <v>23</v>
      </c>
      <c r="Y741" s="22">
        <v>42</v>
      </c>
      <c r="Z741" s="14">
        <f>W741+X741/60+Y741/3600</f>
        <v>2.395</v>
      </c>
      <c r="AA741" s="26">
        <f>ABS(Z741-Q741)/Q741</f>
        <v>1.7431712831474525E-5</v>
      </c>
      <c r="AB741" s="26"/>
      <c r="AC741" s="24">
        <f>U741</f>
        <v>48.897500000000001</v>
      </c>
      <c r="AD741" s="14">
        <f>Z741</f>
        <v>2.395</v>
      </c>
    </row>
    <row r="742" spans="1:30" s="14" customFormat="1">
      <c r="A742" s="12">
        <v>12</v>
      </c>
      <c r="B742" s="12" t="s">
        <v>143</v>
      </c>
      <c r="C742" s="14" t="str">
        <f>VLOOKUP(B742,weights!A:B,2,FALSE)</f>
        <v>P</v>
      </c>
      <c r="D742" s="13">
        <v>740</v>
      </c>
      <c r="E742" s="14" t="s">
        <v>322</v>
      </c>
      <c r="F742" s="14" t="s">
        <v>880</v>
      </c>
      <c r="G742" s="15" t="s">
        <v>74</v>
      </c>
      <c r="H742" s="18"/>
      <c r="I742" s="18" t="s">
        <v>1902</v>
      </c>
      <c r="K742" s="14">
        <f>VLOOKUP(B742,weights!A:G,5,FALSE)</f>
        <v>1.92</v>
      </c>
      <c r="L742" s="14">
        <f>VLOOKUP(B742,weights!A:G,6,FALSE)</f>
        <v>7</v>
      </c>
      <c r="M742" s="14">
        <f>VLOOKUP(B742,weights!A:G,7,FALSE)</f>
        <v>10</v>
      </c>
      <c r="N742" t="s">
        <v>5331</v>
      </c>
      <c r="O742">
        <v>710</v>
      </c>
      <c r="P742">
        <v>48.8973898916</v>
      </c>
      <c r="Q742">
        <v>2.3855083876699998</v>
      </c>
      <c r="R742" s="22">
        <v>48</v>
      </c>
      <c r="S742" s="22">
        <v>53</v>
      </c>
      <c r="T742" s="22">
        <v>51</v>
      </c>
      <c r="U742" s="24">
        <f>R742+S742/60+T742/3600</f>
        <v>48.897500000000001</v>
      </c>
      <c r="V742" s="28">
        <f>ABS(U742-P742)/P742</f>
        <v>2.2518257159605023E-6</v>
      </c>
      <c r="W742" s="22">
        <v>2</v>
      </c>
      <c r="X742" s="22">
        <v>23</v>
      </c>
      <c r="Y742" s="22">
        <v>10</v>
      </c>
      <c r="Z742" s="14">
        <f>W742+X742/60+Y742/3600</f>
        <v>2.3861111111111111</v>
      </c>
      <c r="AA742" s="26">
        <f>ABS(Z742-Q742)/Q742</f>
        <v>2.5266037387524303E-4</v>
      </c>
      <c r="AB742" s="26"/>
      <c r="AC742" s="24">
        <f>U742</f>
        <v>48.897500000000001</v>
      </c>
      <c r="AD742" s="14">
        <f>Z742</f>
        <v>2.3861111111111111</v>
      </c>
    </row>
    <row r="743" spans="1:30" s="14" customFormat="1">
      <c r="A743" s="12">
        <v>13</v>
      </c>
      <c r="B743" s="12" t="s">
        <v>143</v>
      </c>
      <c r="C743" s="14" t="str">
        <f>VLOOKUP(B743,weights!A:B,2,FALSE)</f>
        <v>P</v>
      </c>
      <c r="D743" s="13">
        <v>741</v>
      </c>
      <c r="E743" s="14" t="s">
        <v>1260</v>
      </c>
      <c r="F743" s="14" t="s">
        <v>881</v>
      </c>
      <c r="G743" s="15"/>
      <c r="H743" s="18"/>
      <c r="I743" s="18"/>
      <c r="K743" s="14">
        <f>VLOOKUP(B743,weights!A:G,5,FALSE)</f>
        <v>1.92</v>
      </c>
      <c r="L743" s="14">
        <f>VLOOKUP(B743,weights!A:G,6,FALSE)</f>
        <v>7</v>
      </c>
      <c r="M743" s="14">
        <f>VLOOKUP(B743,weights!A:G,7,FALSE)</f>
        <v>10</v>
      </c>
      <c r="N743" t="s">
        <v>3507</v>
      </c>
      <c r="O743">
        <v>564</v>
      </c>
      <c r="P743">
        <v>48.898733990700002</v>
      </c>
      <c r="Q743">
        <v>2.3805370354900002</v>
      </c>
      <c r="R743" s="22">
        <v>48</v>
      </c>
      <c r="S743" s="22">
        <v>53</v>
      </c>
      <c r="T743" s="22">
        <v>56</v>
      </c>
      <c r="U743" s="24">
        <f>R743+S743/60+T743/3600</f>
        <v>48.898888888888891</v>
      </c>
      <c r="V743" s="28">
        <f>ABS(U743-P743)/P743</f>
        <v>3.1677341363943662E-6</v>
      </c>
      <c r="W743" s="22">
        <v>2</v>
      </c>
      <c r="X743" s="22">
        <v>22</v>
      </c>
      <c r="Y743" s="22">
        <v>54</v>
      </c>
      <c r="Z743" s="14">
        <f>W743+X743/60+Y743/3600</f>
        <v>2.3816666666666668</v>
      </c>
      <c r="AA743" s="26">
        <f>ABS(Z743-Q743)/Q743</f>
        <v>4.745278732595424E-4</v>
      </c>
      <c r="AB743" s="26"/>
      <c r="AC743" s="24">
        <f>U743</f>
        <v>48.898888888888891</v>
      </c>
      <c r="AD743" s="14">
        <f>Z743</f>
        <v>2.3816666666666668</v>
      </c>
    </row>
    <row r="744" spans="1:30" s="14" customFormat="1">
      <c r="A744" s="12">
        <v>14</v>
      </c>
      <c r="B744" s="12" t="s">
        <v>143</v>
      </c>
      <c r="C744" s="14" t="str">
        <f>VLOOKUP(B744,weights!A:B,2,FALSE)</f>
        <v>P</v>
      </c>
      <c r="D744" s="13">
        <v>742</v>
      </c>
      <c r="E744" s="14" t="s">
        <v>726</v>
      </c>
      <c r="F744" s="14" t="s">
        <v>882</v>
      </c>
      <c r="G744" s="15" t="s">
        <v>558</v>
      </c>
      <c r="H744" s="18"/>
      <c r="I744" s="18" t="s">
        <v>1903</v>
      </c>
      <c r="K744" s="14">
        <f>VLOOKUP(B744,weights!A:G,5,FALSE)</f>
        <v>1.92</v>
      </c>
      <c r="L744" s="14">
        <f>VLOOKUP(B744,weights!A:G,6,FALSE)</f>
        <v>7</v>
      </c>
      <c r="M744" s="14">
        <f>VLOOKUP(B744,weights!A:G,7,FALSE)</f>
        <v>10</v>
      </c>
      <c r="N744" t="s">
        <v>5474</v>
      </c>
      <c r="O744">
        <v>474</v>
      </c>
      <c r="P744">
        <v>48.896673811200003</v>
      </c>
      <c r="Q744">
        <v>2.3741229755300002</v>
      </c>
      <c r="R744" s="22">
        <v>48</v>
      </c>
      <c r="S744" s="22">
        <v>53</v>
      </c>
      <c r="T744" s="22">
        <v>49</v>
      </c>
      <c r="U744" s="24">
        <f>R744+S744/60+T744/3600</f>
        <v>48.896944444444443</v>
      </c>
      <c r="V744" s="28">
        <f>ABS(U744-P744)/P744</f>
        <v>5.5347986549228775E-6</v>
      </c>
      <c r="W744" s="22">
        <v>2</v>
      </c>
      <c r="X744" s="22">
        <v>22</v>
      </c>
      <c r="Y744" s="22">
        <v>24</v>
      </c>
      <c r="Z744" s="14">
        <f>W744+X744/60+Y744/3600</f>
        <v>2.3733333333333335</v>
      </c>
      <c r="AA744" s="26">
        <f>ABS(Z744-Q744)/Q744</f>
        <v>3.3260374664896293E-4</v>
      </c>
      <c r="AB744" s="26"/>
      <c r="AC744" s="24">
        <f>U744</f>
        <v>48.896944444444443</v>
      </c>
      <c r="AD744" s="14">
        <f>Z744</f>
        <v>2.3733333333333335</v>
      </c>
    </row>
    <row r="745" spans="1:30" s="14" customFormat="1">
      <c r="A745" s="12">
        <v>15</v>
      </c>
      <c r="B745" s="12" t="s">
        <v>143</v>
      </c>
      <c r="C745" s="14" t="str">
        <f>VLOOKUP(B745,weights!A:B,2,FALSE)</f>
        <v>P</v>
      </c>
      <c r="D745" s="13">
        <v>743</v>
      </c>
      <c r="E745" s="14" t="s">
        <v>1394</v>
      </c>
      <c r="F745" s="14" t="s">
        <v>883</v>
      </c>
      <c r="G745" s="15"/>
      <c r="H745" s="18"/>
      <c r="I745" s="18"/>
      <c r="K745" s="14">
        <f>VLOOKUP(B745,weights!A:G,5,FALSE)</f>
        <v>1.92</v>
      </c>
      <c r="L745" s="14">
        <f>VLOOKUP(B745,weights!A:G,6,FALSE)</f>
        <v>7</v>
      </c>
      <c r="M745" s="14">
        <f>VLOOKUP(B745,weights!A:G,7,FALSE)</f>
        <v>10</v>
      </c>
      <c r="N745" t="s">
        <v>5274</v>
      </c>
      <c r="O745">
        <v>704</v>
      </c>
      <c r="P745">
        <v>48.898601172200003</v>
      </c>
      <c r="Q745">
        <v>2.3690369493199999</v>
      </c>
      <c r="R745" s="22">
        <v>48</v>
      </c>
      <c r="S745" s="22">
        <v>53</v>
      </c>
      <c r="T745" s="22">
        <v>55</v>
      </c>
      <c r="U745" s="24">
        <f>R745+S745/60+T745/3600</f>
        <v>48.898611111111109</v>
      </c>
      <c r="V745" s="28">
        <f>ABS(U745-P745)/P745</f>
        <v>2.0325553016695537E-7</v>
      </c>
      <c r="W745" s="22">
        <v>2</v>
      </c>
      <c r="X745" s="22">
        <v>22</v>
      </c>
      <c r="Y745" s="22">
        <v>6</v>
      </c>
      <c r="Z745" s="14">
        <f>W745+X745/60+Y745/3600</f>
        <v>2.3683333333333332</v>
      </c>
      <c r="AA745" s="26">
        <f>ABS(Z745-Q745)/Q745</f>
        <v>2.9700507071814437E-4</v>
      </c>
      <c r="AB745" s="26"/>
      <c r="AC745" s="24">
        <f>U745</f>
        <v>48.898611111111109</v>
      </c>
      <c r="AD745" s="14">
        <f>Z745</f>
        <v>2.3683333333333332</v>
      </c>
    </row>
    <row r="746" spans="1:30" s="14" customFormat="1">
      <c r="A746" s="12">
        <v>16</v>
      </c>
      <c r="B746" s="12" t="s">
        <v>143</v>
      </c>
      <c r="C746" s="14" t="str">
        <f>VLOOKUP(B746,weights!A:B,2,FALSE)</f>
        <v>P</v>
      </c>
      <c r="D746" s="13">
        <v>744</v>
      </c>
      <c r="E746" s="14" t="s">
        <v>1269</v>
      </c>
      <c r="F746" s="14" t="s">
        <v>884</v>
      </c>
      <c r="G746" s="15"/>
      <c r="H746" s="18"/>
      <c r="I746" s="18"/>
      <c r="K746" s="14">
        <f>VLOOKUP(B746,weights!A:G,5,FALSE)</f>
        <v>1.92</v>
      </c>
      <c r="L746" s="14">
        <f>VLOOKUP(B746,weights!A:G,6,FALSE)</f>
        <v>7</v>
      </c>
      <c r="M746" s="14">
        <f>VLOOKUP(B746,weights!A:G,7,FALSE)</f>
        <v>10</v>
      </c>
      <c r="N746" t="s">
        <v>3721</v>
      </c>
      <c r="O746">
        <v>631</v>
      </c>
      <c r="P746">
        <v>48.898491101600001</v>
      </c>
      <c r="Q746">
        <v>2.36365138218</v>
      </c>
      <c r="R746" s="22">
        <v>48</v>
      </c>
      <c r="S746" s="22">
        <v>53</v>
      </c>
      <c r="T746" s="22">
        <v>55</v>
      </c>
      <c r="U746" s="24">
        <f>R746+S746/60+T746/3600</f>
        <v>48.898611111111109</v>
      </c>
      <c r="V746" s="28">
        <f>ABS(U746-P746)/P746</f>
        <v>2.4542579618254995E-6</v>
      </c>
      <c r="W746" s="22">
        <v>2</v>
      </c>
      <c r="X746" s="22">
        <v>21</v>
      </c>
      <c r="Y746" s="22">
        <v>52</v>
      </c>
      <c r="Z746" s="14">
        <f>W746+X746/60+Y746/3600</f>
        <v>2.3644444444444446</v>
      </c>
      <c r="AA746" s="26">
        <f>ABS(Z746-Q746)/Q746</f>
        <v>3.355242107290332E-4</v>
      </c>
      <c r="AB746" s="26"/>
      <c r="AC746" s="24">
        <f>U746</f>
        <v>48.898611111111109</v>
      </c>
      <c r="AD746" s="14">
        <f>Z746</f>
        <v>2.3644444444444446</v>
      </c>
    </row>
    <row r="747" spans="1:30" s="14" customFormat="1">
      <c r="A747" s="12">
        <v>17</v>
      </c>
      <c r="B747" s="12" t="s">
        <v>143</v>
      </c>
      <c r="C747" s="14" t="str">
        <f>VLOOKUP(B747,weights!A:B,2,FALSE)</f>
        <v>P</v>
      </c>
      <c r="D747" s="13">
        <v>745</v>
      </c>
      <c r="E747" s="14" t="s">
        <v>449</v>
      </c>
      <c r="F747" s="14" t="s">
        <v>885</v>
      </c>
      <c r="G747" s="15" t="s">
        <v>110</v>
      </c>
      <c r="H747" s="18"/>
      <c r="I747" s="18" t="s">
        <v>1904</v>
      </c>
      <c r="K747" s="14">
        <f>VLOOKUP(B747,weights!A:G,5,FALSE)</f>
        <v>1.92</v>
      </c>
      <c r="L747" s="14">
        <f>VLOOKUP(B747,weights!A:G,6,FALSE)</f>
        <v>7</v>
      </c>
      <c r="M747" s="14">
        <f>VLOOKUP(B747,weights!A:G,7,FALSE)</f>
        <v>10</v>
      </c>
      <c r="N747" t="s">
        <v>5327</v>
      </c>
      <c r="O747">
        <v>636</v>
      </c>
      <c r="P747">
        <v>48.898392953299997</v>
      </c>
      <c r="Q747">
        <v>2.3593939011199998</v>
      </c>
      <c r="R747" s="22">
        <v>48</v>
      </c>
      <c r="S747" s="22">
        <v>53</v>
      </c>
      <c r="T747" s="22">
        <v>55</v>
      </c>
      <c r="U747" s="24">
        <f>R747+S747/60+T747/3600</f>
        <v>48.898611111111109</v>
      </c>
      <c r="V747" s="28">
        <f>ABS(U747-P747)/P747</f>
        <v>4.4614515515951064E-6</v>
      </c>
      <c r="W747" s="22">
        <v>2</v>
      </c>
      <c r="X747" s="22">
        <v>21</v>
      </c>
      <c r="Y747" s="22">
        <v>33</v>
      </c>
      <c r="Z747" s="14">
        <f>W747+X747/60+Y747/3600</f>
        <v>2.3591666666666669</v>
      </c>
      <c r="AA747" s="26">
        <f>ABS(Z747-Q747)/Q747</f>
        <v>9.6310519928478056E-5</v>
      </c>
      <c r="AB747" s="26"/>
      <c r="AC747" s="24">
        <f>U747</f>
        <v>48.898611111111109</v>
      </c>
      <c r="AD747" s="14">
        <f>Z747</f>
        <v>2.3591666666666669</v>
      </c>
    </row>
    <row r="748" spans="1:30" s="14" customFormat="1">
      <c r="A748" s="12">
        <v>18</v>
      </c>
      <c r="B748" s="12" t="s">
        <v>143</v>
      </c>
      <c r="C748" s="14" t="str">
        <f>VLOOKUP(B748,weights!A:B,2,FALSE)</f>
        <v>P</v>
      </c>
      <c r="D748" s="13">
        <v>746</v>
      </c>
      <c r="E748" s="14" t="s">
        <v>1277</v>
      </c>
      <c r="F748" s="14" t="s">
        <v>886</v>
      </c>
      <c r="G748" s="15"/>
      <c r="H748" s="18"/>
      <c r="I748" s="18"/>
      <c r="K748" s="14">
        <f>VLOOKUP(B748,weights!A:G,5,FALSE)</f>
        <v>1.92</v>
      </c>
      <c r="L748" s="14">
        <f>VLOOKUP(B748,weights!A:G,6,FALSE)</f>
        <v>7</v>
      </c>
      <c r="M748" s="14">
        <f>VLOOKUP(B748,weights!A:G,7,FALSE)</f>
        <v>10</v>
      </c>
      <c r="N748" t="s">
        <v>3859</v>
      </c>
      <c r="O748">
        <v>647</v>
      </c>
      <c r="P748">
        <v>48.898325558400003</v>
      </c>
      <c r="Q748">
        <v>2.3518295501300002</v>
      </c>
      <c r="R748" s="22">
        <v>48</v>
      </c>
      <c r="S748" s="22">
        <v>53</v>
      </c>
      <c r="T748" s="22">
        <v>54</v>
      </c>
      <c r="U748" s="24">
        <f>R748+S748/60+T748/3600</f>
        <v>48.898333333333333</v>
      </c>
      <c r="V748" s="28">
        <f>ABS(U748-P748)/P748</f>
        <v>1.5900203618945179E-7</v>
      </c>
      <c r="W748" s="22">
        <v>2</v>
      </c>
      <c r="X748" s="22">
        <v>21</v>
      </c>
      <c r="Y748" s="22">
        <v>6</v>
      </c>
      <c r="Z748" s="14">
        <f>W748+X748/60+Y748/3600</f>
        <v>2.3516666666666666</v>
      </c>
      <c r="AA748" s="26">
        <f>ABS(Z748-Q748)/Q748</f>
        <v>6.9258192339913697E-5</v>
      </c>
      <c r="AB748" s="26"/>
      <c r="AC748" s="24">
        <f>U748</f>
        <v>48.898333333333333</v>
      </c>
      <c r="AD748" s="14">
        <f>Z748</f>
        <v>2.3516666666666666</v>
      </c>
    </row>
    <row r="749" spans="1:30" s="14" customFormat="1">
      <c r="A749" s="12">
        <v>19</v>
      </c>
      <c r="B749" s="12" t="s">
        <v>143</v>
      </c>
      <c r="C749" s="14" t="str">
        <f>VLOOKUP(B749,weights!A:B,2,FALSE)</f>
        <v>P</v>
      </c>
      <c r="D749" s="13">
        <v>747</v>
      </c>
      <c r="E749" s="14" t="s">
        <v>1397</v>
      </c>
      <c r="F749" s="14" t="s">
        <v>887</v>
      </c>
      <c r="G749" s="15" t="s">
        <v>1500</v>
      </c>
      <c r="H749" s="18"/>
      <c r="I749" s="18" t="s">
        <v>1905</v>
      </c>
      <c r="K749" s="14">
        <f>VLOOKUP(B749,weights!A:G,5,FALSE)</f>
        <v>1.92</v>
      </c>
      <c r="L749" s="14">
        <f>VLOOKUP(B749,weights!A:G,6,FALSE)</f>
        <v>7</v>
      </c>
      <c r="M749" s="14">
        <f>VLOOKUP(B749,weights!A:G,7,FALSE)</f>
        <v>10</v>
      </c>
      <c r="N749" t="s">
        <v>5320</v>
      </c>
      <c r="O749">
        <v>646</v>
      </c>
      <c r="P749">
        <v>48.897764771399999</v>
      </c>
      <c r="Q749">
        <v>2.3448608924799998</v>
      </c>
      <c r="R749" s="22">
        <v>48</v>
      </c>
      <c r="S749" s="22">
        <v>53</v>
      </c>
      <c r="T749" s="22">
        <v>53</v>
      </c>
      <c r="U749" s="24">
        <f>R749+S749/60+T749/3600</f>
        <v>48.898055555555558</v>
      </c>
      <c r="V749" s="28">
        <f>ABS(U749-P749)/P749</f>
        <v>5.9467780770584016E-6</v>
      </c>
      <c r="W749" s="22">
        <v>2</v>
      </c>
      <c r="X749" s="22">
        <v>20</v>
      </c>
      <c r="Y749" s="22">
        <v>43</v>
      </c>
      <c r="Z749" s="14">
        <f>W749+X749/60+Y749/3600</f>
        <v>2.345277777777778</v>
      </c>
      <c r="AA749" s="26">
        <f>ABS(Z749-Q749)/Q749</f>
        <v>1.7778679286055974E-4</v>
      </c>
      <c r="AB749" s="26"/>
      <c r="AC749" s="24">
        <f>U749</f>
        <v>48.898055555555558</v>
      </c>
      <c r="AD749" s="14">
        <f>Z749</f>
        <v>2.345277777777778</v>
      </c>
    </row>
    <row r="750" spans="1:30" s="14" customFormat="1">
      <c r="A750" s="12">
        <v>20</v>
      </c>
      <c r="B750" s="12" t="s">
        <v>143</v>
      </c>
      <c r="C750" s="14" t="str">
        <f>VLOOKUP(B750,weights!A:B,2,FALSE)</f>
        <v>P</v>
      </c>
      <c r="D750" s="13">
        <v>748</v>
      </c>
      <c r="E750" s="14" t="s">
        <v>1240</v>
      </c>
      <c r="F750" s="14" t="s">
        <v>888</v>
      </c>
      <c r="G750" s="15"/>
      <c r="H750" s="18"/>
      <c r="I750" s="18"/>
      <c r="K750" s="14">
        <f>VLOOKUP(B750,weights!A:G,5,FALSE)</f>
        <v>1.92</v>
      </c>
      <c r="L750" s="14">
        <f>VLOOKUP(B750,weights!A:G,6,FALSE)</f>
        <v>7</v>
      </c>
      <c r="M750" s="14">
        <f>VLOOKUP(B750,weights!A:G,7,FALSE)</f>
        <v>10</v>
      </c>
      <c r="N750" t="s">
        <v>3175</v>
      </c>
      <c r="O750">
        <v>494</v>
      </c>
      <c r="P750">
        <v>48.897832385100003</v>
      </c>
      <c r="Q750">
        <v>2.3380267402300001</v>
      </c>
      <c r="R750" s="22">
        <v>48</v>
      </c>
      <c r="S750" s="22">
        <v>53</v>
      </c>
      <c r="T750" s="22">
        <v>52</v>
      </c>
      <c r="U750" s="24">
        <f>R750+S750/60+T750/3600</f>
        <v>48.897777777777776</v>
      </c>
      <c r="V750" s="28">
        <f>ABS(U750-P750)/P750</f>
        <v>1.1167636593103741E-6</v>
      </c>
      <c r="W750" s="22">
        <v>2</v>
      </c>
      <c r="X750" s="22">
        <v>20</v>
      </c>
      <c r="Y750" s="22">
        <v>18</v>
      </c>
      <c r="Z750" s="14">
        <f>W750+X750/60+Y750/3600</f>
        <v>2.3383333333333334</v>
      </c>
      <c r="AA750" s="26">
        <f>ABS(Z750-Q750)/Q750</f>
        <v>1.3113327493555178E-4</v>
      </c>
      <c r="AB750" s="26"/>
      <c r="AC750" s="24">
        <f>U750</f>
        <v>48.897777777777776</v>
      </c>
      <c r="AD750" s="14">
        <f>Z750</f>
        <v>2.3383333333333334</v>
      </c>
    </row>
    <row r="751" spans="1:30" s="14" customFormat="1">
      <c r="A751" s="12">
        <v>21</v>
      </c>
      <c r="B751" s="12" t="s">
        <v>143</v>
      </c>
      <c r="C751" s="14" t="str">
        <f>VLOOKUP(B751,weights!A:B,2,FALSE)</f>
        <v>P</v>
      </c>
      <c r="D751" s="13">
        <v>749</v>
      </c>
      <c r="E751" s="14" t="s">
        <v>503</v>
      </c>
      <c r="F751" s="14" t="s">
        <v>889</v>
      </c>
      <c r="G751" s="15" t="s">
        <v>72</v>
      </c>
      <c r="H751" s="18"/>
      <c r="I751" s="18" t="s">
        <v>1906</v>
      </c>
      <c r="K751" s="14">
        <f>VLOOKUP(B751,weights!A:G,5,FALSE)</f>
        <v>1.92</v>
      </c>
      <c r="L751" s="14">
        <f>VLOOKUP(B751,weights!A:G,6,FALSE)</f>
        <v>7</v>
      </c>
      <c r="M751" s="14">
        <f>VLOOKUP(B751,weights!A:G,7,FALSE)</f>
        <v>10</v>
      </c>
      <c r="N751" t="s">
        <v>5349</v>
      </c>
      <c r="O751">
        <v>140</v>
      </c>
      <c r="P751">
        <v>48.897374795499999</v>
      </c>
      <c r="Q751">
        <v>2.3289428127799998</v>
      </c>
      <c r="R751" s="22">
        <v>48</v>
      </c>
      <c r="S751" s="22">
        <v>53</v>
      </c>
      <c r="T751" s="22">
        <v>52</v>
      </c>
      <c r="U751" s="24">
        <f>R751+S751/60+T751/3600</f>
        <v>48.897777777777776</v>
      </c>
      <c r="V751" s="28">
        <f>ABS(U751-P751)/P751</f>
        <v>8.2413888161082411E-6</v>
      </c>
      <c r="W751" s="22">
        <v>2</v>
      </c>
      <c r="X751" s="22">
        <v>19</v>
      </c>
      <c r="Y751" s="22">
        <v>48</v>
      </c>
      <c r="Z751" s="14">
        <f>W751+X751/60+Y751/3600</f>
        <v>2.3299999999999996</v>
      </c>
      <c r="AA751" s="26">
        <f>ABS(Z751-Q751)/Q751</f>
        <v>4.5393438353167362E-4</v>
      </c>
      <c r="AB751" s="26"/>
      <c r="AC751" s="24">
        <f>U751</f>
        <v>48.897777777777776</v>
      </c>
      <c r="AD751" s="14">
        <f>Z751</f>
        <v>2.3299999999999996</v>
      </c>
    </row>
    <row r="752" spans="1:30" s="14" customFormat="1">
      <c r="A752" s="12">
        <v>22</v>
      </c>
      <c r="B752" s="12" t="s">
        <v>143</v>
      </c>
      <c r="C752" s="14" t="str">
        <f>VLOOKUP(B752,weights!A:B,2,FALSE)</f>
        <v>P</v>
      </c>
      <c r="D752" s="13">
        <v>750</v>
      </c>
      <c r="E752" s="14" t="s">
        <v>1287</v>
      </c>
      <c r="F752" s="14" t="s">
        <v>890</v>
      </c>
      <c r="G752" s="15"/>
      <c r="H752" s="18"/>
      <c r="I752" s="18"/>
      <c r="K752" s="14">
        <f>VLOOKUP(B752,weights!A:G,5,FALSE)</f>
        <v>1.92</v>
      </c>
      <c r="L752" s="14">
        <f>VLOOKUP(B752,weights!A:G,6,FALSE)</f>
        <v>7</v>
      </c>
      <c r="M752" s="14">
        <f>VLOOKUP(B752,weights!A:G,7,FALSE)</f>
        <v>10</v>
      </c>
      <c r="N752" t="s">
        <v>3949</v>
      </c>
      <c r="O752">
        <v>645</v>
      </c>
      <c r="P752">
        <v>48.897516716799998</v>
      </c>
      <c r="Q752">
        <v>2.3237279130099999</v>
      </c>
      <c r="R752" s="22">
        <v>48</v>
      </c>
      <c r="S752" s="22">
        <v>53</v>
      </c>
      <c r="T752" s="22">
        <v>51</v>
      </c>
      <c r="U752" s="24">
        <f>R752+S752/60+T752/3600</f>
        <v>48.897500000000001</v>
      </c>
      <c r="V752" s="28">
        <f>ABS(U752-P752)/P752</f>
        <v>3.4187421202624003E-7</v>
      </c>
      <c r="W752" s="22">
        <v>2</v>
      </c>
      <c r="X752" s="22">
        <v>19</v>
      </c>
      <c r="Y752" s="22">
        <v>25</v>
      </c>
      <c r="Z752" s="14">
        <f>W752+X752/60+Y752/3600</f>
        <v>2.3236111111111111</v>
      </c>
      <c r="AA752" s="26">
        <f>ABS(Z752-Q752)/Q752</f>
        <v>5.0264877499171008E-5</v>
      </c>
      <c r="AB752" s="26"/>
      <c r="AC752" s="24">
        <f>U752</f>
        <v>48.897500000000001</v>
      </c>
      <c r="AD752" s="14">
        <f>Z752</f>
        <v>2.3236111111111111</v>
      </c>
    </row>
    <row r="753" spans="1:30" s="14" customFormat="1">
      <c r="A753" s="12">
        <v>23</v>
      </c>
      <c r="B753" s="12" t="s">
        <v>143</v>
      </c>
      <c r="C753" s="14" t="str">
        <f>VLOOKUP(B753,weights!A:B,2,FALSE)</f>
        <v>P</v>
      </c>
      <c r="D753" s="13">
        <v>751</v>
      </c>
      <c r="E753" s="14" t="s">
        <v>1306</v>
      </c>
      <c r="F753" s="14" t="s">
        <v>891</v>
      </c>
      <c r="G753" s="15"/>
      <c r="H753" s="18"/>
      <c r="I753" s="18"/>
      <c r="K753" s="14">
        <f>VLOOKUP(B753,weights!A:G,5,FALSE)</f>
        <v>1.92</v>
      </c>
      <c r="L753" s="14">
        <f>VLOOKUP(B753,weights!A:G,6,FALSE)</f>
        <v>7</v>
      </c>
      <c r="M753" s="14">
        <f>VLOOKUP(B753,weights!A:G,7,FALSE)</f>
        <v>10</v>
      </c>
      <c r="N753" t="s">
        <v>4224</v>
      </c>
      <c r="O753">
        <v>727</v>
      </c>
      <c r="P753">
        <v>48.896226494700002</v>
      </c>
      <c r="Q753">
        <v>2.3188023272599998</v>
      </c>
      <c r="R753" s="22">
        <v>48</v>
      </c>
      <c r="S753" s="22">
        <v>53</v>
      </c>
      <c r="T753" s="22">
        <v>47</v>
      </c>
      <c r="U753" s="24">
        <f>R753+S753/60+T753/3600</f>
        <v>48.896388888888886</v>
      </c>
      <c r="V753" s="28">
        <f>ABS(U753-P753)/P753</f>
        <v>3.3212008477045661E-6</v>
      </c>
      <c r="W753" s="22">
        <v>2</v>
      </c>
      <c r="X753" s="22">
        <v>19</v>
      </c>
      <c r="Y753" s="22">
        <v>8</v>
      </c>
      <c r="Z753" s="14">
        <f>W753+X753/60+Y753/3600</f>
        <v>2.3188888888888886</v>
      </c>
      <c r="AA753" s="26">
        <f>ABS(Z753-Q753)/Q753</f>
        <v>3.733031827298728E-5</v>
      </c>
      <c r="AB753" s="26"/>
      <c r="AC753" s="24">
        <f>U753</f>
        <v>48.896388888888886</v>
      </c>
      <c r="AD753" s="14">
        <f>Z753</f>
        <v>2.3188888888888886</v>
      </c>
    </row>
    <row r="754" spans="1:30" s="14" customFormat="1">
      <c r="A754" s="12">
        <v>24</v>
      </c>
      <c r="B754" s="12" t="s">
        <v>143</v>
      </c>
      <c r="C754" s="14" t="str">
        <f>VLOOKUP(B754,weights!A:B,2,FALSE)</f>
        <v>P</v>
      </c>
      <c r="D754" s="13">
        <v>752</v>
      </c>
      <c r="E754" s="14" t="s">
        <v>1396</v>
      </c>
      <c r="F754" s="14" t="s">
        <v>892</v>
      </c>
      <c r="G754" s="15" t="s">
        <v>1491</v>
      </c>
      <c r="H754" s="18"/>
      <c r="I754" s="18" t="s">
        <v>1907</v>
      </c>
      <c r="K754" s="14">
        <f>VLOOKUP(B754,weights!A:G,5,FALSE)</f>
        <v>1.92</v>
      </c>
      <c r="L754" s="14">
        <f>VLOOKUP(B754,weights!A:G,6,FALSE)</f>
        <v>7</v>
      </c>
      <c r="M754" s="14">
        <f>VLOOKUP(B754,weights!A:G,7,FALSE)</f>
        <v>10</v>
      </c>
      <c r="N754" t="s">
        <v>5316</v>
      </c>
      <c r="O754">
        <v>726</v>
      </c>
      <c r="P754">
        <v>48.8941683862</v>
      </c>
      <c r="Q754">
        <v>2.3155992191800001</v>
      </c>
      <c r="R754" s="22">
        <v>48</v>
      </c>
      <c r="S754" s="22">
        <v>53</v>
      </c>
      <c r="T754" s="22">
        <v>41</v>
      </c>
      <c r="U754" s="24">
        <f>R754+S754/60+T754/3600</f>
        <v>48.894722222222221</v>
      </c>
      <c r="V754" s="28">
        <f>ABS(U754-P754)/P754</f>
        <v>1.1327240865327456E-5</v>
      </c>
      <c r="W754" s="22">
        <v>2</v>
      </c>
      <c r="X754" s="22">
        <v>18</v>
      </c>
      <c r="Y754" s="22">
        <v>51</v>
      </c>
      <c r="Z754" s="14">
        <f>W754+X754/60+Y754/3600</f>
        <v>2.3141666666666665</v>
      </c>
      <c r="AA754" s="26">
        <f>ABS(Z754-Q754)/Q754</f>
        <v>6.1865304732695696E-4</v>
      </c>
      <c r="AB754" s="26"/>
      <c r="AC754" s="24">
        <f>U754</f>
        <v>48.894722222222221</v>
      </c>
      <c r="AD754" s="14">
        <f>Z754</f>
        <v>2.3141666666666665</v>
      </c>
    </row>
    <row r="755" spans="1:30" s="14" customFormat="1">
      <c r="A755" s="12">
        <v>25</v>
      </c>
      <c r="B755" s="12" t="s">
        <v>143</v>
      </c>
      <c r="C755" s="14" t="str">
        <f>VLOOKUP(B755,weights!A:B,2,FALSE)</f>
        <v>P</v>
      </c>
      <c r="D755" s="13">
        <v>753</v>
      </c>
      <c r="E755" s="14" t="s">
        <v>1393</v>
      </c>
      <c r="F755" s="14" t="s">
        <v>893</v>
      </c>
      <c r="G755" s="15"/>
      <c r="H755" s="18"/>
      <c r="I755" s="18"/>
      <c r="K755" s="14">
        <f>VLOOKUP(B755,weights!A:G,5,FALSE)</f>
        <v>1.92</v>
      </c>
      <c r="L755" s="14">
        <f>VLOOKUP(B755,weights!A:G,6,FALSE)</f>
        <v>7</v>
      </c>
      <c r="M755" s="14">
        <f>VLOOKUP(B755,weights!A:G,7,FALSE)</f>
        <v>10</v>
      </c>
      <c r="N755" t="s">
        <v>5277</v>
      </c>
      <c r="O755">
        <v>587</v>
      </c>
      <c r="P755">
        <v>48.889657434699998</v>
      </c>
      <c r="Q755">
        <v>2.3031046176599999</v>
      </c>
      <c r="R755" s="22">
        <v>48</v>
      </c>
      <c r="S755" s="22">
        <v>53</v>
      </c>
      <c r="T755" s="22">
        <v>23</v>
      </c>
      <c r="U755" s="24">
        <f>R755+S755/60+T755/3600</f>
        <v>48.889722222222218</v>
      </c>
      <c r="V755" s="28">
        <f>ABS(U755-P755)/P755</f>
        <v>1.3251784859912079E-6</v>
      </c>
      <c r="W755" s="22">
        <v>2</v>
      </c>
      <c r="X755" s="22">
        <v>18</v>
      </c>
      <c r="Y755" s="22">
        <v>12</v>
      </c>
      <c r="Z755" s="14">
        <f>W755+X755/60+Y755/3600</f>
        <v>2.3033333333333332</v>
      </c>
      <c r="AA755" s="26">
        <f>ABS(Z755-Q755)/Q755</f>
        <v>9.9307548419471785E-5</v>
      </c>
      <c r="AB755" s="26"/>
      <c r="AC755" s="24">
        <f>U755</f>
        <v>48.889722222222218</v>
      </c>
      <c r="AD755" s="14">
        <f>Z755</f>
        <v>2.3033333333333332</v>
      </c>
    </row>
    <row r="756" spans="1:30" s="14" customFormat="1">
      <c r="A756" s="12">
        <v>0</v>
      </c>
      <c r="B756" s="12" t="s">
        <v>745</v>
      </c>
      <c r="C756" s="14" t="str">
        <f>VLOOKUP(B756,weights!A:B,2,FALSE)</f>
        <v>P</v>
      </c>
      <c r="D756" s="13">
        <v>754</v>
      </c>
      <c r="E756" s="14" t="s">
        <v>729</v>
      </c>
      <c r="F756" s="14" t="s">
        <v>898</v>
      </c>
      <c r="G756" s="15" t="s">
        <v>558</v>
      </c>
      <c r="H756" s="18"/>
      <c r="I756" s="18" t="s">
        <v>1908</v>
      </c>
      <c r="K756" s="14">
        <f>VLOOKUP(B756,weights!A:G,5,FALSE)</f>
        <v>1.82</v>
      </c>
      <c r="L756" s="14">
        <f>VLOOKUP(B756,weights!A:G,6,FALSE)</f>
        <v>7</v>
      </c>
      <c r="M756" s="14">
        <f>VLOOKUP(B756,weights!A:G,7,FALSE)</f>
        <v>10</v>
      </c>
      <c r="N756" t="s">
        <v>3385</v>
      </c>
      <c r="O756">
        <v>567</v>
      </c>
      <c r="P756">
        <v>48.894012515</v>
      </c>
      <c r="Q756">
        <v>2.4797933299600001</v>
      </c>
      <c r="R756" s="22">
        <v>48</v>
      </c>
      <c r="S756" s="22">
        <v>53</v>
      </c>
      <c r="T756" s="22">
        <v>39</v>
      </c>
      <c r="U756" s="24">
        <f>R756+S756/60+T756/3600</f>
        <v>48.894166666666663</v>
      </c>
      <c r="V756" s="28">
        <f>ABS(U756-P756)/P756</f>
        <v>3.1527718576205287E-6</v>
      </c>
      <c r="W756" s="22">
        <v>2</v>
      </c>
      <c r="X756" s="22">
        <v>28</v>
      </c>
      <c r="Y756" s="22">
        <v>49</v>
      </c>
      <c r="Z756" s="14">
        <f>W756+X756/60+Y756/3600</f>
        <v>2.4802777777777778</v>
      </c>
      <c r="AA756" s="26">
        <f>ABS(Z756-Q756)/Q756</f>
        <v>1.9535814211803375E-4</v>
      </c>
      <c r="AB756" s="26"/>
      <c r="AC756" s="24">
        <f>U756</f>
        <v>48.894166666666663</v>
      </c>
      <c r="AD756" s="14">
        <f>Z756</f>
        <v>2.4802777777777778</v>
      </c>
    </row>
    <row r="757" spans="1:30" s="14" customFormat="1">
      <c r="A757" s="12">
        <v>1</v>
      </c>
      <c r="B757" s="12" t="s">
        <v>745</v>
      </c>
      <c r="C757" s="14" t="str">
        <f>VLOOKUP(B757,weights!A:B,2,FALSE)</f>
        <v>P</v>
      </c>
      <c r="D757" s="13">
        <v>755</v>
      </c>
      <c r="E757" s="14" t="s">
        <v>1331</v>
      </c>
      <c r="F757" s="14" t="s">
        <v>899</v>
      </c>
      <c r="G757" s="15"/>
      <c r="H757" s="18"/>
      <c r="I757" s="18"/>
      <c r="K757" s="14">
        <f>VLOOKUP(B757,weights!A:G,5,FALSE)</f>
        <v>1.82</v>
      </c>
      <c r="L757" s="14">
        <f>VLOOKUP(B757,weights!A:G,6,FALSE)</f>
        <v>7</v>
      </c>
      <c r="M757" s="14">
        <f>VLOOKUP(B757,weights!A:G,7,FALSE)</f>
        <v>10</v>
      </c>
      <c r="N757" t="s">
        <v>4435</v>
      </c>
      <c r="O757">
        <v>5</v>
      </c>
      <c r="P757">
        <v>48.893094628599997</v>
      </c>
      <c r="Q757">
        <v>2.4879109876299998</v>
      </c>
      <c r="R757" s="22">
        <v>48</v>
      </c>
      <c r="S757" s="22">
        <v>53</v>
      </c>
      <c r="T757" s="22">
        <v>35</v>
      </c>
      <c r="U757" s="24">
        <f>R757+S757/60+T757/3600</f>
        <v>48.893055555555556</v>
      </c>
      <c r="V757" s="28">
        <f>ABS(U757-P757)/P757</f>
        <v>7.9915261526491132E-7</v>
      </c>
      <c r="W757" s="22">
        <v>2</v>
      </c>
      <c r="X757" s="22">
        <v>29</v>
      </c>
      <c r="Y757" s="22">
        <v>15</v>
      </c>
      <c r="Z757" s="14">
        <f>W757+X757/60+Y757/3600</f>
        <v>2.4875000000000003</v>
      </c>
      <c r="AA757" s="26">
        <f>ABS(Z757-Q757)/Q757</f>
        <v>1.6519386426726277E-4</v>
      </c>
      <c r="AB757" s="26"/>
      <c r="AC757" s="24">
        <f>U757</f>
        <v>48.893055555555556</v>
      </c>
      <c r="AD757" s="14">
        <f>Z757</f>
        <v>2.4875000000000003</v>
      </c>
    </row>
    <row r="758" spans="1:30" s="14" customFormat="1">
      <c r="A758" s="12">
        <v>2</v>
      </c>
      <c r="B758" s="12" t="s">
        <v>745</v>
      </c>
      <c r="C758" s="14" t="str">
        <f>VLOOKUP(B758,weights!A:B,2,FALSE)</f>
        <v>P</v>
      </c>
      <c r="D758" s="13">
        <v>756</v>
      </c>
      <c r="E758" s="14" t="s">
        <v>1343</v>
      </c>
      <c r="F758" s="14" t="s">
        <v>900</v>
      </c>
      <c r="G758" s="15"/>
      <c r="H758" s="18"/>
      <c r="I758" s="18"/>
      <c r="K758" s="14">
        <f>VLOOKUP(B758,weights!A:G,5,FALSE)</f>
        <v>1.82</v>
      </c>
      <c r="L758" s="14">
        <f>VLOOKUP(B758,weights!A:G,6,FALSE)</f>
        <v>7</v>
      </c>
      <c r="M758" s="14">
        <f>VLOOKUP(B758,weights!A:G,7,FALSE)</f>
        <v>10</v>
      </c>
      <c r="N758" t="s">
        <v>4560</v>
      </c>
      <c r="O758">
        <v>831</v>
      </c>
      <c r="P758">
        <v>48.892504761399998</v>
      </c>
      <c r="Q758">
        <v>2.4993884572899998</v>
      </c>
      <c r="R758" s="22">
        <v>48</v>
      </c>
      <c r="S758" s="22">
        <v>53</v>
      </c>
      <c r="T758" s="22">
        <v>33</v>
      </c>
      <c r="U758" s="24">
        <f>R758+S758/60+T758/3600</f>
        <v>48.892499999999998</v>
      </c>
      <c r="V758" s="28">
        <f>ABS(U758-P758)/P758</f>
        <v>9.7385070019318132E-8</v>
      </c>
      <c r="W758" s="22">
        <v>2</v>
      </c>
      <c r="X758" s="22">
        <v>29</v>
      </c>
      <c r="Y758" s="22">
        <v>58</v>
      </c>
      <c r="Z758" s="14">
        <f>W758+X758/60+Y758/3600</f>
        <v>2.4994444444444444</v>
      </c>
      <c r="AA758" s="26">
        <f>ABS(Z758-Q758)/Q758</f>
        <v>2.2400341283984626E-5</v>
      </c>
      <c r="AB758" s="26"/>
      <c r="AC758" s="24">
        <f>U758</f>
        <v>48.892499999999998</v>
      </c>
      <c r="AD758" s="14">
        <f>Z758</f>
        <v>2.4994444444444444</v>
      </c>
    </row>
    <row r="759" spans="1:30" s="14" customFormat="1">
      <c r="A759" s="12">
        <v>3</v>
      </c>
      <c r="B759" s="12" t="s">
        <v>745</v>
      </c>
      <c r="C759" s="14" t="str">
        <f>VLOOKUP(B759,weights!A:B,2,FALSE)</f>
        <v>P</v>
      </c>
      <c r="D759" s="13">
        <v>757</v>
      </c>
      <c r="E759" s="14" t="s">
        <v>1239</v>
      </c>
      <c r="F759" s="14" t="s">
        <v>901</v>
      </c>
      <c r="G759" s="15"/>
      <c r="H759" s="18"/>
      <c r="I759" s="18"/>
      <c r="K759" s="14">
        <f>VLOOKUP(B759,weights!A:G,5,FALSE)</f>
        <v>1.82</v>
      </c>
      <c r="L759" s="14">
        <f>VLOOKUP(B759,weights!A:G,6,FALSE)</f>
        <v>7</v>
      </c>
      <c r="M759" s="14">
        <f>VLOOKUP(B759,weights!A:G,7,FALSE)</f>
        <v>10</v>
      </c>
      <c r="N759" t="s">
        <v>3162</v>
      </c>
      <c r="O759">
        <v>119</v>
      </c>
      <c r="P759">
        <v>48.897143818499998</v>
      </c>
      <c r="Q759">
        <v>2.50640824702</v>
      </c>
      <c r="R759" s="22">
        <v>48</v>
      </c>
      <c r="S759" s="22">
        <v>53</v>
      </c>
      <c r="T759" s="22">
        <v>49</v>
      </c>
      <c r="U759" s="24">
        <f>R759+S759/60+T759/3600</f>
        <v>48.896944444444443</v>
      </c>
      <c r="V759" s="28">
        <f>ABS(U759-P759)/P759</f>
        <v>4.0774172065113691E-6</v>
      </c>
      <c r="W759" s="22">
        <v>2</v>
      </c>
      <c r="X759" s="22">
        <v>30</v>
      </c>
      <c r="Y759" s="22">
        <v>23</v>
      </c>
      <c r="Z759" s="14">
        <f>W759+X759/60+Y759/3600</f>
        <v>2.506388888888889</v>
      </c>
      <c r="AA759" s="26">
        <f>ABS(Z759-Q759)/Q759</f>
        <v>7.7234549215979393E-6</v>
      </c>
      <c r="AB759" s="26"/>
      <c r="AC759" s="24">
        <f>U759</f>
        <v>48.896944444444443</v>
      </c>
      <c r="AD759" s="14">
        <f>Z759</f>
        <v>2.506388888888889</v>
      </c>
    </row>
    <row r="760" spans="1:30" s="14" customFormat="1">
      <c r="A760" s="12">
        <v>4</v>
      </c>
      <c r="B760" s="12" t="s">
        <v>745</v>
      </c>
      <c r="C760" s="14" t="str">
        <f>VLOOKUP(B760,weights!A:B,2,FALSE)</f>
        <v>P</v>
      </c>
      <c r="D760" s="13">
        <v>758</v>
      </c>
      <c r="E760" s="14" t="s">
        <v>1350</v>
      </c>
      <c r="F760" s="14" t="s">
        <v>902</v>
      </c>
      <c r="G760" s="15"/>
      <c r="H760" s="18"/>
      <c r="I760" s="18"/>
      <c r="K760" s="14">
        <f>VLOOKUP(B760,weights!A:G,5,FALSE)</f>
        <v>1.82</v>
      </c>
      <c r="L760" s="14">
        <f>VLOOKUP(B760,weights!A:G,6,FALSE)</f>
        <v>7</v>
      </c>
      <c r="M760" s="14">
        <f>VLOOKUP(B760,weights!A:G,7,FALSE)</f>
        <v>10</v>
      </c>
      <c r="N760" t="s">
        <v>4602</v>
      </c>
      <c r="O760">
        <v>7</v>
      </c>
      <c r="P760">
        <v>48.902444190600001</v>
      </c>
      <c r="Q760">
        <v>2.5116993032699999</v>
      </c>
      <c r="R760" s="22">
        <v>48</v>
      </c>
      <c r="S760" s="22">
        <v>54</v>
      </c>
      <c r="T760" s="22">
        <v>9</v>
      </c>
      <c r="U760" s="24">
        <f>R760+S760/60+T760/3600</f>
        <v>48.902499999999996</v>
      </c>
      <c r="V760" s="28">
        <f>ABS(U760-P760)/P760</f>
        <v>1.1412394803435534E-6</v>
      </c>
      <c r="W760" s="22">
        <v>2</v>
      </c>
      <c r="X760" s="22">
        <v>30</v>
      </c>
      <c r="Y760" s="22">
        <v>42</v>
      </c>
      <c r="Z760" s="14">
        <f>W760+X760/60+Y760/3600</f>
        <v>2.5116666666666667</v>
      </c>
      <c r="AA760" s="26">
        <f>ABS(Z760-Q760)/Q760</f>
        <v>1.2993833812312517E-5</v>
      </c>
      <c r="AB760" s="26"/>
      <c r="AC760" s="24">
        <f>U760</f>
        <v>48.902499999999996</v>
      </c>
      <c r="AD760" s="14">
        <f>Z760</f>
        <v>2.5116666666666667</v>
      </c>
    </row>
    <row r="761" spans="1:30" s="14" customFormat="1">
      <c r="A761" s="12">
        <v>5</v>
      </c>
      <c r="B761" s="12" t="s">
        <v>745</v>
      </c>
      <c r="C761" s="14" t="str">
        <f>VLOOKUP(B761,weights!A:B,2,FALSE)</f>
        <v>P</v>
      </c>
      <c r="D761" s="13">
        <v>759</v>
      </c>
      <c r="E761" s="14" t="s">
        <v>1295</v>
      </c>
      <c r="F761" s="14" t="s">
        <v>903</v>
      </c>
      <c r="G761" s="15"/>
      <c r="H761" s="18"/>
      <c r="I761" s="18"/>
      <c r="K761" s="14">
        <f>VLOOKUP(B761,weights!A:G,5,FALSE)</f>
        <v>1.82</v>
      </c>
      <c r="L761" s="14">
        <f>VLOOKUP(B761,weights!A:G,6,FALSE)</f>
        <v>7</v>
      </c>
      <c r="M761" s="14">
        <f>VLOOKUP(B761,weights!A:G,7,FALSE)</f>
        <v>10</v>
      </c>
      <c r="N761" t="s">
        <v>4113</v>
      </c>
      <c r="O761">
        <v>214</v>
      </c>
      <c r="P761">
        <v>48.908165415200003</v>
      </c>
      <c r="Q761">
        <v>2.5170254953</v>
      </c>
      <c r="R761" s="22">
        <v>48</v>
      </c>
      <c r="S761" s="22">
        <v>54</v>
      </c>
      <c r="T761" s="22">
        <v>30</v>
      </c>
      <c r="U761" s="24">
        <f>R761+S761/60+T761/3600</f>
        <v>48.908333333333331</v>
      </c>
      <c r="V761" s="28">
        <f>ABS(U761-P761)/P761</f>
        <v>3.4333353521483626E-6</v>
      </c>
      <c r="W761" s="22">
        <v>2</v>
      </c>
      <c r="X761" s="22">
        <v>31</v>
      </c>
      <c r="Y761" s="22">
        <v>1</v>
      </c>
      <c r="Z761" s="14">
        <f>W761+X761/60+Y761/3600</f>
        <v>2.5169444444444444</v>
      </c>
      <c r="AA761" s="26">
        <f>ABS(Z761-Q761)/Q761</f>
        <v>3.2201046714420329E-5</v>
      </c>
      <c r="AB761" s="26"/>
      <c r="AC761" s="24">
        <f>U761</f>
        <v>48.908333333333331</v>
      </c>
      <c r="AD761" s="14">
        <f>Z761</f>
        <v>2.5169444444444444</v>
      </c>
    </row>
    <row r="762" spans="1:30" s="14" customFormat="1">
      <c r="A762" s="12">
        <v>6</v>
      </c>
      <c r="B762" s="12" t="s">
        <v>745</v>
      </c>
      <c r="C762" s="14" t="str">
        <f>VLOOKUP(B762,weights!A:B,2,FALSE)</f>
        <v>P</v>
      </c>
      <c r="D762" s="13">
        <v>760</v>
      </c>
      <c r="E762" s="14" t="s">
        <v>1354</v>
      </c>
      <c r="F762" s="14" t="s">
        <v>904</v>
      </c>
      <c r="G762" s="15"/>
      <c r="H762" s="18"/>
      <c r="I762" s="18"/>
      <c r="K762" s="14">
        <f>VLOOKUP(B762,weights!A:G,5,FALSE)</f>
        <v>1.82</v>
      </c>
      <c r="L762" s="14">
        <f>VLOOKUP(B762,weights!A:G,6,FALSE)</f>
        <v>7</v>
      </c>
      <c r="M762" s="14">
        <f>VLOOKUP(B762,weights!A:G,7,FALSE)</f>
        <v>10</v>
      </c>
      <c r="N762" t="s">
        <v>4684</v>
      </c>
      <c r="O762">
        <v>105</v>
      </c>
      <c r="P762">
        <v>48.916096504099997</v>
      </c>
      <c r="Q762">
        <v>2.5150614461899998</v>
      </c>
      <c r="R762" s="22">
        <v>48</v>
      </c>
      <c r="S762" s="22">
        <v>54</v>
      </c>
      <c r="T762" s="22">
        <v>58</v>
      </c>
      <c r="U762" s="24">
        <f>R762+S762/60+T762/3600</f>
        <v>48.916111111111107</v>
      </c>
      <c r="V762" s="28">
        <f>ABS(U762-P762)/P762</f>
        <v>2.9861358844889241E-7</v>
      </c>
      <c r="W762" s="22">
        <v>2</v>
      </c>
      <c r="X762" s="22">
        <v>30</v>
      </c>
      <c r="Y762" s="22">
        <v>54</v>
      </c>
      <c r="Z762" s="14">
        <f>W762+X762/60+Y762/3600</f>
        <v>2.5150000000000001</v>
      </c>
      <c r="AA762" s="26">
        <f>ABS(Z762-Q762)/Q762</f>
        <v>2.4431287789324751E-5</v>
      </c>
      <c r="AB762" s="26"/>
      <c r="AC762" s="24">
        <f>U762</f>
        <v>48.916111111111107</v>
      </c>
      <c r="AD762" s="14">
        <f>Z762</f>
        <v>2.5150000000000001</v>
      </c>
    </row>
    <row r="763" spans="1:30" s="14" customFormat="1">
      <c r="A763" s="12">
        <v>7</v>
      </c>
      <c r="B763" s="12" t="s">
        <v>745</v>
      </c>
      <c r="C763" s="14" t="str">
        <f>VLOOKUP(B763,weights!A:B,2,FALSE)</f>
        <v>P</v>
      </c>
      <c r="D763" s="13">
        <v>761</v>
      </c>
      <c r="E763" s="14" t="s">
        <v>1322</v>
      </c>
      <c r="F763" s="14" t="s">
        <v>905</v>
      </c>
      <c r="G763" s="15"/>
      <c r="H763" s="18"/>
      <c r="I763" s="18"/>
      <c r="K763" s="14">
        <f>VLOOKUP(B763,weights!A:G,5,FALSE)</f>
        <v>1.82</v>
      </c>
      <c r="L763" s="14">
        <f>VLOOKUP(B763,weights!A:G,6,FALSE)</f>
        <v>7</v>
      </c>
      <c r="M763" s="14">
        <f>VLOOKUP(B763,weights!A:G,7,FALSE)</f>
        <v>10</v>
      </c>
      <c r="N763" t="s">
        <v>4354</v>
      </c>
      <c r="O763">
        <v>306</v>
      </c>
      <c r="P763">
        <v>48.921926143299999</v>
      </c>
      <c r="Q763">
        <v>2.5164435351700001</v>
      </c>
      <c r="R763" s="22">
        <v>48</v>
      </c>
      <c r="S763" s="22">
        <v>55</v>
      </c>
      <c r="T763" s="22">
        <v>19</v>
      </c>
      <c r="U763" s="24">
        <f>R763+S763/60+T763/3600</f>
        <v>48.921944444444442</v>
      </c>
      <c r="V763" s="28">
        <f>ABS(U763-P763)/P763</f>
        <v>3.7408879588772971E-7</v>
      </c>
      <c r="W763" s="22">
        <v>2</v>
      </c>
      <c r="X763" s="22">
        <v>30</v>
      </c>
      <c r="Y763" s="22">
        <v>59</v>
      </c>
      <c r="Z763" s="14">
        <f>W763+X763/60+Y763/3600</f>
        <v>2.5163888888888888</v>
      </c>
      <c r="AA763" s="26">
        <f>ABS(Z763-Q763)/Q763</f>
        <v>2.1715679429143549E-5</v>
      </c>
      <c r="AB763" s="26"/>
      <c r="AC763" s="24">
        <f>U763</f>
        <v>48.921944444444442</v>
      </c>
      <c r="AD763" s="14">
        <f>Z763</f>
        <v>2.5163888888888888</v>
      </c>
    </row>
    <row r="764" spans="1:30" s="14" customFormat="1">
      <c r="A764" s="12">
        <v>8</v>
      </c>
      <c r="B764" s="12" t="s">
        <v>745</v>
      </c>
      <c r="C764" s="14" t="str">
        <f>VLOOKUP(B764,weights!A:B,2,FALSE)</f>
        <v>P</v>
      </c>
      <c r="D764" s="13">
        <v>762</v>
      </c>
      <c r="E764" s="14" t="s">
        <v>1291</v>
      </c>
      <c r="F764" s="14" t="s">
        <v>906</v>
      </c>
      <c r="G764" s="15"/>
      <c r="H764" s="18"/>
      <c r="I764" s="18"/>
      <c r="K764" s="14">
        <f>VLOOKUP(B764,weights!A:G,5,FALSE)</f>
        <v>1.82</v>
      </c>
      <c r="L764" s="14">
        <f>VLOOKUP(B764,weights!A:G,6,FALSE)</f>
        <v>7</v>
      </c>
      <c r="M764" s="14">
        <f>VLOOKUP(B764,weights!A:G,7,FALSE)</f>
        <v>10</v>
      </c>
      <c r="N764" t="s">
        <v>4060</v>
      </c>
      <c r="O764">
        <v>28</v>
      </c>
      <c r="P764">
        <v>48.926640202000002</v>
      </c>
      <c r="Q764">
        <v>2.51910376383</v>
      </c>
      <c r="R764" s="22">
        <v>48</v>
      </c>
      <c r="S764" s="22">
        <v>55</v>
      </c>
      <c r="T764" s="22">
        <v>36</v>
      </c>
      <c r="U764" s="24">
        <f>R764+S764/60+T764/3600</f>
        <v>48.926666666666662</v>
      </c>
      <c r="V764" s="28">
        <f>ABS(U764-P764)/P764</f>
        <v>5.4090504787418742E-7</v>
      </c>
      <c r="W764" s="22">
        <v>2</v>
      </c>
      <c r="X764" s="22">
        <v>31</v>
      </c>
      <c r="Y764" s="22">
        <v>9</v>
      </c>
      <c r="Z764" s="14">
        <f>W764+X764/60+Y764/3600</f>
        <v>2.5191666666666666</v>
      </c>
      <c r="AA764" s="26">
        <f>ABS(Z764-Q764)/Q764</f>
        <v>2.4970323799170873E-5</v>
      </c>
      <c r="AB764" s="26"/>
      <c r="AC764" s="24">
        <f>U764</f>
        <v>48.926666666666662</v>
      </c>
      <c r="AD764" s="14">
        <f>Z764</f>
        <v>2.5191666666666666</v>
      </c>
    </row>
    <row r="765" spans="1:30" s="14" customFormat="1">
      <c r="A765" s="12">
        <v>9</v>
      </c>
      <c r="B765" s="12" t="s">
        <v>745</v>
      </c>
      <c r="C765" s="14" t="str">
        <f>VLOOKUP(B765,weights!A:B,2,FALSE)</f>
        <v>P</v>
      </c>
      <c r="D765" s="13">
        <v>763</v>
      </c>
      <c r="E765" s="14" t="s">
        <v>1407</v>
      </c>
      <c r="F765" s="14" t="s">
        <v>907</v>
      </c>
      <c r="G765" s="15"/>
      <c r="H765" s="18"/>
      <c r="I765" s="18"/>
      <c r="K765" s="14">
        <f>VLOOKUP(B765,weights!A:G,5,FALSE)</f>
        <v>1.82</v>
      </c>
      <c r="L765" s="14">
        <f>VLOOKUP(B765,weights!A:G,6,FALSE)</f>
        <v>7</v>
      </c>
      <c r="M765" s="14">
        <f>VLOOKUP(B765,weights!A:G,7,FALSE)</f>
        <v>10</v>
      </c>
      <c r="N765" t="s">
        <v>5490</v>
      </c>
      <c r="O765">
        <v>922</v>
      </c>
      <c r="P765">
        <v>48.930934182999998</v>
      </c>
      <c r="Q765">
        <v>2.5150496624200001</v>
      </c>
      <c r="R765" s="22">
        <v>48</v>
      </c>
      <c r="S765" s="22">
        <v>55</v>
      </c>
      <c r="T765" s="22">
        <v>51</v>
      </c>
      <c r="U765" s="24">
        <f>R765+S765/60+T765/3600</f>
        <v>48.930833333333332</v>
      </c>
      <c r="V765" s="28">
        <f>ABS(U765-P765)/P765</f>
        <v>2.0610615421423757E-6</v>
      </c>
      <c r="W765" s="22">
        <v>2</v>
      </c>
      <c r="X765" s="22">
        <v>30</v>
      </c>
      <c r="Y765" s="22">
        <v>55</v>
      </c>
      <c r="Z765" s="14">
        <f>W765+X765/60+Y765/3600</f>
        <v>2.5152777777777779</v>
      </c>
      <c r="AA765" s="26">
        <f>ABS(Z765-Q765)/Q765</f>
        <v>9.0700140512691606E-5</v>
      </c>
      <c r="AB765" s="26"/>
      <c r="AC765" s="24">
        <f>U765</f>
        <v>48.930833333333332</v>
      </c>
      <c r="AD765" s="14">
        <f>Z765</f>
        <v>2.5152777777777779</v>
      </c>
    </row>
    <row r="766" spans="1:30" s="14" customFormat="1">
      <c r="A766" s="12">
        <v>10</v>
      </c>
      <c r="B766" s="12" t="s">
        <v>745</v>
      </c>
      <c r="C766" s="14" t="str">
        <f>VLOOKUP(B766,weights!A:B,2,FALSE)</f>
        <v>P</v>
      </c>
      <c r="D766" s="13">
        <v>764</v>
      </c>
      <c r="E766" s="14" t="s">
        <v>909</v>
      </c>
      <c r="F766" s="14" t="s">
        <v>908</v>
      </c>
      <c r="G766" s="15" t="s">
        <v>910</v>
      </c>
      <c r="H766" s="18"/>
      <c r="I766" s="18" t="s">
        <v>1909</v>
      </c>
      <c r="K766" s="14">
        <f>VLOOKUP(B766,weights!A:G,5,FALSE)</f>
        <v>1.82</v>
      </c>
      <c r="L766" s="14">
        <f>VLOOKUP(B766,weights!A:G,6,FALSE)</f>
        <v>7</v>
      </c>
      <c r="M766" s="14">
        <f>VLOOKUP(B766,weights!A:G,7,FALSE)</f>
        <v>10</v>
      </c>
      <c r="N766" t="s">
        <v>3229</v>
      </c>
      <c r="O766">
        <v>585</v>
      </c>
      <c r="P766">
        <v>48.932196005100003</v>
      </c>
      <c r="Q766">
        <v>2.49551314123</v>
      </c>
      <c r="R766" s="22">
        <v>48</v>
      </c>
      <c r="S766" s="22">
        <v>55</v>
      </c>
      <c r="T766" s="22">
        <v>55</v>
      </c>
      <c r="U766" s="24">
        <f>R766+S766/60+T766/3600</f>
        <v>48.93194444444444</v>
      </c>
      <c r="V766" s="28">
        <f>ABS(U766-P766)/P766</f>
        <v>5.1410048209790283E-6</v>
      </c>
      <c r="W766" s="22">
        <v>2</v>
      </c>
      <c r="X766" s="22">
        <v>29</v>
      </c>
      <c r="Y766" s="22">
        <v>47</v>
      </c>
      <c r="Z766" s="14">
        <f>W766+X766/60+Y766/3600</f>
        <v>2.4963888888888888</v>
      </c>
      <c r="AA766" s="26">
        <f>ABS(Z766-Q766)/Q766</f>
        <v>3.5092889090422368E-4</v>
      </c>
      <c r="AB766" s="26"/>
      <c r="AC766" s="24">
        <f>U766</f>
        <v>48.93194444444444</v>
      </c>
      <c r="AD766" s="14">
        <f>Z766</f>
        <v>2.4963888888888888</v>
      </c>
    </row>
    <row r="767" spans="1:30" s="14" customFormat="1">
      <c r="A767" s="12">
        <v>0</v>
      </c>
      <c r="B767" s="12" t="s">
        <v>523</v>
      </c>
      <c r="C767" s="14" t="str">
        <f>VLOOKUP(B767,weights!A:B,2,FALSE)</f>
        <v>P</v>
      </c>
      <c r="D767" s="13">
        <v>765</v>
      </c>
      <c r="E767" s="14" t="s">
        <v>1359</v>
      </c>
      <c r="F767" s="14" t="s">
        <v>786</v>
      </c>
      <c r="G767" s="15" t="s">
        <v>1475</v>
      </c>
      <c r="H767" s="18" t="s">
        <v>1910</v>
      </c>
      <c r="I767" s="18" t="s">
        <v>1865</v>
      </c>
      <c r="K767" s="14">
        <f>VLOOKUP(B767,weights!A:G,5,FALSE)</f>
        <v>1.38</v>
      </c>
      <c r="L767" s="14">
        <f>VLOOKUP(B767,weights!A:G,6,FALSE)</f>
        <v>7</v>
      </c>
      <c r="M767" s="14">
        <f>VLOOKUP(B767,weights!A:G,7,FALSE)</f>
        <v>10</v>
      </c>
      <c r="N767" t="s">
        <v>4778</v>
      </c>
      <c r="O767">
        <v>307</v>
      </c>
      <c r="P767">
        <v>48.938616483700002</v>
      </c>
      <c r="Q767">
        <v>2.3561784586000001</v>
      </c>
      <c r="R767" s="22">
        <v>48</v>
      </c>
      <c r="S767" s="22">
        <v>56</v>
      </c>
      <c r="T767" s="22">
        <v>19</v>
      </c>
      <c r="U767" s="24">
        <f>R767+S767/60+T767/3600</f>
        <v>48.938611111111108</v>
      </c>
      <c r="V767" s="28">
        <f>ABS(U767-P767)/P767</f>
        <v>1.0978219820431983E-7</v>
      </c>
      <c r="W767" s="22">
        <v>2</v>
      </c>
      <c r="X767" s="22">
        <v>21</v>
      </c>
      <c r="Y767" s="22">
        <v>21</v>
      </c>
      <c r="Z767" s="14">
        <f>W767+X767/60+Y767/3600</f>
        <v>2.3558333333333334</v>
      </c>
      <c r="AA767" s="26">
        <f>ABS(Z767-Q767)/Q767</f>
        <v>1.4647670909940423E-4</v>
      </c>
      <c r="AB767" s="26"/>
      <c r="AC767" s="24">
        <f>U767</f>
        <v>48.938611111111108</v>
      </c>
      <c r="AD767" s="14">
        <f>Z767</f>
        <v>2.3558333333333334</v>
      </c>
    </row>
    <row r="768" spans="1:30" s="14" customFormat="1">
      <c r="A768" s="12">
        <v>1</v>
      </c>
      <c r="B768" s="12" t="s">
        <v>523</v>
      </c>
      <c r="C768" s="14" t="str">
        <f>VLOOKUP(B768,weights!A:B,2,FALSE)</f>
        <v>P</v>
      </c>
      <c r="D768" s="13">
        <v>766</v>
      </c>
      <c r="E768" s="14" t="s">
        <v>1249</v>
      </c>
      <c r="F768" s="14" t="s">
        <v>911</v>
      </c>
      <c r="G768" s="15"/>
      <c r="H768" s="18"/>
      <c r="I768" s="18"/>
      <c r="K768" s="14">
        <f>VLOOKUP(B768,weights!A:G,5,FALSE)</f>
        <v>1.38</v>
      </c>
      <c r="L768" s="14">
        <f>VLOOKUP(B768,weights!A:G,6,FALSE)</f>
        <v>7</v>
      </c>
      <c r="M768" s="14">
        <f>VLOOKUP(B768,weights!A:G,7,FALSE)</f>
        <v>10</v>
      </c>
      <c r="N768" t="s">
        <v>3291</v>
      </c>
      <c r="O768">
        <v>531</v>
      </c>
      <c r="P768">
        <v>48.942125455099998</v>
      </c>
      <c r="Q768">
        <v>2.3567297415300001</v>
      </c>
      <c r="R768" s="22">
        <v>48</v>
      </c>
      <c r="S768" s="22">
        <v>56</v>
      </c>
      <c r="T768" s="22">
        <v>32</v>
      </c>
      <c r="U768" s="24">
        <f>R768+S768/60+T768/3600</f>
        <v>48.94222222222222</v>
      </c>
      <c r="V768" s="28">
        <f>ABS(U768-P768)/P768</f>
        <v>1.977174495854388E-6</v>
      </c>
      <c r="W768" s="22">
        <v>2</v>
      </c>
      <c r="X768" s="22">
        <v>21</v>
      </c>
      <c r="Y768" s="22">
        <v>24</v>
      </c>
      <c r="Z768" s="14">
        <f>W768+X768/60+Y768/3600</f>
        <v>2.3566666666666669</v>
      </c>
      <c r="AA768" s="26">
        <f>ABS(Z768-Q768)/Q768</f>
        <v>2.6763723570733245E-5</v>
      </c>
      <c r="AB768" s="26"/>
      <c r="AC768" s="24">
        <f>U768</f>
        <v>48.94222222222222</v>
      </c>
      <c r="AD768" s="14">
        <f>Z768</f>
        <v>2.3566666666666669</v>
      </c>
    </row>
    <row r="769" spans="1:30" s="14" customFormat="1">
      <c r="A769" s="12">
        <v>2</v>
      </c>
      <c r="B769" s="12" t="s">
        <v>523</v>
      </c>
      <c r="C769" s="14" t="str">
        <f>VLOOKUP(B769,weights!A:B,2,FALSE)</f>
        <v>P</v>
      </c>
      <c r="D769" s="13">
        <v>767</v>
      </c>
      <c r="E769" s="14" t="s">
        <v>1405</v>
      </c>
      <c r="F769" s="14" t="s">
        <v>912</v>
      </c>
      <c r="G769" s="15"/>
      <c r="H769" s="18"/>
      <c r="I769" s="18"/>
      <c r="K769" s="14">
        <f>VLOOKUP(B769,weights!A:G,5,FALSE)</f>
        <v>1.38</v>
      </c>
      <c r="L769" s="14">
        <f>VLOOKUP(B769,weights!A:G,6,FALSE)</f>
        <v>7</v>
      </c>
      <c r="M769" s="14">
        <f>VLOOKUP(B769,weights!A:G,7,FALSE)</f>
        <v>10</v>
      </c>
      <c r="N769" t="s">
        <v>5465</v>
      </c>
      <c r="O769">
        <v>689</v>
      </c>
      <c r="P769">
        <v>48.944818932700002</v>
      </c>
      <c r="Q769">
        <v>2.3570063551099998</v>
      </c>
      <c r="R769" s="22">
        <v>48</v>
      </c>
      <c r="S769" s="22">
        <v>56</v>
      </c>
      <c r="T769" s="22">
        <v>40</v>
      </c>
      <c r="U769" s="24">
        <f>R769+S769/60+T769/3600</f>
        <v>48.944444444444443</v>
      </c>
      <c r="V769" s="28">
        <f>ABS(U769-P769)/P769</f>
        <v>7.6512338532570969E-6</v>
      </c>
      <c r="W769" s="22">
        <v>2</v>
      </c>
      <c r="X769" s="22">
        <v>21</v>
      </c>
      <c r="Y769" s="22">
        <v>25</v>
      </c>
      <c r="Z769" s="14">
        <f>W769+X769/60+Y769/3600</f>
        <v>2.3569444444444447</v>
      </c>
      <c r="AA769" s="26">
        <f>ABS(Z769-Q769)/Q769</f>
        <v>2.6266651942126199E-5</v>
      </c>
      <c r="AB769" s="26"/>
      <c r="AC769" s="24">
        <f>U769</f>
        <v>48.944444444444443</v>
      </c>
      <c r="AD769" s="14">
        <f>Z769</f>
        <v>2.3569444444444447</v>
      </c>
    </row>
    <row r="770" spans="1:30" s="14" customFormat="1">
      <c r="A770" s="12">
        <v>3</v>
      </c>
      <c r="B770" s="12" t="s">
        <v>523</v>
      </c>
      <c r="C770" s="14" t="str">
        <f>VLOOKUP(B770,weights!A:B,2,FALSE)</f>
        <v>P</v>
      </c>
      <c r="D770" s="13">
        <v>768</v>
      </c>
      <c r="E770" s="14" t="s">
        <v>1303</v>
      </c>
      <c r="F770" s="14" t="s">
        <v>913</v>
      </c>
      <c r="G770" s="15" t="s">
        <v>926</v>
      </c>
      <c r="H770" s="18"/>
      <c r="I770" s="18" t="s">
        <v>1911</v>
      </c>
      <c r="K770" s="14">
        <f>VLOOKUP(B770,weights!A:G,5,FALSE)</f>
        <v>1.38</v>
      </c>
      <c r="L770" s="14">
        <f>VLOOKUP(B770,weights!A:G,6,FALSE)</f>
        <v>7</v>
      </c>
      <c r="M770" s="14">
        <f>VLOOKUP(B770,weights!A:G,7,FALSE)</f>
        <v>10</v>
      </c>
      <c r="N770" t="s">
        <v>4202</v>
      </c>
      <c r="O770">
        <v>688</v>
      </c>
      <c r="P770">
        <v>48.948208128499999</v>
      </c>
      <c r="Q770">
        <v>2.3574615262599998</v>
      </c>
      <c r="R770" s="22">
        <v>48</v>
      </c>
      <c r="S770" s="22">
        <v>56</v>
      </c>
      <c r="T770" s="22">
        <v>53</v>
      </c>
      <c r="U770" s="24">
        <f>R770+S770/60+T770/3600</f>
        <v>48.948055555555555</v>
      </c>
      <c r="V770" s="28">
        <f>ABS(U770-P770)/P770</f>
        <v>3.1170281870846078E-6</v>
      </c>
      <c r="W770" s="22">
        <v>2</v>
      </c>
      <c r="X770" s="22">
        <v>21</v>
      </c>
      <c r="Y770" s="22">
        <v>27</v>
      </c>
      <c r="Z770" s="14">
        <f>W770+X770/60+Y770/3600</f>
        <v>2.3574999999999999</v>
      </c>
      <c r="AA770" s="26">
        <f>ABS(Z770-Q770)/Q770</f>
        <v>1.6319986380069082E-5</v>
      </c>
      <c r="AB770" s="26"/>
      <c r="AC770" s="24">
        <f>U770</f>
        <v>48.948055555555555</v>
      </c>
      <c r="AD770" s="14">
        <f>Z770</f>
        <v>2.3574999999999999</v>
      </c>
    </row>
    <row r="771" spans="1:30" s="14" customFormat="1">
      <c r="A771" s="12">
        <v>4</v>
      </c>
      <c r="B771" s="12" t="s">
        <v>523</v>
      </c>
      <c r="C771" s="14" t="str">
        <f>VLOOKUP(B771,weights!A:B,2,FALSE)</f>
        <v>P</v>
      </c>
      <c r="D771" s="13">
        <v>769</v>
      </c>
      <c r="E771" s="14" t="s">
        <v>1386</v>
      </c>
      <c r="F771" s="14" t="s">
        <v>914</v>
      </c>
      <c r="G771" s="15"/>
      <c r="H771" s="18"/>
      <c r="I771" s="18"/>
      <c r="K771" s="14">
        <f>VLOOKUP(B771,weights!A:G,5,FALSE)</f>
        <v>1.38</v>
      </c>
      <c r="L771" s="14">
        <f>VLOOKUP(B771,weights!A:G,6,FALSE)</f>
        <v>7</v>
      </c>
      <c r="M771" s="14">
        <f>VLOOKUP(B771,weights!A:G,7,FALSE)</f>
        <v>10</v>
      </c>
      <c r="N771" t="s">
        <v>5156</v>
      </c>
      <c r="O771">
        <v>440</v>
      </c>
      <c r="P771">
        <v>48.952637882600001</v>
      </c>
      <c r="Q771">
        <v>2.35797833108</v>
      </c>
      <c r="R771" s="22">
        <v>48</v>
      </c>
      <c r="S771" s="22">
        <v>57</v>
      </c>
      <c r="T771" s="22">
        <v>9</v>
      </c>
      <c r="U771" s="24">
        <f>R771+S771/60+T771/3600</f>
        <v>48.952500000000001</v>
      </c>
      <c r="V771" s="28">
        <f>ABS(U771-P771)/P771</f>
        <v>2.8166531154331035E-6</v>
      </c>
      <c r="W771" s="22">
        <v>2</v>
      </c>
      <c r="X771" s="22">
        <v>21</v>
      </c>
      <c r="Y771" s="22">
        <v>29</v>
      </c>
      <c r="Z771" s="14">
        <f>W771+X771/60+Y771/3600</f>
        <v>2.3580555555555556</v>
      </c>
      <c r="AA771" s="26">
        <f>ABS(Z771-Q771)/Q771</f>
        <v>3.2750290593303059E-5</v>
      </c>
      <c r="AB771" s="26"/>
      <c r="AC771" s="24">
        <f>U771</f>
        <v>48.952500000000001</v>
      </c>
      <c r="AD771" s="14">
        <f>Z771</f>
        <v>2.3580555555555556</v>
      </c>
    </row>
    <row r="772" spans="1:30" s="14" customFormat="1">
      <c r="A772" s="12">
        <v>5</v>
      </c>
      <c r="B772" s="12" t="s">
        <v>523</v>
      </c>
      <c r="C772" s="14" t="str">
        <f>VLOOKUP(B772,weights!A:B,2,FALSE)</f>
        <v>P</v>
      </c>
      <c r="D772" s="13">
        <v>770</v>
      </c>
      <c r="E772" s="14" t="s">
        <v>1321</v>
      </c>
      <c r="F772" s="14" t="s">
        <v>915</v>
      </c>
      <c r="G772" s="15"/>
      <c r="H772" s="18"/>
      <c r="I772" s="18"/>
      <c r="K772" s="14">
        <f>VLOOKUP(B772,weights!A:G,5,FALSE)</f>
        <v>1.38</v>
      </c>
      <c r="L772" s="14">
        <f>VLOOKUP(B772,weights!A:G,6,FALSE)</f>
        <v>7</v>
      </c>
      <c r="M772" s="14">
        <f>VLOOKUP(B772,weights!A:G,7,FALSE)</f>
        <v>10</v>
      </c>
      <c r="N772" t="s">
        <v>4322</v>
      </c>
      <c r="O772">
        <v>535</v>
      </c>
      <c r="P772">
        <v>48.955576348000001</v>
      </c>
      <c r="Q772">
        <v>2.35832285615</v>
      </c>
      <c r="R772" s="22">
        <v>48</v>
      </c>
      <c r="S772" s="22">
        <v>57</v>
      </c>
      <c r="T772" s="22">
        <v>20</v>
      </c>
      <c r="U772" s="24">
        <f>R772+S772/60+T772/3600</f>
        <v>48.955555555555556</v>
      </c>
      <c r="V772" s="28">
        <f>ABS(U772-P772)/P772</f>
        <v>4.247206548545727E-7</v>
      </c>
      <c r="W772" s="22">
        <v>2</v>
      </c>
      <c r="X772" s="22">
        <v>21</v>
      </c>
      <c r="Y772" s="22">
        <v>30</v>
      </c>
      <c r="Z772" s="14">
        <f>W772+X772/60+Y772/3600</f>
        <v>2.3583333333333334</v>
      </c>
      <c r="AA772" s="26">
        <f>ABS(Z772-Q772)/Q772</f>
        <v>4.442641645114445E-6</v>
      </c>
      <c r="AB772" s="26"/>
      <c r="AC772" s="24">
        <f>U772</f>
        <v>48.955555555555556</v>
      </c>
      <c r="AD772" s="14">
        <f>Z772</f>
        <v>2.3583333333333334</v>
      </c>
    </row>
    <row r="773" spans="1:30" s="14" customFormat="1">
      <c r="A773" s="12">
        <v>6</v>
      </c>
      <c r="B773" s="12" t="s">
        <v>523</v>
      </c>
      <c r="C773" s="14" t="str">
        <f>VLOOKUP(B773,weights!A:B,2,FALSE)</f>
        <v>P</v>
      </c>
      <c r="D773" s="13">
        <v>771</v>
      </c>
      <c r="E773" s="14" t="s">
        <v>1425</v>
      </c>
      <c r="F773" s="14" t="s">
        <v>916</v>
      </c>
      <c r="G773" s="15"/>
      <c r="H773" s="18"/>
      <c r="I773" s="18"/>
      <c r="K773" s="14">
        <f>VLOOKUP(B773,weights!A:G,5,FALSE)</f>
        <v>1.38</v>
      </c>
      <c r="L773" s="14">
        <f>VLOOKUP(B773,weights!A:G,6,FALSE)</f>
        <v>7</v>
      </c>
      <c r="M773" s="14">
        <f>VLOOKUP(B773,weights!A:G,7,FALSE)</f>
        <v>10</v>
      </c>
      <c r="N773" t="s">
        <v>5763</v>
      </c>
      <c r="O773">
        <v>534</v>
      </c>
      <c r="P773">
        <v>48.959121098300002</v>
      </c>
      <c r="Q773">
        <v>2.3587425044799999</v>
      </c>
      <c r="R773" s="22">
        <v>48</v>
      </c>
      <c r="S773" s="22">
        <v>57</v>
      </c>
      <c r="T773" s="22">
        <v>33</v>
      </c>
      <c r="U773" s="24">
        <f>R773+S773/60+T773/3600</f>
        <v>48.959166666666668</v>
      </c>
      <c r="V773" s="28">
        <f>ABS(U773-P773)/P773</f>
        <v>9.3074315150209919E-7</v>
      </c>
      <c r="W773" s="22">
        <v>2</v>
      </c>
      <c r="X773" s="22">
        <v>21</v>
      </c>
      <c r="Y773" s="22">
        <v>32</v>
      </c>
      <c r="Z773" s="14">
        <f>W773+X773/60+Y773/3600</f>
        <v>2.358888888888889</v>
      </c>
      <c r="AA773" s="26">
        <f>ABS(Z773-Q773)/Q773</f>
        <v>6.2060359963460933E-5</v>
      </c>
      <c r="AB773" s="26"/>
      <c r="AC773" s="24">
        <f>U773</f>
        <v>48.959166666666668</v>
      </c>
      <c r="AD773" s="14">
        <f>Z773</f>
        <v>2.358888888888889</v>
      </c>
    </row>
    <row r="774" spans="1:30" s="14" customFormat="1">
      <c r="A774" s="12">
        <v>7</v>
      </c>
      <c r="B774" s="12" t="s">
        <v>523</v>
      </c>
      <c r="C774" s="14" t="str">
        <f>VLOOKUP(B774,weights!A:B,2,FALSE)</f>
        <v>P</v>
      </c>
      <c r="D774" s="13">
        <v>772</v>
      </c>
      <c r="E774" s="14" t="s">
        <v>1356</v>
      </c>
      <c r="F774" s="14" t="s">
        <v>917</v>
      </c>
      <c r="G774" s="15"/>
      <c r="H774" s="18"/>
      <c r="I774" s="18"/>
      <c r="K774" s="14">
        <f>VLOOKUP(B774,weights!A:G,5,FALSE)</f>
        <v>1.38</v>
      </c>
      <c r="L774" s="14">
        <f>VLOOKUP(B774,weights!A:G,6,FALSE)</f>
        <v>7</v>
      </c>
      <c r="M774" s="14">
        <f>VLOOKUP(B774,weights!A:G,7,FALSE)</f>
        <v>10</v>
      </c>
      <c r="N774" t="s">
        <v>4718</v>
      </c>
      <c r="O774">
        <v>800</v>
      </c>
      <c r="P774">
        <v>48.963517946400003</v>
      </c>
      <c r="Q774">
        <v>2.3602507586499999</v>
      </c>
      <c r="R774" s="22">
        <v>48</v>
      </c>
      <c r="S774" s="22">
        <v>57</v>
      </c>
      <c r="T774" s="22">
        <v>48</v>
      </c>
      <c r="U774" s="24">
        <f>R774+S774/60+T774/3600</f>
        <v>48.963333333333338</v>
      </c>
      <c r="V774" s="28">
        <f>ABS(U774-P774)/P774</f>
        <v>3.7704208032406091E-6</v>
      </c>
      <c r="W774" s="22">
        <v>2</v>
      </c>
      <c r="X774" s="22">
        <v>21</v>
      </c>
      <c r="Y774" s="22">
        <v>35</v>
      </c>
      <c r="Z774" s="14">
        <f>W774+X774/60+Y774/3600</f>
        <v>2.3597222222222225</v>
      </c>
      <c r="AA774" s="26">
        <f>ABS(Z774-Q774)/Q774</f>
        <v>2.2393231983524565E-4</v>
      </c>
      <c r="AB774" s="26"/>
      <c r="AC774" s="24">
        <f>U774</f>
        <v>48.963333333333338</v>
      </c>
      <c r="AD774" s="14">
        <f>Z774</f>
        <v>2.3597222222222225</v>
      </c>
    </row>
    <row r="775" spans="1:30" s="14" customFormat="1">
      <c r="A775" s="12">
        <v>8</v>
      </c>
      <c r="B775" s="12" t="s">
        <v>523</v>
      </c>
      <c r="C775" s="14" t="str">
        <f>VLOOKUP(B775,weights!A:B,2,FALSE)</f>
        <v>P</v>
      </c>
      <c r="D775" s="13">
        <v>773</v>
      </c>
      <c r="E775" s="14" t="s">
        <v>1236</v>
      </c>
      <c r="F775" s="14" t="s">
        <v>918</v>
      </c>
      <c r="G775" s="15"/>
      <c r="H775" s="18"/>
      <c r="I775" s="18"/>
      <c r="K775" s="14">
        <f>VLOOKUP(B775,weights!A:G,5,FALSE)</f>
        <v>1.38</v>
      </c>
      <c r="L775" s="14">
        <f>VLOOKUP(B775,weights!A:G,6,FALSE)</f>
        <v>7</v>
      </c>
      <c r="M775" s="14">
        <f>VLOOKUP(B775,weights!A:G,7,FALSE)</f>
        <v>10</v>
      </c>
      <c r="N775" t="s">
        <v>3150</v>
      </c>
      <c r="O775">
        <v>687</v>
      </c>
      <c r="P775">
        <v>48.965855574400003</v>
      </c>
      <c r="Q775">
        <v>2.3635722239699999</v>
      </c>
      <c r="R775" s="22">
        <v>48</v>
      </c>
      <c r="S775" s="22">
        <v>57</v>
      </c>
      <c r="T775" s="22">
        <v>56</v>
      </c>
      <c r="U775" s="24">
        <f>R775+S775/60+T775/3600</f>
        <v>48.965555555555561</v>
      </c>
      <c r="V775" s="28">
        <f>ABS(U775-P775)/P775</f>
        <v>6.1271030787136004E-6</v>
      </c>
      <c r="W775" s="22">
        <v>2</v>
      </c>
      <c r="X775" s="22">
        <v>21</v>
      </c>
      <c r="Y775" s="22">
        <v>48</v>
      </c>
      <c r="Z775" s="14">
        <f>W775+X775/60+Y775/3600</f>
        <v>2.3633333333333333</v>
      </c>
      <c r="AA775" s="26">
        <f>ABS(Z775-Q775)/Q775</f>
        <v>1.0107185820001924E-4</v>
      </c>
      <c r="AB775" s="26"/>
      <c r="AC775" s="24">
        <f>U775</f>
        <v>48.965555555555561</v>
      </c>
      <c r="AD775" s="14">
        <f>Z775</f>
        <v>2.3633333333333333</v>
      </c>
    </row>
    <row r="776" spans="1:30" s="14" customFormat="1">
      <c r="A776" s="12">
        <v>9</v>
      </c>
      <c r="B776" s="12" t="s">
        <v>523</v>
      </c>
      <c r="C776" s="14" t="str">
        <f>VLOOKUP(B776,weights!A:B,2,FALSE)</f>
        <v>P</v>
      </c>
      <c r="D776" s="13">
        <v>774</v>
      </c>
      <c r="E776" s="14" t="s">
        <v>1315</v>
      </c>
      <c r="F776" s="14" t="s">
        <v>919</v>
      </c>
      <c r="G776" s="15"/>
      <c r="H776" s="18"/>
      <c r="I776" s="18"/>
      <c r="K776" s="14">
        <f>VLOOKUP(B776,weights!A:G,5,FALSE)</f>
        <v>1.38</v>
      </c>
      <c r="L776" s="14">
        <f>VLOOKUP(B776,weights!A:G,6,FALSE)</f>
        <v>7</v>
      </c>
      <c r="M776" s="14">
        <f>VLOOKUP(B776,weights!A:G,7,FALSE)</f>
        <v>10</v>
      </c>
      <c r="N776" t="s">
        <v>4290</v>
      </c>
      <c r="O776">
        <v>686</v>
      </c>
      <c r="P776">
        <v>48.970883404200002</v>
      </c>
      <c r="Q776">
        <v>2.3660038891099999</v>
      </c>
      <c r="R776" s="22">
        <v>48</v>
      </c>
      <c r="S776" s="22">
        <v>58</v>
      </c>
      <c r="T776" s="22">
        <v>16</v>
      </c>
      <c r="U776" s="24">
        <f>R776+S776/60+T776/3600</f>
        <v>48.971111111111114</v>
      </c>
      <c r="V776" s="28">
        <f>ABS(U776-P776)/P776</f>
        <v>4.6498428307318514E-6</v>
      </c>
      <c r="W776" s="22">
        <v>2</v>
      </c>
      <c r="X776" s="22">
        <v>21</v>
      </c>
      <c r="Y776" s="22">
        <v>58</v>
      </c>
      <c r="Z776" s="14">
        <f>W776+X776/60+Y776/3600</f>
        <v>2.3661111111111111</v>
      </c>
      <c r="AA776" s="26">
        <f>ABS(Z776-Q776)/Q776</f>
        <v>4.5317761988743784E-5</v>
      </c>
      <c r="AB776" s="26"/>
      <c r="AC776" s="24">
        <f>U776</f>
        <v>48.971111111111114</v>
      </c>
      <c r="AD776" s="14">
        <f>Z776</f>
        <v>2.3661111111111111</v>
      </c>
    </row>
    <row r="777" spans="1:30" s="14" customFormat="1">
      <c r="A777" s="12">
        <v>10</v>
      </c>
      <c r="B777" s="12" t="s">
        <v>523</v>
      </c>
      <c r="C777" s="14" t="str">
        <f>VLOOKUP(B777,weights!A:B,2,FALSE)</f>
        <v>P</v>
      </c>
      <c r="D777" s="13">
        <v>775</v>
      </c>
      <c r="E777" s="14" t="s">
        <v>1259</v>
      </c>
      <c r="F777" s="14" t="s">
        <v>920</v>
      </c>
      <c r="G777" s="15"/>
      <c r="H777" s="18"/>
      <c r="I777" s="18"/>
      <c r="K777" s="14">
        <f>VLOOKUP(B777,weights!A:G,5,FALSE)</f>
        <v>1.38</v>
      </c>
      <c r="L777" s="14">
        <f>VLOOKUP(B777,weights!A:G,6,FALSE)</f>
        <v>7</v>
      </c>
      <c r="M777" s="14">
        <f>VLOOKUP(B777,weights!A:G,7,FALSE)</f>
        <v>10</v>
      </c>
      <c r="N777" t="s">
        <v>3489</v>
      </c>
      <c r="O777">
        <v>533</v>
      </c>
      <c r="P777">
        <v>48.973659013000002</v>
      </c>
      <c r="Q777">
        <v>2.3660517156799998</v>
      </c>
      <c r="R777" s="22">
        <v>48</v>
      </c>
      <c r="S777" s="22">
        <v>58</v>
      </c>
      <c r="T777" s="22">
        <v>26</v>
      </c>
      <c r="U777" s="24">
        <f>R777+S777/60+T777/3600</f>
        <v>48.973888888888894</v>
      </c>
      <c r="V777" s="28">
        <f>ABS(U777-P777)/P777</f>
        <v>4.6938679593086685E-6</v>
      </c>
      <c r="W777" s="22">
        <v>2</v>
      </c>
      <c r="X777" s="22">
        <v>21</v>
      </c>
      <c r="Y777" s="22">
        <v>58</v>
      </c>
      <c r="Z777" s="14">
        <f>W777+X777/60+Y777/3600</f>
        <v>2.3661111111111111</v>
      </c>
      <c r="AA777" s="26">
        <f>ABS(Z777-Q777)/Q777</f>
        <v>2.5103183805156076E-5</v>
      </c>
      <c r="AB777" s="26"/>
      <c r="AC777" s="24">
        <f>U777</f>
        <v>48.973888888888894</v>
      </c>
      <c r="AD777" s="14">
        <f>Z777</f>
        <v>2.3661111111111111</v>
      </c>
    </row>
    <row r="778" spans="1:30" s="14" customFormat="1">
      <c r="A778" s="12">
        <v>11</v>
      </c>
      <c r="B778" s="12" t="s">
        <v>523</v>
      </c>
      <c r="C778" s="14" t="str">
        <f>VLOOKUP(B778,weights!A:B,2,FALSE)</f>
        <v>P</v>
      </c>
      <c r="D778" s="13">
        <v>776</v>
      </c>
      <c r="E778" s="14" t="s">
        <v>1342</v>
      </c>
      <c r="F778" s="14" t="s">
        <v>921</v>
      </c>
      <c r="G778" s="15"/>
      <c r="H778" s="18"/>
      <c r="I778" s="18"/>
      <c r="K778" s="14">
        <f>VLOOKUP(B778,weights!A:G,5,FALSE)</f>
        <v>1.38</v>
      </c>
      <c r="L778" s="14">
        <f>VLOOKUP(B778,weights!A:G,6,FALSE)</f>
        <v>7</v>
      </c>
      <c r="M778" s="14">
        <f>VLOOKUP(B778,weights!A:G,7,FALSE)</f>
        <v>10</v>
      </c>
      <c r="N778" t="s">
        <v>3693</v>
      </c>
      <c r="O778">
        <v>532</v>
      </c>
      <c r="P778">
        <v>48.977493090000003</v>
      </c>
      <c r="Q778">
        <v>2.37224292371</v>
      </c>
      <c r="R778" s="22">
        <v>48</v>
      </c>
      <c r="S778" s="22">
        <v>58</v>
      </c>
      <c r="T778" s="22">
        <v>39</v>
      </c>
      <c r="U778" s="24">
        <f>R778+S778/60+T778/3600</f>
        <v>48.977499999999999</v>
      </c>
      <c r="V778" s="28">
        <f>ABS(U778-P778)/P778</f>
        <v>1.4108521200745571E-7</v>
      </c>
      <c r="W778" s="22">
        <v>2</v>
      </c>
      <c r="X778" s="22">
        <v>22</v>
      </c>
      <c r="Y778" s="22">
        <v>17</v>
      </c>
      <c r="Z778" s="14">
        <f>W778+X778/60+Y778/3600</f>
        <v>2.3713888888888888</v>
      </c>
      <c r="AA778" s="26">
        <f>ABS(Z778-Q778)/Q778</f>
        <v>3.6001153700380533E-4</v>
      </c>
      <c r="AB778" s="26"/>
      <c r="AC778" s="24">
        <f>U778</f>
        <v>48.977499999999999</v>
      </c>
      <c r="AD778" s="14">
        <f>Z778</f>
        <v>2.3713888888888888</v>
      </c>
    </row>
    <row r="779" spans="1:30" s="14" customFormat="1">
      <c r="A779" s="12">
        <v>12</v>
      </c>
      <c r="B779" s="12" t="s">
        <v>523</v>
      </c>
      <c r="C779" s="14" t="str">
        <f>VLOOKUP(B779,weights!A:B,2,FALSE)</f>
        <v>P</v>
      </c>
      <c r="D779" s="13">
        <v>777</v>
      </c>
      <c r="E779" s="14" t="s">
        <v>1346</v>
      </c>
      <c r="F779" s="14" t="s">
        <v>922</v>
      </c>
      <c r="G779" s="15"/>
      <c r="H779" s="18"/>
      <c r="I779" s="18"/>
      <c r="K779" s="14">
        <f>VLOOKUP(B779,weights!A:G,5,FALSE)</f>
        <v>1.38</v>
      </c>
      <c r="L779" s="14">
        <f>VLOOKUP(B779,weights!A:G,6,FALSE)</f>
        <v>7</v>
      </c>
      <c r="M779" s="14">
        <f>VLOOKUP(B779,weights!A:G,7,FALSE)</f>
        <v>10</v>
      </c>
      <c r="N779" t="s">
        <v>4572</v>
      </c>
      <c r="O779">
        <v>799</v>
      </c>
      <c r="P779">
        <v>48.976665691400001</v>
      </c>
      <c r="Q779">
        <v>2.3774196733099999</v>
      </c>
      <c r="R779" s="22">
        <v>48</v>
      </c>
      <c r="S779" s="22">
        <v>58</v>
      </c>
      <c r="T779" s="22">
        <v>36</v>
      </c>
      <c r="U779" s="24">
        <f>R779+S779/60+T779/3600</f>
        <v>48.976666666666667</v>
      </c>
      <c r="V779" s="28">
        <f>ABS(U779-P779)/P779</f>
        <v>1.9912884061836589E-8</v>
      </c>
      <c r="W779" s="22">
        <v>2</v>
      </c>
      <c r="X779" s="22">
        <v>22</v>
      </c>
      <c r="Y779" s="22">
        <v>38</v>
      </c>
      <c r="Z779" s="14">
        <f>W779+X779/60+Y779/3600</f>
        <v>2.3772222222222221</v>
      </c>
      <c r="AA779" s="26">
        <f>ABS(Z779-Q779)/Q779</f>
        <v>8.3052685226119881E-5</v>
      </c>
      <c r="AB779" s="26"/>
      <c r="AC779" s="24">
        <f>U779</f>
        <v>48.976666666666667</v>
      </c>
      <c r="AD779" s="14">
        <f>Z779</f>
        <v>2.3772222222222221</v>
      </c>
    </row>
    <row r="780" spans="1:30" s="14" customFormat="1">
      <c r="A780" s="12">
        <v>13</v>
      </c>
      <c r="B780" s="12" t="s">
        <v>523</v>
      </c>
      <c r="C780" s="14" t="str">
        <f>VLOOKUP(B780,weights!A:B,2,FALSE)</f>
        <v>P</v>
      </c>
      <c r="D780" s="13">
        <v>778</v>
      </c>
      <c r="E780" s="14" t="s">
        <v>1383</v>
      </c>
      <c r="F780" s="14" t="s">
        <v>923</v>
      </c>
      <c r="G780" s="15"/>
      <c r="H780" s="18"/>
      <c r="I780" s="18"/>
      <c r="K780" s="14">
        <f>VLOOKUP(B780,weights!A:G,5,FALSE)</f>
        <v>1.38</v>
      </c>
      <c r="L780" s="14">
        <f>VLOOKUP(B780,weights!A:G,6,FALSE)</f>
        <v>7</v>
      </c>
      <c r="M780" s="14">
        <f>VLOOKUP(B780,weights!A:G,7,FALSE)</f>
        <v>10</v>
      </c>
      <c r="N780" t="s">
        <v>5129</v>
      </c>
      <c r="O780">
        <v>685</v>
      </c>
      <c r="P780">
        <v>48.9792761263</v>
      </c>
      <c r="Q780">
        <v>2.3802042543300002</v>
      </c>
      <c r="R780" s="22">
        <v>48</v>
      </c>
      <c r="S780" s="22">
        <v>58</v>
      </c>
      <c r="T780" s="22">
        <v>45</v>
      </c>
      <c r="U780" s="24">
        <f>R780+S780/60+T780/3600</f>
        <v>48.979166666666671</v>
      </c>
      <c r="V780" s="28">
        <f>ABS(U780-P780)/P780</f>
        <v>2.2348152522019844E-6</v>
      </c>
      <c r="W780" s="22">
        <v>2</v>
      </c>
      <c r="X780" s="22">
        <v>22</v>
      </c>
      <c r="Y780" s="22">
        <v>47</v>
      </c>
      <c r="Z780" s="14">
        <f>W780+X780/60+Y780/3600</f>
        <v>2.3797222222222221</v>
      </c>
      <c r="AA780" s="26">
        <f>ABS(Z780-Q780)/Q780</f>
        <v>2.0251711881498664E-4</v>
      </c>
      <c r="AB780" s="26"/>
      <c r="AC780" s="24">
        <f>U780</f>
        <v>48.979166666666671</v>
      </c>
      <c r="AD780" s="14">
        <f>Z780</f>
        <v>2.3797222222222221</v>
      </c>
    </row>
    <row r="781" spans="1:30" s="14" customFormat="1">
      <c r="A781" s="12">
        <v>14</v>
      </c>
      <c r="B781" s="12" t="s">
        <v>523</v>
      </c>
      <c r="C781" s="14" t="str">
        <f>VLOOKUP(B781,weights!A:B,2,FALSE)</f>
        <v>P</v>
      </c>
      <c r="D781" s="13">
        <v>779</v>
      </c>
      <c r="E781" s="14" t="s">
        <v>1352</v>
      </c>
      <c r="F781" s="14" t="s">
        <v>924</v>
      </c>
      <c r="G781" s="15"/>
      <c r="H781" s="18"/>
      <c r="I781" s="18"/>
      <c r="K781" s="14">
        <f>VLOOKUP(B781,weights!A:G,5,FALSE)</f>
        <v>1.38</v>
      </c>
      <c r="L781" s="14">
        <f>VLOOKUP(B781,weights!A:G,6,FALSE)</f>
        <v>7</v>
      </c>
      <c r="M781" s="14">
        <f>VLOOKUP(B781,weights!A:G,7,FALSE)</f>
        <v>10</v>
      </c>
      <c r="N781" t="s">
        <v>4584</v>
      </c>
      <c r="O781">
        <v>798</v>
      </c>
      <c r="P781">
        <v>48.9785246243</v>
      </c>
      <c r="Q781">
        <v>2.3850491920099999</v>
      </c>
      <c r="R781" s="22">
        <v>48</v>
      </c>
      <c r="S781" s="22">
        <v>58</v>
      </c>
      <c r="T781" s="22">
        <v>42</v>
      </c>
      <c r="U781" s="24">
        <f>R781+S781/60+T781/3600</f>
        <v>48.978333333333332</v>
      </c>
      <c r="V781" s="28">
        <f>ABS(U781-P781)/P781</f>
        <v>3.905609001821236E-6</v>
      </c>
      <c r="W781" s="22">
        <v>2</v>
      </c>
      <c r="X781" s="22">
        <v>23</v>
      </c>
      <c r="Y781" s="22">
        <v>8</v>
      </c>
      <c r="Z781" s="14">
        <f>W781+X781/60+Y781/3600</f>
        <v>2.3855555555555554</v>
      </c>
      <c r="AA781" s="26">
        <f>ABS(Z781-Q781)/Q781</f>
        <v>2.1230738017978448E-4</v>
      </c>
      <c r="AB781" s="26"/>
      <c r="AC781" s="24">
        <f>U781</f>
        <v>48.978333333333332</v>
      </c>
      <c r="AD781" s="14">
        <f>Z781</f>
        <v>2.3855555555555554</v>
      </c>
    </row>
    <row r="782" spans="1:30" s="14" customFormat="1">
      <c r="A782" s="12">
        <v>15</v>
      </c>
      <c r="B782" s="12" t="s">
        <v>523</v>
      </c>
      <c r="C782" s="14" t="str">
        <f>VLOOKUP(B782,weights!A:B,2,FALSE)</f>
        <v>P</v>
      </c>
      <c r="D782" s="13">
        <v>780</v>
      </c>
      <c r="E782" s="14" t="s">
        <v>676</v>
      </c>
      <c r="F782" s="14" t="s">
        <v>925</v>
      </c>
      <c r="G782" s="15" t="s">
        <v>666</v>
      </c>
      <c r="H782" s="18"/>
      <c r="I782" s="18" t="s">
        <v>1912</v>
      </c>
      <c r="K782" s="14">
        <f>VLOOKUP(B782,weights!A:G,5,FALSE)</f>
        <v>1.38</v>
      </c>
      <c r="L782" s="14">
        <f>VLOOKUP(B782,weights!A:G,6,FALSE)</f>
        <v>7</v>
      </c>
      <c r="M782" s="14">
        <f>VLOOKUP(B782,weights!A:G,7,FALSE)</f>
        <v>10</v>
      </c>
      <c r="N782" t="s">
        <v>4119</v>
      </c>
      <c r="O782">
        <v>490</v>
      </c>
      <c r="P782">
        <v>48.976868588499997</v>
      </c>
      <c r="Q782">
        <v>2.3907639327100001</v>
      </c>
      <c r="R782" s="22">
        <v>48</v>
      </c>
      <c r="S782" s="22">
        <v>58</v>
      </c>
      <c r="T782" s="22">
        <v>36</v>
      </c>
      <c r="U782" s="24">
        <f>R782+S782/60+T782/3600</f>
        <v>48.976666666666667</v>
      </c>
      <c r="V782" s="28">
        <f>ABS(U782-P782)/P782</f>
        <v>4.1227999900680497E-6</v>
      </c>
      <c r="W782" s="22">
        <v>2</v>
      </c>
      <c r="X782" s="22">
        <v>23</v>
      </c>
      <c r="Y782" s="22">
        <v>26</v>
      </c>
      <c r="Z782" s="14">
        <f>W782+X782/60+Y782/3600</f>
        <v>2.3905555555555553</v>
      </c>
      <c r="AA782" s="26">
        <f>ABS(Z782-Q782)/Q782</f>
        <v>8.7159234583470809E-5</v>
      </c>
      <c r="AB782" s="26"/>
      <c r="AC782" s="24">
        <f>U782</f>
        <v>48.976666666666667</v>
      </c>
      <c r="AD782" s="14">
        <f>Z782</f>
        <v>2.3905555555555553</v>
      </c>
    </row>
    <row r="783" spans="1:30" s="14" customFormat="1">
      <c r="A783" s="12">
        <v>0</v>
      </c>
      <c r="B783" s="12" t="s">
        <v>521</v>
      </c>
      <c r="C783" s="14" t="str">
        <f>VLOOKUP(B783,weights!A:B,2,FALSE)</f>
        <v>P</v>
      </c>
      <c r="D783" s="13">
        <v>781</v>
      </c>
      <c r="E783" s="14" t="s">
        <v>516</v>
      </c>
      <c r="F783" s="14" t="s">
        <v>927</v>
      </c>
      <c r="G783" s="15" t="s">
        <v>72</v>
      </c>
      <c r="H783" s="18"/>
      <c r="I783" s="18" t="s">
        <v>1913</v>
      </c>
      <c r="K783" s="14">
        <f>VLOOKUP(B783,weights!A:G,5,FALSE)</f>
        <v>1.9</v>
      </c>
      <c r="L783" s="14">
        <f>VLOOKUP(B783,weights!A:G,6,FALSE)</f>
        <v>7</v>
      </c>
      <c r="M783" s="14">
        <f>VLOOKUP(B783,weights!A:G,7,FALSE)</f>
        <v>10</v>
      </c>
      <c r="N783" t="s">
        <v>3642</v>
      </c>
      <c r="O783">
        <v>483</v>
      </c>
      <c r="P783">
        <v>48.810746487700001</v>
      </c>
      <c r="Q783">
        <v>2.3016785568300002</v>
      </c>
      <c r="R783" s="22">
        <v>48</v>
      </c>
      <c r="S783" s="22">
        <v>48</v>
      </c>
      <c r="T783" s="22">
        <v>38</v>
      </c>
      <c r="U783" s="24">
        <f>R783+S783/60+T783/3600</f>
        <v>48.810555555555553</v>
      </c>
      <c r="V783" s="28">
        <f>ABS(U783-P783)/P783</f>
        <v>3.9116825327956408E-6</v>
      </c>
      <c r="W783" s="22">
        <v>2</v>
      </c>
      <c r="X783" s="22">
        <v>18</v>
      </c>
      <c r="Y783" s="22">
        <v>7</v>
      </c>
      <c r="Z783" s="14">
        <f>W783+X783/60+Y783/3600</f>
        <v>2.3019444444444441</v>
      </c>
      <c r="AA783" s="26">
        <f>ABS(Z783-Q783)/Q783</f>
        <v>1.1551900401335801E-4</v>
      </c>
      <c r="AB783" s="26"/>
      <c r="AC783" s="24">
        <f>U783</f>
        <v>48.810555555555553</v>
      </c>
      <c r="AD783" s="14">
        <f>Z783</f>
        <v>2.3019444444444441</v>
      </c>
    </row>
    <row r="784" spans="1:30" s="14" customFormat="1">
      <c r="A784" s="12">
        <v>1</v>
      </c>
      <c r="B784" s="12" t="s">
        <v>521</v>
      </c>
      <c r="C784" s="14" t="str">
        <f>VLOOKUP(B784,weights!A:B,2,FALSE)</f>
        <v>P</v>
      </c>
      <c r="D784" s="13">
        <v>782</v>
      </c>
      <c r="E784" s="14" t="s">
        <v>1429</v>
      </c>
      <c r="F784" s="14" t="s">
        <v>928</v>
      </c>
      <c r="G784" s="15"/>
      <c r="H784" s="18"/>
      <c r="I784" s="18"/>
      <c r="K784" s="14">
        <f>VLOOKUP(B784,weights!A:G,5,FALSE)</f>
        <v>1.9</v>
      </c>
      <c r="L784" s="14">
        <f>VLOOKUP(B784,weights!A:G,6,FALSE)</f>
        <v>7</v>
      </c>
      <c r="M784" s="14">
        <f>VLOOKUP(B784,weights!A:G,7,FALSE)</f>
        <v>10</v>
      </c>
      <c r="N784" t="s">
        <v>5858</v>
      </c>
      <c r="O784">
        <v>812</v>
      </c>
      <c r="P784">
        <v>48.807169846800001</v>
      </c>
      <c r="Q784">
        <v>2.2940912443200001</v>
      </c>
      <c r="R784" s="22">
        <v>48</v>
      </c>
      <c r="S784" s="22">
        <v>48</v>
      </c>
      <c r="T784" s="22">
        <v>25</v>
      </c>
      <c r="U784" s="24">
        <f>R784+S784/60+T784/3600</f>
        <v>48.80694444444444</v>
      </c>
      <c r="V784" s="28">
        <f>ABS(U784-P784)/P784</f>
        <v>4.6182222052272302E-6</v>
      </c>
      <c r="W784" s="22">
        <v>2</v>
      </c>
      <c r="X784" s="22">
        <v>17</v>
      </c>
      <c r="Y784" s="22">
        <v>37</v>
      </c>
      <c r="Z784" s="14">
        <f>W784+X784/60+Y784/3600</f>
        <v>2.2936111111111108</v>
      </c>
      <c r="AA784" s="26">
        <f>ABS(Z784-Q784)/Q784</f>
        <v>2.0929124335314155E-4</v>
      </c>
      <c r="AB784" s="26"/>
      <c r="AC784" s="24">
        <f>U784</f>
        <v>48.80694444444444</v>
      </c>
      <c r="AD784" s="14">
        <f>Z784</f>
        <v>2.2936111111111108</v>
      </c>
    </row>
    <row r="785" spans="1:30" s="14" customFormat="1">
      <c r="A785" s="12">
        <v>2</v>
      </c>
      <c r="B785" s="12" t="s">
        <v>521</v>
      </c>
      <c r="C785" s="14" t="str">
        <f>VLOOKUP(B785,weights!A:B,2,FALSE)</f>
        <v>P</v>
      </c>
      <c r="D785" s="13">
        <v>783</v>
      </c>
      <c r="E785" s="14" t="s">
        <v>1262</v>
      </c>
      <c r="F785" s="14" t="s">
        <v>929</v>
      </c>
      <c r="G785" s="15"/>
      <c r="H785" s="18"/>
      <c r="I785" s="18"/>
      <c r="K785" s="14">
        <f>VLOOKUP(B785,weights!A:G,5,FALSE)</f>
        <v>1.9</v>
      </c>
      <c r="L785" s="14">
        <f>VLOOKUP(B785,weights!A:G,6,FALSE)</f>
        <v>7</v>
      </c>
      <c r="M785" s="14">
        <f>VLOOKUP(B785,weights!A:G,7,FALSE)</f>
        <v>10</v>
      </c>
      <c r="N785" t="s">
        <v>3522</v>
      </c>
      <c r="O785">
        <v>458</v>
      </c>
      <c r="P785">
        <v>48.804204938300003</v>
      </c>
      <c r="Q785">
        <v>2.2890572535999998</v>
      </c>
      <c r="R785" s="22">
        <v>48</v>
      </c>
      <c r="S785" s="22">
        <v>48</v>
      </c>
      <c r="T785" s="22">
        <v>14</v>
      </c>
      <c r="U785" s="24">
        <f>R785+S785/60+T785/3600</f>
        <v>48.803888888888885</v>
      </c>
      <c r="V785" s="28">
        <f>ABS(U785-P785)/P785</f>
        <v>6.4758643546816068E-6</v>
      </c>
      <c r="W785" s="22">
        <v>2</v>
      </c>
      <c r="X785" s="22">
        <v>17</v>
      </c>
      <c r="Y785" s="22">
        <v>19</v>
      </c>
      <c r="Z785" s="14">
        <f>W785+X785/60+Y785/3600</f>
        <v>2.2886111111111109</v>
      </c>
      <c r="AA785" s="26">
        <f>ABS(Z785-Q785)/Q785</f>
        <v>1.949022848542597E-4</v>
      </c>
      <c r="AB785" s="26"/>
      <c r="AC785" s="24">
        <f>U785</f>
        <v>48.803888888888885</v>
      </c>
      <c r="AD785" s="14">
        <f>Z785</f>
        <v>2.2886111111111109</v>
      </c>
    </row>
    <row r="786" spans="1:30" s="14" customFormat="1">
      <c r="A786" s="12">
        <v>3</v>
      </c>
      <c r="B786" s="12" t="s">
        <v>521</v>
      </c>
      <c r="C786" s="14" t="str">
        <f>VLOOKUP(B786,weights!A:B,2,FALSE)</f>
        <v>P</v>
      </c>
      <c r="D786" s="13">
        <v>784</v>
      </c>
      <c r="E786" s="14" t="s">
        <v>1376</v>
      </c>
      <c r="F786" s="14" t="s">
        <v>930</v>
      </c>
      <c r="G786" s="15"/>
      <c r="H786" s="18"/>
      <c r="I786" s="18"/>
      <c r="K786" s="14">
        <f>VLOOKUP(B786,weights!A:G,5,FALSE)</f>
        <v>1.9</v>
      </c>
      <c r="L786" s="14">
        <f>VLOOKUP(B786,weights!A:G,6,FALSE)</f>
        <v>7</v>
      </c>
      <c r="M786" s="14">
        <f>VLOOKUP(B786,weights!A:G,7,FALSE)</f>
        <v>10</v>
      </c>
      <c r="N786" t="s">
        <v>5091</v>
      </c>
      <c r="O786">
        <v>813</v>
      </c>
      <c r="P786">
        <v>48.799887383200002</v>
      </c>
      <c r="Q786">
        <v>2.2819513201700001</v>
      </c>
      <c r="R786" s="22">
        <v>48</v>
      </c>
      <c r="S786" s="22">
        <v>48</v>
      </c>
      <c r="T786" s="22">
        <v>3</v>
      </c>
      <c r="U786" s="24">
        <f>R786+S786/60+T786/3600</f>
        <v>48.80083333333333</v>
      </c>
      <c r="V786" s="28">
        <f>ABS(U786-P786)/P786</f>
        <v>1.9384268777101036E-5</v>
      </c>
      <c r="W786" s="22">
        <v>2</v>
      </c>
      <c r="X786" s="22">
        <v>17</v>
      </c>
      <c r="Y786" s="22">
        <v>0</v>
      </c>
      <c r="Z786" s="14">
        <f>W786+X786/60+Y786/3600</f>
        <v>2.2833333333333332</v>
      </c>
      <c r="AA786" s="26">
        <f>ABS(Z786-Q786)/Q786</f>
        <v>6.0562780245028533E-4</v>
      </c>
      <c r="AB786" s="26"/>
      <c r="AC786" s="24">
        <f>U786</f>
        <v>48.80083333333333</v>
      </c>
      <c r="AD786" s="14">
        <f>Z786</f>
        <v>2.2833333333333332</v>
      </c>
    </row>
    <row r="787" spans="1:30" s="14" customFormat="1">
      <c r="A787" s="12">
        <v>4</v>
      </c>
      <c r="B787" s="12" t="s">
        <v>521</v>
      </c>
      <c r="C787" s="14" t="str">
        <f>VLOOKUP(B787,weights!A:B,2,FALSE)</f>
        <v>P</v>
      </c>
      <c r="D787" s="13">
        <v>785</v>
      </c>
      <c r="E787" s="14" t="s">
        <v>1279</v>
      </c>
      <c r="F787" s="14" t="s">
        <v>931</v>
      </c>
      <c r="G787" s="15"/>
      <c r="H787" s="18"/>
      <c r="I787" s="18"/>
      <c r="K787" s="14">
        <f>VLOOKUP(B787,weights!A:G,5,FALSE)</f>
        <v>1.9</v>
      </c>
      <c r="L787" s="14">
        <f>VLOOKUP(B787,weights!A:G,6,FALSE)</f>
        <v>7</v>
      </c>
      <c r="M787" s="14">
        <f>VLOOKUP(B787,weights!A:G,7,FALSE)</f>
        <v>10</v>
      </c>
      <c r="N787" t="s">
        <v>3865</v>
      </c>
      <c r="O787">
        <v>627</v>
      </c>
      <c r="P787">
        <v>48.794468884499999</v>
      </c>
      <c r="Q787">
        <v>2.2726503446600002</v>
      </c>
      <c r="R787" s="22">
        <v>48</v>
      </c>
      <c r="S787" s="22">
        <v>47</v>
      </c>
      <c r="T787" s="22">
        <v>39</v>
      </c>
      <c r="U787" s="24">
        <f>R787+S787/60+T787/3600</f>
        <v>48.794166666666662</v>
      </c>
      <c r="V787" s="28">
        <f>ABS(U787-P787)/P787</f>
        <v>6.1936903965918295E-6</v>
      </c>
      <c r="W787" s="22">
        <v>2</v>
      </c>
      <c r="X787" s="22">
        <v>16</v>
      </c>
      <c r="Y787" s="22">
        <v>19</v>
      </c>
      <c r="Z787" s="14">
        <f>W787+X787/60+Y787/3600</f>
        <v>2.2719444444444443</v>
      </c>
      <c r="AA787" s="26">
        <f>ABS(Z787-Q787)/Q787</f>
        <v>3.1060660836563429E-4</v>
      </c>
      <c r="AB787" s="26"/>
      <c r="AC787" s="24">
        <f>U787</f>
        <v>48.794166666666662</v>
      </c>
      <c r="AD787" s="14">
        <f>Z787</f>
        <v>2.2719444444444443</v>
      </c>
    </row>
    <row r="788" spans="1:30" s="14" customFormat="1">
      <c r="A788" s="12">
        <v>5</v>
      </c>
      <c r="B788" s="12" t="s">
        <v>521</v>
      </c>
      <c r="C788" s="14" t="str">
        <f>VLOOKUP(B788,weights!A:B,2,FALSE)</f>
        <v>P</v>
      </c>
      <c r="D788" s="13">
        <v>786</v>
      </c>
      <c r="E788" s="14" t="s">
        <v>1418</v>
      </c>
      <c r="F788" s="14" t="s">
        <v>933</v>
      </c>
      <c r="G788" s="15"/>
      <c r="H788" s="18"/>
      <c r="I788" s="18"/>
      <c r="K788" s="14">
        <f>VLOOKUP(B788,weights!A:G,5,FALSE)</f>
        <v>1.9</v>
      </c>
      <c r="L788" s="14">
        <f>VLOOKUP(B788,weights!A:G,6,FALSE)</f>
        <v>7</v>
      </c>
      <c r="M788" s="14">
        <f>VLOOKUP(B788,weights!A:G,7,FALSE)</f>
        <v>10</v>
      </c>
      <c r="N788" t="s">
        <v>5716</v>
      </c>
      <c r="O788">
        <v>814</v>
      </c>
      <c r="P788">
        <v>48.790333001900002</v>
      </c>
      <c r="Q788">
        <v>2.2633891660200001</v>
      </c>
      <c r="R788" s="22">
        <v>48</v>
      </c>
      <c r="S788" s="22">
        <v>47</v>
      </c>
      <c r="T788" s="22">
        <v>24</v>
      </c>
      <c r="U788" s="24">
        <f>R788+S788/60+T788/3600</f>
        <v>48.79</v>
      </c>
      <c r="V788" s="28">
        <f>ABS(U788-P788)/P788</f>
        <v>6.8251614513517401E-6</v>
      </c>
      <c r="W788" s="22">
        <v>2</v>
      </c>
      <c r="X788" s="22">
        <v>15</v>
      </c>
      <c r="Y788" s="22">
        <v>46</v>
      </c>
      <c r="Z788" s="14">
        <f>W788+X788/60+Y788/3600</f>
        <v>2.262777777777778</v>
      </c>
      <c r="AA788" s="26">
        <f>ABS(Z788-Q788)/Q788</f>
        <v>2.7012068953972534E-4</v>
      </c>
      <c r="AB788" s="26"/>
      <c r="AC788" s="24">
        <f>U788</f>
        <v>48.79</v>
      </c>
      <c r="AD788" s="14">
        <f>Z788</f>
        <v>2.262777777777778</v>
      </c>
    </row>
    <row r="789" spans="1:30" s="14" customFormat="1">
      <c r="A789" s="12">
        <v>6</v>
      </c>
      <c r="B789" s="12" t="s">
        <v>521</v>
      </c>
      <c r="C789" s="14" t="str">
        <f>VLOOKUP(B789,weights!A:B,2,FALSE)</f>
        <v>P</v>
      </c>
      <c r="D789" s="13">
        <v>787</v>
      </c>
      <c r="E789" s="14" t="s">
        <v>1308</v>
      </c>
      <c r="F789" s="14" t="s">
        <v>935</v>
      </c>
      <c r="G789" s="15"/>
      <c r="H789" s="18"/>
      <c r="I789" s="18"/>
      <c r="K789" s="14">
        <f>VLOOKUP(B789,weights!A:G,5,FALSE)</f>
        <v>1.9</v>
      </c>
      <c r="L789" s="14">
        <f>VLOOKUP(B789,weights!A:G,6,FALSE)</f>
        <v>7</v>
      </c>
      <c r="M789" s="14">
        <f>VLOOKUP(B789,weights!A:G,7,FALSE)</f>
        <v>10</v>
      </c>
      <c r="N789" t="s">
        <v>4230</v>
      </c>
      <c r="O789">
        <v>815</v>
      </c>
      <c r="P789">
        <v>48.786716182200003</v>
      </c>
      <c r="Q789">
        <v>2.2545021520400002</v>
      </c>
      <c r="R789" s="22">
        <v>48</v>
      </c>
      <c r="S789" s="22">
        <v>47</v>
      </c>
      <c r="T789" s="22">
        <v>13</v>
      </c>
      <c r="U789" s="24">
        <f>R789+S789/60+T789/3600</f>
        <v>48.786944444444444</v>
      </c>
      <c r="V789" s="28">
        <f>ABS(U789-P789)/P789</f>
        <v>4.678778616472056E-6</v>
      </c>
      <c r="W789" s="22">
        <v>2</v>
      </c>
      <c r="X789" s="22">
        <v>15</v>
      </c>
      <c r="Y789" s="22">
        <v>19</v>
      </c>
      <c r="Z789" s="14">
        <f>W789+X789/60+Y789/3600</f>
        <v>2.2552777777777777</v>
      </c>
      <c r="AA789" s="26">
        <f>ABS(Z789-Q789)/Q789</f>
        <v>3.440341527621668E-4</v>
      </c>
      <c r="AB789" s="26"/>
      <c r="AC789" s="24">
        <f>U789</f>
        <v>48.786944444444444</v>
      </c>
      <c r="AD789" s="14">
        <f>Z789</f>
        <v>2.2552777777777777</v>
      </c>
    </row>
    <row r="790" spans="1:30" s="14" customFormat="1">
      <c r="A790" s="12">
        <v>7</v>
      </c>
      <c r="B790" s="12" t="s">
        <v>521</v>
      </c>
      <c r="C790" s="14" t="str">
        <f>VLOOKUP(B790,weights!A:B,2,FALSE)</f>
        <v>P</v>
      </c>
      <c r="D790" s="13">
        <v>788</v>
      </c>
      <c r="E790" s="14" t="s">
        <v>1355</v>
      </c>
      <c r="F790" s="14" t="s">
        <v>936</v>
      </c>
      <c r="G790" s="15"/>
      <c r="H790" s="18"/>
      <c r="I790" s="18"/>
      <c r="K790" s="14">
        <f>VLOOKUP(B790,weights!A:G,5,FALSE)</f>
        <v>1.9</v>
      </c>
      <c r="L790" s="14">
        <f>VLOOKUP(B790,weights!A:G,6,FALSE)</f>
        <v>7</v>
      </c>
      <c r="M790" s="14">
        <f>VLOOKUP(B790,weights!A:G,7,FALSE)</f>
        <v>10</v>
      </c>
      <c r="N790" t="s">
        <v>4697</v>
      </c>
      <c r="O790">
        <v>550</v>
      </c>
      <c r="P790">
        <v>48.783687215199997</v>
      </c>
      <c r="Q790">
        <v>2.2469776491600002</v>
      </c>
      <c r="R790" s="22">
        <v>48</v>
      </c>
      <c r="S790" s="22">
        <v>47</v>
      </c>
      <c r="T790" s="22">
        <v>0</v>
      </c>
      <c r="U790" s="24">
        <f>R790+S790/60+T790/3600</f>
        <v>48.783333333333331</v>
      </c>
      <c r="V790" s="28">
        <f>ABS(U790-P790)/P790</f>
        <v>7.2541024852105708E-6</v>
      </c>
      <c r="W790" s="22">
        <v>2</v>
      </c>
      <c r="X790" s="22">
        <v>14</v>
      </c>
      <c r="Y790" s="22">
        <v>47</v>
      </c>
      <c r="Z790" s="14">
        <f>W790+X790/60+Y790/3600</f>
        <v>2.2463888888888888</v>
      </c>
      <c r="AA790" s="26">
        <f>ABS(Z790-Q790)/Q790</f>
        <v>2.6202319873165272E-4</v>
      </c>
      <c r="AB790" s="26"/>
      <c r="AC790" s="24">
        <f>U790</f>
        <v>48.783333333333331</v>
      </c>
      <c r="AD790" s="14">
        <f>Z790</f>
        <v>2.2463888888888888</v>
      </c>
    </row>
    <row r="791" spans="1:30" s="14" customFormat="1">
      <c r="A791" s="12">
        <v>8</v>
      </c>
      <c r="B791" s="12" t="s">
        <v>521</v>
      </c>
      <c r="C791" s="14" t="str">
        <f>VLOOKUP(B791,weights!A:B,2,FALSE)</f>
        <v>P</v>
      </c>
      <c r="D791" s="13">
        <v>789</v>
      </c>
      <c r="E791" s="14" t="s">
        <v>1384</v>
      </c>
      <c r="F791" s="14" t="s">
        <v>937</v>
      </c>
      <c r="G791" s="15"/>
      <c r="H791" s="18"/>
      <c r="I791" s="18"/>
      <c r="K791" s="14">
        <f>VLOOKUP(B791,weights!A:G,5,FALSE)</f>
        <v>1.9</v>
      </c>
      <c r="L791" s="14">
        <f>VLOOKUP(B791,weights!A:G,6,FALSE)</f>
        <v>7</v>
      </c>
      <c r="M791" s="14">
        <f>VLOOKUP(B791,weights!A:G,7,FALSE)</f>
        <v>10</v>
      </c>
      <c r="N791" t="s">
        <v>5132</v>
      </c>
      <c r="O791">
        <v>551</v>
      </c>
      <c r="P791">
        <v>48.7807309692</v>
      </c>
      <c r="Q791">
        <v>2.2398320176199999</v>
      </c>
      <c r="R791" s="22">
        <v>48</v>
      </c>
      <c r="S791" s="22">
        <v>46</v>
      </c>
      <c r="T791" s="22">
        <v>50</v>
      </c>
      <c r="U791" s="24">
        <f>R791+S791/60+T791/3600</f>
        <v>48.780555555555551</v>
      </c>
      <c r="V791" s="28">
        <f>ABS(U791-P791)/P791</f>
        <v>3.5959617858065191E-6</v>
      </c>
      <c r="W791" s="22">
        <v>2</v>
      </c>
      <c r="X791" s="22">
        <v>14</v>
      </c>
      <c r="Y791" s="22">
        <v>22</v>
      </c>
      <c r="Z791" s="14">
        <f>W791+X791/60+Y791/3600</f>
        <v>2.2394444444444446</v>
      </c>
      <c r="AA791" s="26">
        <f>ABS(Z791-Q791)/Q791</f>
        <v>1.7303671547976411E-4</v>
      </c>
      <c r="AB791" s="26"/>
      <c r="AC791" s="24">
        <f>U791</f>
        <v>48.780555555555551</v>
      </c>
      <c r="AD791" s="14">
        <f>Z791</f>
        <v>2.2394444444444446</v>
      </c>
    </row>
    <row r="792" spans="1:30" s="14" customFormat="1">
      <c r="A792" s="12">
        <v>9</v>
      </c>
      <c r="B792" s="12" t="s">
        <v>521</v>
      </c>
      <c r="C792" s="14" t="str">
        <f>VLOOKUP(B792,weights!A:B,2,FALSE)</f>
        <v>P</v>
      </c>
      <c r="D792" s="13">
        <v>790</v>
      </c>
      <c r="E792" s="14" t="s">
        <v>1300</v>
      </c>
      <c r="F792" s="14" t="s">
        <v>938</v>
      </c>
      <c r="G792" s="15"/>
      <c r="H792" s="18"/>
      <c r="I792" s="18"/>
      <c r="K792" s="14">
        <f>VLOOKUP(B792,weights!A:G,5,FALSE)</f>
        <v>1.9</v>
      </c>
      <c r="L792" s="14">
        <f>VLOOKUP(B792,weights!A:G,6,FALSE)</f>
        <v>7</v>
      </c>
      <c r="M792" s="14">
        <f>VLOOKUP(B792,weights!A:G,7,FALSE)</f>
        <v>10</v>
      </c>
      <c r="N792" t="s">
        <v>4148</v>
      </c>
      <c r="O792">
        <v>697</v>
      </c>
      <c r="P792">
        <v>48.7849021663</v>
      </c>
      <c r="Q792">
        <v>2.2371327049700001</v>
      </c>
      <c r="R792" s="22">
        <v>48</v>
      </c>
      <c r="S792" s="22">
        <v>47</v>
      </c>
      <c r="T792" s="22">
        <v>7</v>
      </c>
      <c r="U792" s="24">
        <f>R792+S792/60+T792/3600</f>
        <v>48.785277777777779</v>
      </c>
      <c r="V792" s="28">
        <f>ABS(U792-P792)/P792</f>
        <v>7.6993385473695921E-6</v>
      </c>
      <c r="W792" s="22">
        <v>2</v>
      </c>
      <c r="X792" s="22">
        <v>14</v>
      </c>
      <c r="Y792" s="22">
        <v>16</v>
      </c>
      <c r="Z792" s="14">
        <f>W792+X792/60+Y792/3600</f>
        <v>2.2377777777777776</v>
      </c>
      <c r="AA792" s="26">
        <f>ABS(Z792-Q792)/Q792</f>
        <v>2.8834802975456113E-4</v>
      </c>
      <c r="AB792" s="26"/>
      <c r="AC792" s="24">
        <f>U792</f>
        <v>48.785277777777779</v>
      </c>
      <c r="AD792" s="14">
        <f>Z792</f>
        <v>2.2377777777777776</v>
      </c>
    </row>
    <row r="793" spans="1:30" s="14" customFormat="1">
      <c r="A793" s="12">
        <v>10</v>
      </c>
      <c r="B793" s="12" t="s">
        <v>521</v>
      </c>
      <c r="C793" s="14" t="str">
        <f>VLOOKUP(B793,weights!A:B,2,FALSE)</f>
        <v>P</v>
      </c>
      <c r="D793" s="13">
        <v>791</v>
      </c>
      <c r="E793" s="14" t="s">
        <v>1299</v>
      </c>
      <c r="F793" s="14" t="s">
        <v>939</v>
      </c>
      <c r="G793" s="15"/>
      <c r="H793" s="18"/>
      <c r="I793" s="18"/>
      <c r="K793" s="14">
        <f>VLOOKUP(B793,weights!A:G,5,FALSE)</f>
        <v>1.9</v>
      </c>
      <c r="L793" s="14">
        <f>VLOOKUP(B793,weights!A:G,6,FALSE)</f>
        <v>7</v>
      </c>
      <c r="M793" s="14">
        <f>VLOOKUP(B793,weights!A:G,7,FALSE)</f>
        <v>10</v>
      </c>
      <c r="N793" t="s">
        <v>4145</v>
      </c>
      <c r="O793">
        <v>459</v>
      </c>
      <c r="P793">
        <v>48.783500975700001</v>
      </c>
      <c r="Q793">
        <v>2.2309835589400002</v>
      </c>
      <c r="R793" s="22">
        <v>48</v>
      </c>
      <c r="S793" s="22">
        <v>46</v>
      </c>
      <c r="T793" s="22">
        <v>57</v>
      </c>
      <c r="U793" s="24">
        <f>R793+S793/60+T793/3600</f>
        <v>48.782499999999999</v>
      </c>
      <c r="V793" s="28">
        <f>ABS(U793-P793)/P793</f>
        <v>2.0518734407778998E-5</v>
      </c>
      <c r="W793" s="22">
        <v>2</v>
      </c>
      <c r="X793" s="22">
        <v>13</v>
      </c>
      <c r="Y793" s="22">
        <v>43</v>
      </c>
      <c r="Z793" s="14">
        <f>W793+X793/60+Y793/3600</f>
        <v>2.2286111111111113</v>
      </c>
      <c r="AA793" s="26">
        <f>ABS(Z793-Q793)/Q793</f>
        <v>1.0634089253513436E-3</v>
      </c>
      <c r="AB793" s="26"/>
      <c r="AC793" s="24">
        <f>U793</f>
        <v>48.782499999999999</v>
      </c>
      <c r="AD793" s="14">
        <f>Z793</f>
        <v>2.2286111111111113</v>
      </c>
    </row>
    <row r="794" spans="1:30" s="14" customFormat="1">
      <c r="A794" s="12">
        <v>11</v>
      </c>
      <c r="B794" s="12" t="s">
        <v>521</v>
      </c>
      <c r="C794" s="14" t="str">
        <f>VLOOKUP(B794,weights!A:B,2,FALSE)</f>
        <v>P</v>
      </c>
      <c r="D794" s="13">
        <v>792</v>
      </c>
      <c r="E794" s="14" t="s">
        <v>1363</v>
      </c>
      <c r="F794" s="14" t="s">
        <v>940</v>
      </c>
      <c r="G794" s="15"/>
      <c r="H794" s="18"/>
      <c r="I794" s="18"/>
      <c r="K794" s="14">
        <f>VLOOKUP(B794,weights!A:G,5,FALSE)</f>
        <v>1.9</v>
      </c>
      <c r="L794" s="14">
        <f>VLOOKUP(B794,weights!A:G,6,FALSE)</f>
        <v>7</v>
      </c>
      <c r="M794" s="14">
        <f>VLOOKUP(B794,weights!A:G,7,FALSE)</f>
        <v>10</v>
      </c>
      <c r="N794" t="s">
        <v>4853</v>
      </c>
      <c r="O794">
        <v>552</v>
      </c>
      <c r="P794">
        <v>48.783539332799997</v>
      </c>
      <c r="Q794">
        <v>2.2252802952800002</v>
      </c>
      <c r="R794" s="22">
        <v>48</v>
      </c>
      <c r="S794" s="22">
        <v>47</v>
      </c>
      <c r="T794" s="22">
        <v>2</v>
      </c>
      <c r="U794" s="24">
        <f>R794+S794/60+T794/3600</f>
        <v>48.783888888888889</v>
      </c>
      <c r="V794" s="28">
        <f>ABS(U794-P794)/P794</f>
        <v>7.1654515779910466E-6</v>
      </c>
      <c r="W794" s="22">
        <v>2</v>
      </c>
      <c r="X794" s="22">
        <v>13</v>
      </c>
      <c r="Y794" s="22">
        <v>29</v>
      </c>
      <c r="Z794" s="14">
        <f>W794+X794/60+Y794/3600</f>
        <v>2.2247222222222223</v>
      </c>
      <c r="AA794" s="26">
        <f>ABS(Z794-Q794)/Q794</f>
        <v>2.5078775872037514E-4</v>
      </c>
      <c r="AB794" s="26"/>
      <c r="AC794" s="24">
        <f>U794</f>
        <v>48.783888888888889</v>
      </c>
      <c r="AD794" s="14">
        <f>Z794</f>
        <v>2.2247222222222223</v>
      </c>
    </row>
    <row r="795" spans="1:30" s="14" customFormat="1">
      <c r="A795" s="12">
        <v>12</v>
      </c>
      <c r="B795" s="12" t="s">
        <v>521</v>
      </c>
      <c r="C795" s="14" t="str">
        <f>VLOOKUP(B795,weights!A:B,2,FALSE)</f>
        <v>P</v>
      </c>
      <c r="D795" s="13">
        <v>793</v>
      </c>
      <c r="E795" s="14" t="s">
        <v>1430</v>
      </c>
      <c r="F795" s="14" t="s">
        <v>941</v>
      </c>
      <c r="G795" s="15"/>
      <c r="H795" s="18"/>
      <c r="I795" s="18"/>
      <c r="K795" s="14">
        <f>VLOOKUP(B795,weights!A:G,5,FALSE)</f>
        <v>1.9</v>
      </c>
      <c r="L795" s="14">
        <f>VLOOKUP(B795,weights!A:G,6,FALSE)</f>
        <v>7</v>
      </c>
      <c r="M795" s="14">
        <f>VLOOKUP(B795,weights!A:G,7,FALSE)</f>
        <v>10</v>
      </c>
      <c r="N795" t="s">
        <v>5879</v>
      </c>
      <c r="O795">
        <v>628</v>
      </c>
      <c r="P795">
        <v>48.784969763299998</v>
      </c>
      <c r="Q795">
        <v>2.2200095168599998</v>
      </c>
      <c r="R795" s="22">
        <v>48</v>
      </c>
      <c r="S795" s="22">
        <v>47</v>
      </c>
      <c r="T795" s="22">
        <v>6</v>
      </c>
      <c r="U795" s="24">
        <f>R795+S795/60+T795/3600</f>
        <v>48.784999999999997</v>
      </c>
      <c r="V795" s="28">
        <f>ABS(U795-P795)/P795</f>
        <v>6.1979540308448606E-7</v>
      </c>
      <c r="W795" s="22">
        <v>2</v>
      </c>
      <c r="X795" s="22">
        <v>13</v>
      </c>
      <c r="Y795" s="22">
        <v>8</v>
      </c>
      <c r="Z795" s="14">
        <f>W795+X795/60+Y795/3600</f>
        <v>2.2188888888888889</v>
      </c>
      <c r="AA795" s="26">
        <f>ABS(Z795-Q795)/Q795</f>
        <v>5.0478521042374841E-4</v>
      </c>
      <c r="AB795" s="26"/>
      <c r="AC795" s="24">
        <f>U795</f>
        <v>48.784999999999997</v>
      </c>
      <c r="AD795" s="14">
        <f>Z795</f>
        <v>2.2188888888888889</v>
      </c>
    </row>
    <row r="796" spans="1:30" s="14" customFormat="1">
      <c r="A796" s="12">
        <v>13</v>
      </c>
      <c r="B796" s="12" t="s">
        <v>521</v>
      </c>
      <c r="C796" s="14" t="str">
        <f>VLOOKUP(B796,weights!A:B,2,FALSE)</f>
        <v>P</v>
      </c>
      <c r="D796" s="13">
        <v>794</v>
      </c>
      <c r="E796" s="14" t="s">
        <v>1276</v>
      </c>
      <c r="F796" s="14" t="s">
        <v>942</v>
      </c>
      <c r="G796" s="15"/>
      <c r="H796" s="18"/>
      <c r="I796" s="18"/>
      <c r="K796" s="14">
        <f>VLOOKUP(B796,weights!A:G,5,FALSE)</f>
        <v>1.9</v>
      </c>
      <c r="L796" s="14">
        <f>VLOOKUP(B796,weights!A:G,6,FALSE)</f>
        <v>7</v>
      </c>
      <c r="M796" s="14">
        <f>VLOOKUP(B796,weights!A:G,7,FALSE)</f>
        <v>10</v>
      </c>
      <c r="N796" t="s">
        <v>3856</v>
      </c>
      <c r="O796">
        <v>698</v>
      </c>
      <c r="P796">
        <v>48.783624622200001</v>
      </c>
      <c r="Q796">
        <v>2.2144335020499999</v>
      </c>
      <c r="R796" s="22">
        <v>48</v>
      </c>
      <c r="S796" s="22">
        <v>47</v>
      </c>
      <c r="T796" s="22">
        <v>2</v>
      </c>
      <c r="U796" s="24">
        <f>R796+S796/60+T796/3600</f>
        <v>48.783888888888889</v>
      </c>
      <c r="V796" s="28">
        <f>ABS(U796-P796)/P796</f>
        <v>5.4171187756967128E-6</v>
      </c>
      <c r="W796" s="22">
        <v>2</v>
      </c>
      <c r="X796" s="22">
        <v>12</v>
      </c>
      <c r="Y796" s="22">
        <v>56</v>
      </c>
      <c r="Z796" s="14">
        <f>W796+X796/60+Y796/3600</f>
        <v>2.2155555555555559</v>
      </c>
      <c r="AA796" s="26">
        <f>ABS(Z796-Q796)/Q796</f>
        <v>5.0670002260953795E-4</v>
      </c>
      <c r="AB796" s="26"/>
      <c r="AC796" s="24">
        <f>U796</f>
        <v>48.783888888888889</v>
      </c>
      <c r="AD796" s="14">
        <f>Z796</f>
        <v>2.2155555555555559</v>
      </c>
    </row>
    <row r="797" spans="1:30" s="14" customFormat="1">
      <c r="A797" s="12">
        <v>14</v>
      </c>
      <c r="B797" s="12" t="s">
        <v>521</v>
      </c>
      <c r="C797" s="14" t="str">
        <f>VLOOKUP(B797,weights!A:B,2,FALSE)</f>
        <v>P</v>
      </c>
      <c r="D797" s="13">
        <v>795</v>
      </c>
      <c r="E797" s="14" t="s">
        <v>1313</v>
      </c>
      <c r="F797" s="14" t="s">
        <v>943</v>
      </c>
      <c r="G797" s="15"/>
      <c r="H797" s="18"/>
      <c r="I797" s="18"/>
      <c r="K797" s="14">
        <f>VLOOKUP(B797,weights!A:G,5,FALSE)</f>
        <v>1.9</v>
      </c>
      <c r="L797" s="14">
        <f>VLOOKUP(B797,weights!A:G,6,FALSE)</f>
        <v>7</v>
      </c>
      <c r="M797" s="14">
        <f>VLOOKUP(B797,weights!A:G,7,FALSE)</f>
        <v>10</v>
      </c>
      <c r="N797" t="s">
        <v>4261</v>
      </c>
      <c r="O797">
        <v>460</v>
      </c>
      <c r="P797">
        <v>48.781404320900002</v>
      </c>
      <c r="Q797">
        <v>2.2091292272900001</v>
      </c>
      <c r="R797" s="22">
        <v>48</v>
      </c>
      <c r="S797" s="22">
        <v>46</v>
      </c>
      <c r="T797" s="22">
        <v>51</v>
      </c>
      <c r="U797" s="24">
        <f>R797+S797/60+T797/3600</f>
        <v>48.780833333333334</v>
      </c>
      <c r="V797" s="28">
        <f>ABS(U797-P797)/P797</f>
        <v>1.1705025195913529E-5</v>
      </c>
      <c r="W797" s="22">
        <v>2</v>
      </c>
      <c r="X797" s="22">
        <v>12</v>
      </c>
      <c r="Y797" s="22">
        <v>28</v>
      </c>
      <c r="Z797" s="14">
        <f>W797+X797/60+Y797/3600</f>
        <v>2.2077777777777778</v>
      </c>
      <c r="AA797" s="26">
        <f>ABS(Z797-Q797)/Q797</f>
        <v>6.1175665756777581E-4</v>
      </c>
      <c r="AB797" s="26"/>
      <c r="AC797" s="24">
        <f>U797</f>
        <v>48.780833333333334</v>
      </c>
      <c r="AD797" s="14">
        <f>Z797</f>
        <v>2.2077777777777778</v>
      </c>
    </row>
    <row r="798" spans="1:30" s="14" customFormat="1">
      <c r="A798" s="12">
        <v>15</v>
      </c>
      <c r="B798" s="12" t="s">
        <v>521</v>
      </c>
      <c r="C798" s="14" t="str">
        <f>VLOOKUP(B798,weights!A:B,2,FALSE)</f>
        <v>P</v>
      </c>
      <c r="D798" s="13">
        <v>796</v>
      </c>
      <c r="E798" s="14" t="s">
        <v>1353</v>
      </c>
      <c r="F798" s="14" t="s">
        <v>944</v>
      </c>
      <c r="G798" s="15"/>
      <c r="H798" s="18"/>
      <c r="I798" s="18"/>
      <c r="K798" s="14">
        <f>VLOOKUP(B798,weights!A:G,5,FALSE)</f>
        <v>1.9</v>
      </c>
      <c r="L798" s="14">
        <f>VLOOKUP(B798,weights!A:G,6,FALSE)</f>
        <v>7</v>
      </c>
      <c r="M798" s="14">
        <f>VLOOKUP(B798,weights!A:G,7,FALSE)</f>
        <v>10</v>
      </c>
      <c r="N798" t="s">
        <v>4666</v>
      </c>
      <c r="O798">
        <v>553</v>
      </c>
      <c r="P798">
        <v>48.780087152</v>
      </c>
      <c r="Q798">
        <v>2.1965058124899999</v>
      </c>
      <c r="R798" s="22">
        <v>48</v>
      </c>
      <c r="S798" s="22">
        <v>46</v>
      </c>
      <c r="T798" s="22">
        <v>48</v>
      </c>
      <c r="U798" s="24">
        <f>R798+S798/60+T798/3600</f>
        <v>48.78</v>
      </c>
      <c r="V798" s="28">
        <f>ABS(U798-P798)/P798</f>
        <v>1.7866306742628848E-6</v>
      </c>
      <c r="W798" s="22">
        <v>2</v>
      </c>
      <c r="X798" s="22">
        <v>11</v>
      </c>
      <c r="Y798" s="22">
        <v>47</v>
      </c>
      <c r="Z798" s="14">
        <f>W798+X798/60+Y798/3600</f>
        <v>2.1963888888888885</v>
      </c>
      <c r="AA798" s="26">
        <f>ABS(Z798-Q798)/Q798</f>
        <v>5.323163747007213E-5</v>
      </c>
      <c r="AB798" s="26"/>
      <c r="AC798" s="24">
        <f>U798</f>
        <v>48.78</v>
      </c>
      <c r="AD798" s="14">
        <f>Z798</f>
        <v>2.1963888888888885</v>
      </c>
    </row>
    <row r="799" spans="1:30" s="14" customFormat="1">
      <c r="A799" s="12">
        <v>16</v>
      </c>
      <c r="B799" s="12" t="s">
        <v>521</v>
      </c>
      <c r="C799" s="14" t="str">
        <f>VLOOKUP(B799,weights!A:B,2,FALSE)</f>
        <v>P</v>
      </c>
      <c r="D799" s="13">
        <v>797</v>
      </c>
      <c r="E799" s="14" t="s">
        <v>1357</v>
      </c>
      <c r="F799" s="14" t="s">
        <v>945</v>
      </c>
      <c r="G799" s="15"/>
      <c r="H799" s="18"/>
      <c r="I799" s="18"/>
      <c r="K799" s="14">
        <f>VLOOKUP(B799,weights!A:G,5,FALSE)</f>
        <v>1.9</v>
      </c>
      <c r="L799" s="14">
        <f>VLOOKUP(B799,weights!A:G,6,FALSE)</f>
        <v>7</v>
      </c>
      <c r="M799" s="14">
        <f>VLOOKUP(B799,weights!A:G,7,FALSE)</f>
        <v>10</v>
      </c>
      <c r="N799" t="s">
        <v>4724</v>
      </c>
      <c r="O799">
        <v>554</v>
      </c>
      <c r="P799">
        <v>48.780454711499999</v>
      </c>
      <c r="Q799">
        <v>2.1914099192699998</v>
      </c>
      <c r="R799" s="22">
        <v>48</v>
      </c>
      <c r="S799" s="22">
        <v>46</v>
      </c>
      <c r="T799" s="22">
        <v>50</v>
      </c>
      <c r="U799" s="24">
        <f>R799+S799/60+T799/3600</f>
        <v>48.780555555555551</v>
      </c>
      <c r="V799" s="28">
        <f>ABS(U799-P799)/P799</f>
        <v>2.0673045413116115E-6</v>
      </c>
      <c r="W799" s="22">
        <v>2</v>
      </c>
      <c r="X799" s="22">
        <v>11</v>
      </c>
      <c r="Y799" s="22">
        <v>20</v>
      </c>
      <c r="Z799" s="14">
        <f>W799+X799/60+Y799/3600</f>
        <v>2.1888888888888887</v>
      </c>
      <c r="AA799" s="26">
        <f>ABS(Z799-Q799)/Q799</f>
        <v>1.150414789557483E-3</v>
      </c>
      <c r="AB799" s="26"/>
      <c r="AC799" s="24">
        <f>U799</f>
        <v>48.780555555555551</v>
      </c>
      <c r="AD799" s="14">
        <f>Z799</f>
        <v>2.1888888888888887</v>
      </c>
    </row>
    <row r="800" spans="1:30" s="14" customFormat="1">
      <c r="A800" s="12">
        <v>17</v>
      </c>
      <c r="B800" s="12" t="s">
        <v>521</v>
      </c>
      <c r="C800" s="14" t="str">
        <f>VLOOKUP(B800,weights!A:B,2,FALSE)</f>
        <v>P</v>
      </c>
      <c r="D800" s="13">
        <v>798</v>
      </c>
      <c r="E800" s="14" t="s">
        <v>1323</v>
      </c>
      <c r="F800" s="14" t="s">
        <v>946</v>
      </c>
      <c r="G800" s="15"/>
      <c r="H800" s="18"/>
      <c r="I800" s="18"/>
      <c r="K800" s="14">
        <f>VLOOKUP(B800,weights!A:G,5,FALSE)</f>
        <v>1.9</v>
      </c>
      <c r="L800" s="14">
        <f>VLOOKUP(B800,weights!A:G,6,FALSE)</f>
        <v>7</v>
      </c>
      <c r="M800" s="14">
        <f>VLOOKUP(B800,weights!A:G,7,FALSE)</f>
        <v>10</v>
      </c>
      <c r="N800" t="s">
        <v>4363</v>
      </c>
      <c r="O800">
        <v>629</v>
      </c>
      <c r="P800">
        <v>48.781986672499997</v>
      </c>
      <c r="Q800">
        <v>2.1804937509300002</v>
      </c>
      <c r="R800" s="22">
        <v>48</v>
      </c>
      <c r="S800" s="22">
        <v>46</v>
      </c>
      <c r="T800" s="22">
        <v>54</v>
      </c>
      <c r="U800" s="24">
        <f>R800+S800/60+T800/3600</f>
        <v>48.781666666666666</v>
      </c>
      <c r="V800" s="28">
        <f>ABS(U800-P800)/P800</f>
        <v>6.5599180180781994E-6</v>
      </c>
      <c r="W800" s="22">
        <v>2</v>
      </c>
      <c r="X800" s="22">
        <v>10</v>
      </c>
      <c r="Y800" s="22">
        <v>53</v>
      </c>
      <c r="Z800" s="14">
        <f>W800+X800/60+Y800/3600</f>
        <v>2.1813888888888888</v>
      </c>
      <c r="AA800" s="26">
        <f>ABS(Z800-Q800)/Q800</f>
        <v>4.1052076324770071E-4</v>
      </c>
      <c r="AB800" s="26"/>
      <c r="AC800" s="24">
        <f>U800</f>
        <v>48.781666666666666</v>
      </c>
      <c r="AD800" s="14">
        <f>Z800</f>
        <v>2.1813888888888888</v>
      </c>
    </row>
    <row r="801" spans="1:30" s="14" customFormat="1">
      <c r="A801" s="12">
        <v>18</v>
      </c>
      <c r="B801" s="12" t="s">
        <v>521</v>
      </c>
      <c r="C801" s="14" t="str">
        <f>VLOOKUP(B801,weights!A:B,2,FALSE)</f>
        <v>P</v>
      </c>
      <c r="D801" s="13">
        <v>799</v>
      </c>
      <c r="E801" s="14" t="s">
        <v>1403</v>
      </c>
      <c r="F801" s="14" t="s">
        <v>947</v>
      </c>
      <c r="G801" s="15"/>
      <c r="H801" s="18"/>
      <c r="I801" s="18"/>
      <c r="K801" s="14">
        <f>VLOOKUP(B801,weights!A:G,5,FALSE)</f>
        <v>1.9</v>
      </c>
      <c r="L801" s="14">
        <f>VLOOKUP(B801,weights!A:G,6,FALSE)</f>
        <v>7</v>
      </c>
      <c r="M801" s="14">
        <f>VLOOKUP(B801,weights!A:G,7,FALSE)</f>
        <v>10</v>
      </c>
      <c r="N801" t="s">
        <v>5456</v>
      </c>
      <c r="O801">
        <v>555</v>
      </c>
      <c r="P801">
        <v>48.785121413299997</v>
      </c>
      <c r="Q801">
        <v>2.17879859027</v>
      </c>
      <c r="R801" s="22">
        <v>48</v>
      </c>
      <c r="S801" s="22">
        <v>47</v>
      </c>
      <c r="T801" s="22">
        <v>11</v>
      </c>
      <c r="U801" s="24">
        <f>R801+S801/60+T801/3600</f>
        <v>48.786388888888887</v>
      </c>
      <c r="V801" s="28">
        <f>ABS(U801-P801)/P801</f>
        <v>2.5980781684474116E-5</v>
      </c>
      <c r="W801" s="22">
        <v>2</v>
      </c>
      <c r="X801" s="22">
        <v>10</v>
      </c>
      <c r="Y801" s="22">
        <v>46</v>
      </c>
      <c r="Z801" s="14">
        <f>W801+X801/60+Y801/3600</f>
        <v>2.1794444444444445</v>
      </c>
      <c r="AA801" s="26">
        <f>ABS(Z801-Q801)/Q801</f>
        <v>2.9642674514695756E-4</v>
      </c>
      <c r="AB801" s="26"/>
      <c r="AC801" s="24">
        <f>U801</f>
        <v>48.786388888888887</v>
      </c>
      <c r="AD801" s="14">
        <f>Z801</f>
        <v>2.1794444444444445</v>
      </c>
    </row>
    <row r="802" spans="1:30" s="14" customFormat="1">
      <c r="A802" s="12">
        <v>19</v>
      </c>
      <c r="B802" s="12" t="s">
        <v>521</v>
      </c>
      <c r="C802" s="14" t="str">
        <f>VLOOKUP(B802,weights!A:B,2,FALSE)</f>
        <v>P</v>
      </c>
      <c r="D802" s="13">
        <v>800</v>
      </c>
      <c r="E802" s="14" t="s">
        <v>595</v>
      </c>
      <c r="F802" s="14" t="s">
        <v>948</v>
      </c>
      <c r="G802" s="15" t="s">
        <v>950</v>
      </c>
      <c r="H802" s="18"/>
      <c r="I802" s="18" t="s">
        <v>1914</v>
      </c>
      <c r="K802" s="14">
        <f>VLOOKUP(B802,weights!A:G,5,FALSE)</f>
        <v>1.9</v>
      </c>
      <c r="L802" s="14">
        <f>VLOOKUP(B802,weights!A:G,6,FALSE)</f>
        <v>7</v>
      </c>
      <c r="M802" s="14">
        <f>VLOOKUP(B802,weights!A:G,7,FALSE)</f>
        <v>10</v>
      </c>
      <c r="N802" t="s">
        <v>5987</v>
      </c>
      <c r="O802">
        <v>571</v>
      </c>
      <c r="P802">
        <v>48.800718463899997</v>
      </c>
      <c r="Q802">
        <v>2.1713898141199999</v>
      </c>
      <c r="R802" s="22">
        <v>48</v>
      </c>
      <c r="S802" s="22">
        <v>48</v>
      </c>
      <c r="T802" s="22">
        <v>2</v>
      </c>
      <c r="U802" s="24">
        <f>R802+S802/60+T802/3600</f>
        <v>48.800555555555555</v>
      </c>
      <c r="V802" s="28">
        <f>ABS(U802-P802)/P802</f>
        <v>3.3382365991861287E-6</v>
      </c>
      <c r="W802" s="22">
        <v>2</v>
      </c>
      <c r="X802" s="22">
        <v>10</v>
      </c>
      <c r="Y802" s="22">
        <v>17</v>
      </c>
      <c r="Z802" s="14">
        <f>W802+X802/60+Y802/3600</f>
        <v>2.1713888888888886</v>
      </c>
      <c r="AA802" s="26">
        <f>ABS(Z802-Q802)/Q802</f>
        <v>4.2610088030494938E-7</v>
      </c>
      <c r="AB802" s="26"/>
      <c r="AC802" s="24">
        <f>U802</f>
        <v>48.800555555555555</v>
      </c>
      <c r="AD802" s="14">
        <f>Z802</f>
        <v>2.1713888888888886</v>
      </c>
    </row>
    <row r="803" spans="1:30" s="14" customFormat="1">
      <c r="A803" s="12">
        <v>20</v>
      </c>
      <c r="B803" s="12" t="s">
        <v>521</v>
      </c>
      <c r="C803" s="14" t="str">
        <f>VLOOKUP(B803,weights!A:B,2,FALSE)</f>
        <v>P</v>
      </c>
      <c r="D803" s="13">
        <v>801</v>
      </c>
      <c r="E803" s="14" t="s">
        <v>1103</v>
      </c>
      <c r="F803" s="14" t="s">
        <v>949</v>
      </c>
      <c r="G803" s="15" t="s">
        <v>545</v>
      </c>
      <c r="H803" s="18"/>
      <c r="I803" s="18" t="s">
        <v>1915</v>
      </c>
      <c r="K803" s="14">
        <f>VLOOKUP(B803,weights!A:G,5,FALSE)</f>
        <v>1.9</v>
      </c>
      <c r="L803" s="14">
        <f>VLOOKUP(B803,weights!A:G,6,FALSE)</f>
        <v>7</v>
      </c>
      <c r="M803" s="14">
        <f>VLOOKUP(B803,weights!A:G,7,FALSE)</f>
        <v>10</v>
      </c>
      <c r="N803" t="s">
        <v>5983</v>
      </c>
      <c r="O803">
        <v>750</v>
      </c>
      <c r="P803">
        <v>48.805493033799998</v>
      </c>
      <c r="Q803">
        <v>2.16852039696</v>
      </c>
      <c r="R803" s="22">
        <v>48</v>
      </c>
      <c r="S803" s="22">
        <v>48</v>
      </c>
      <c r="T803" s="22">
        <v>20</v>
      </c>
      <c r="U803" s="24">
        <f>R803+S803/60+T803/3600</f>
        <v>48.80555555555555</v>
      </c>
      <c r="V803" s="28">
        <f>ABS(U803-P803)/P803</f>
        <v>1.2810393188534302E-6</v>
      </c>
      <c r="W803" s="22">
        <v>2</v>
      </c>
      <c r="X803" s="22">
        <v>10</v>
      </c>
      <c r="Y803" s="22">
        <v>6</v>
      </c>
      <c r="Z803" s="14">
        <f>W803+X803/60+Y803/3600</f>
        <v>2.168333333333333</v>
      </c>
      <c r="AA803" s="26">
        <f>ABS(Z803-Q803)/Q803</f>
        <v>8.6263254396510948E-5</v>
      </c>
      <c r="AB803" s="26"/>
      <c r="AC803" s="24">
        <f>U803</f>
        <v>48.80555555555555</v>
      </c>
      <c r="AD803" s="14">
        <f>Z803</f>
        <v>2.168333333333333</v>
      </c>
    </row>
    <row r="804" spans="1:30" s="14" customFormat="1">
      <c r="A804" s="12">
        <v>0</v>
      </c>
      <c r="B804" s="12" t="s">
        <v>317</v>
      </c>
      <c r="C804" s="14" t="str">
        <f>VLOOKUP(B804,weights!A:B,2,FALSE)</f>
        <v>P</v>
      </c>
      <c r="D804" s="13">
        <v>802</v>
      </c>
      <c r="E804" s="14" t="s">
        <v>302</v>
      </c>
      <c r="F804" s="14" t="s">
        <v>951</v>
      </c>
      <c r="G804" s="15" t="s">
        <v>74</v>
      </c>
      <c r="H804" s="18"/>
      <c r="I804" s="18" t="s">
        <v>1916</v>
      </c>
      <c r="K804" s="14">
        <f>VLOOKUP(B804,weights!A:G,5,FALSE)</f>
        <v>1.72</v>
      </c>
      <c r="L804" s="14">
        <f>VLOOKUP(B804,weights!A:G,6,FALSE)</f>
        <v>7</v>
      </c>
      <c r="M804" s="14">
        <f>VLOOKUP(B804,weights!A:G,7,FALSE)</f>
        <v>10</v>
      </c>
      <c r="N804" t="s">
        <v>5927</v>
      </c>
      <c r="O804">
        <v>823</v>
      </c>
      <c r="P804">
        <v>48.787562792099997</v>
      </c>
      <c r="Q804">
        <v>2.36780410698</v>
      </c>
      <c r="R804" s="22">
        <v>48</v>
      </c>
      <c r="S804" s="22">
        <v>47</v>
      </c>
      <c r="T804" s="22">
        <v>14</v>
      </c>
      <c r="U804" s="24">
        <f>R804+S804/60+T804/3600</f>
        <v>48.787222222222219</v>
      </c>
      <c r="V804" s="28">
        <f>ABS(U804-P804)/P804</f>
        <v>6.9806700373533436E-6</v>
      </c>
      <c r="W804" s="22">
        <v>2</v>
      </c>
      <c r="X804" s="22">
        <v>22</v>
      </c>
      <c r="Y804" s="22">
        <v>3</v>
      </c>
      <c r="Z804" s="14">
        <f>W804+X804/60+Y804/3600</f>
        <v>2.3675000000000002</v>
      </c>
      <c r="AA804" s="26">
        <f>ABS(Z804-Q804)/Q804</f>
        <v>1.2843418047268315E-4</v>
      </c>
      <c r="AB804" s="26"/>
      <c r="AC804" s="24">
        <f>U804</f>
        <v>48.787222222222219</v>
      </c>
      <c r="AD804" s="14">
        <f>Z804</f>
        <v>2.3675000000000002</v>
      </c>
    </row>
    <row r="805" spans="1:30" s="14" customFormat="1">
      <c r="A805" s="12">
        <v>1</v>
      </c>
      <c r="B805" s="12" t="s">
        <v>317</v>
      </c>
      <c r="C805" s="14" t="str">
        <f>VLOOKUP(B805,weights!A:B,2,FALSE)</f>
        <v>P</v>
      </c>
      <c r="D805" s="13">
        <v>803</v>
      </c>
      <c r="E805" s="14" t="s">
        <v>1333</v>
      </c>
      <c r="F805" s="14" t="s">
        <v>952</v>
      </c>
      <c r="G805" s="15"/>
      <c r="H805" s="18"/>
      <c r="I805" s="18"/>
      <c r="K805" s="14">
        <f>VLOOKUP(B805,weights!A:G,5,FALSE)</f>
        <v>1.72</v>
      </c>
      <c r="L805" s="14">
        <f>VLOOKUP(B805,weights!A:G,6,FALSE)</f>
        <v>7</v>
      </c>
      <c r="M805" s="14">
        <f>VLOOKUP(B805,weights!A:G,7,FALSE)</f>
        <v>10</v>
      </c>
      <c r="N805" t="s">
        <v>4463</v>
      </c>
      <c r="O805">
        <v>443</v>
      </c>
      <c r="P805">
        <v>48.783107550399997</v>
      </c>
      <c r="Q805">
        <v>2.3671578333199998</v>
      </c>
      <c r="R805" s="22">
        <v>48</v>
      </c>
      <c r="S805" s="22">
        <v>46</v>
      </c>
      <c r="T805" s="22">
        <v>57</v>
      </c>
      <c r="U805" s="24">
        <f>R805+S805/60+T805/3600</f>
        <v>48.782499999999999</v>
      </c>
      <c r="V805" s="28">
        <f>ABS(U805-P805)/P805</f>
        <v>1.2454114354448609E-5</v>
      </c>
      <c r="W805" s="22">
        <v>2</v>
      </c>
      <c r="X805" s="22">
        <v>22</v>
      </c>
      <c r="Y805" s="22">
        <v>2</v>
      </c>
      <c r="Z805" s="14">
        <f>W805+X805/60+Y805/3600</f>
        <v>2.3672222222222223</v>
      </c>
      <c r="AA805" s="26">
        <f>ABS(Z805-Q805)/Q805</f>
        <v>2.7200933252592888E-5</v>
      </c>
      <c r="AB805" s="26"/>
      <c r="AC805" s="24">
        <f>U805</f>
        <v>48.782499999999999</v>
      </c>
      <c r="AD805" s="14">
        <f>Z805</f>
        <v>2.3672222222222223</v>
      </c>
    </row>
    <row r="806" spans="1:30" s="14" customFormat="1">
      <c r="A806" s="12">
        <v>2</v>
      </c>
      <c r="B806" s="12" t="s">
        <v>317</v>
      </c>
      <c r="C806" s="14" t="str">
        <f>VLOOKUP(B806,weights!A:B,2,FALSE)</f>
        <v>P</v>
      </c>
      <c r="D806" s="13">
        <v>804</v>
      </c>
      <c r="E806" s="14" t="s">
        <v>1280</v>
      </c>
      <c r="F806" s="14" t="s">
        <v>953</v>
      </c>
      <c r="G806" s="15"/>
      <c r="H806" s="18"/>
      <c r="I806" s="18"/>
      <c r="K806" s="14">
        <f>VLOOKUP(B806,weights!A:G,5,FALSE)</f>
        <v>1.72</v>
      </c>
      <c r="L806" s="14">
        <f>VLOOKUP(B806,weights!A:G,6,FALSE)</f>
        <v>7</v>
      </c>
      <c r="M806" s="14">
        <f>VLOOKUP(B806,weights!A:G,7,FALSE)</f>
        <v>10</v>
      </c>
      <c r="N806" t="s">
        <v>3868</v>
      </c>
      <c r="O806">
        <v>537</v>
      </c>
      <c r="P806">
        <v>48.778936393099997</v>
      </c>
      <c r="Q806">
        <v>2.3674058644999998</v>
      </c>
      <c r="R806" s="22">
        <v>48</v>
      </c>
      <c r="S806" s="22">
        <v>46</v>
      </c>
      <c r="T806" s="22">
        <v>44</v>
      </c>
      <c r="U806" s="24">
        <f>R806+S806/60+T806/3600</f>
        <v>48.778888888888886</v>
      </c>
      <c r="V806" s="28">
        <f>ABS(U806-P806)/P806</f>
        <v>9.738673005848723E-7</v>
      </c>
      <c r="W806" s="22">
        <v>2</v>
      </c>
      <c r="X806" s="22">
        <v>22</v>
      </c>
      <c r="Y806" s="22">
        <v>2</v>
      </c>
      <c r="Z806" s="14">
        <f>W806+X806/60+Y806/3600</f>
        <v>2.3672222222222223</v>
      </c>
      <c r="AA806" s="26">
        <f>ABS(Z806-Q806)/Q806</f>
        <v>7.7571100304863502E-5</v>
      </c>
      <c r="AB806" s="26"/>
      <c r="AC806" s="24">
        <f>U806</f>
        <v>48.778888888888886</v>
      </c>
      <c r="AD806" s="14">
        <f>Z806</f>
        <v>2.3672222222222223</v>
      </c>
    </row>
    <row r="807" spans="1:30" s="14" customFormat="1">
      <c r="A807" s="12">
        <v>3</v>
      </c>
      <c r="B807" s="12" t="s">
        <v>317</v>
      </c>
      <c r="C807" s="14" t="str">
        <f>VLOOKUP(B807,weights!A:B,2,FALSE)</f>
        <v>P</v>
      </c>
      <c r="D807" s="13">
        <v>805</v>
      </c>
      <c r="E807" s="14" t="s">
        <v>1367</v>
      </c>
      <c r="F807" s="14" t="s">
        <v>954</v>
      </c>
      <c r="G807" s="15"/>
      <c r="H807" s="18"/>
      <c r="I807" s="18"/>
      <c r="K807" s="14">
        <f>VLOOKUP(B807,weights!A:G,5,FALSE)</f>
        <v>1.72</v>
      </c>
      <c r="L807" s="14">
        <f>VLOOKUP(B807,weights!A:G,6,FALSE)</f>
        <v>7</v>
      </c>
      <c r="M807" s="14">
        <f>VLOOKUP(B807,weights!A:G,7,FALSE)</f>
        <v>10</v>
      </c>
      <c r="N807" t="s">
        <v>4944</v>
      </c>
      <c r="O807">
        <v>538</v>
      </c>
      <c r="P807">
        <v>48.772074216599997</v>
      </c>
      <c r="Q807">
        <v>2.3678150016299999</v>
      </c>
      <c r="R807" s="22">
        <v>48</v>
      </c>
      <c r="S807" s="22">
        <v>46</v>
      </c>
      <c r="T807" s="22">
        <v>20</v>
      </c>
      <c r="U807" s="24">
        <f>R807+S807/60+T807/3600</f>
        <v>48.772222222222219</v>
      </c>
      <c r="V807" s="28">
        <f>ABS(U807-P807)/P807</f>
        <v>3.0346386656584573E-6</v>
      </c>
      <c r="W807" s="22">
        <v>2</v>
      </c>
      <c r="X807" s="22">
        <v>22</v>
      </c>
      <c r="Y807" s="22">
        <v>4</v>
      </c>
      <c r="Z807" s="14">
        <f>W807+X807/60+Y807/3600</f>
        <v>2.367777777777778</v>
      </c>
      <c r="AA807" s="26">
        <f>ABS(Z807-Q807)/Q807</f>
        <v>1.5720760361899036E-5</v>
      </c>
      <c r="AB807" s="26"/>
      <c r="AC807" s="24">
        <f>U807</f>
        <v>48.772222222222219</v>
      </c>
      <c r="AD807" s="14">
        <f>Z807</f>
        <v>2.367777777777778</v>
      </c>
    </row>
    <row r="808" spans="1:30" s="14" customFormat="1">
      <c r="A808" s="12">
        <v>4</v>
      </c>
      <c r="B808" s="12" t="s">
        <v>317</v>
      </c>
      <c r="C808" s="14" t="str">
        <f>VLOOKUP(B808,weights!A:B,2,FALSE)</f>
        <v>P</v>
      </c>
      <c r="D808" s="13">
        <v>806</v>
      </c>
      <c r="E808" s="14" t="s">
        <v>1254</v>
      </c>
      <c r="F808" s="14" t="s">
        <v>955</v>
      </c>
      <c r="G808" s="15"/>
      <c r="H808" s="18"/>
      <c r="I808" s="18"/>
      <c r="K808" s="14">
        <f>VLOOKUP(B808,weights!A:G,5,FALSE)</f>
        <v>1.72</v>
      </c>
      <c r="L808" s="14">
        <f>VLOOKUP(B808,weights!A:G,6,FALSE)</f>
        <v>7</v>
      </c>
      <c r="M808" s="14">
        <f>VLOOKUP(B808,weights!A:G,7,FALSE)</f>
        <v>10</v>
      </c>
      <c r="N808" t="s">
        <v>3444</v>
      </c>
      <c r="O808">
        <v>692</v>
      </c>
      <c r="P808">
        <v>48.768221780399998</v>
      </c>
      <c r="Q808">
        <v>2.3680415206699998</v>
      </c>
      <c r="R808" s="22">
        <v>48</v>
      </c>
      <c r="S808" s="22">
        <v>46</v>
      </c>
      <c r="T808" s="22">
        <v>6</v>
      </c>
      <c r="U808" s="24">
        <f>R808+S808/60+T808/3600</f>
        <v>48.768333333333331</v>
      </c>
      <c r="V808" s="28">
        <f>ABS(U808-P808)/P808</f>
        <v>2.2874103106656131E-6</v>
      </c>
      <c r="W808" s="22">
        <v>2</v>
      </c>
      <c r="X808" s="22">
        <v>22</v>
      </c>
      <c r="Y808" s="22">
        <v>5</v>
      </c>
      <c r="Z808" s="14">
        <f>W808+X808/60+Y808/3600</f>
        <v>2.3680555555555558</v>
      </c>
      <c r="AA808" s="26">
        <f>ABS(Z808-Q808)/Q808</f>
        <v>5.9267903174210602E-6</v>
      </c>
      <c r="AB808" s="26"/>
      <c r="AC808" s="24">
        <f>U808</f>
        <v>48.768333333333331</v>
      </c>
      <c r="AD808" s="14">
        <f>Z808</f>
        <v>2.3680555555555558</v>
      </c>
    </row>
    <row r="809" spans="1:30" s="14" customFormat="1">
      <c r="A809" s="12">
        <v>5</v>
      </c>
      <c r="B809" s="12" t="s">
        <v>317</v>
      </c>
      <c r="C809" s="14" t="str">
        <f>VLOOKUP(B809,weights!A:B,2,FALSE)</f>
        <v>P</v>
      </c>
      <c r="D809" s="13">
        <v>807</v>
      </c>
      <c r="E809" s="14" t="s">
        <v>1245</v>
      </c>
      <c r="F809" s="14" t="s">
        <v>956</v>
      </c>
      <c r="G809" s="15"/>
      <c r="H809" s="18"/>
      <c r="I809" s="18"/>
      <c r="K809" s="14">
        <f>VLOOKUP(B809,weights!A:G,5,FALSE)</f>
        <v>1.72</v>
      </c>
      <c r="L809" s="14">
        <f>VLOOKUP(B809,weights!A:G,6,FALSE)</f>
        <v>7</v>
      </c>
      <c r="M809" s="14">
        <f>VLOOKUP(B809,weights!A:G,7,FALSE)</f>
        <v>10</v>
      </c>
      <c r="N809" t="s">
        <v>3226</v>
      </c>
      <c r="O809">
        <v>539</v>
      </c>
      <c r="P809">
        <v>48.763375152999998</v>
      </c>
      <c r="Q809">
        <v>2.3677905357300002</v>
      </c>
      <c r="R809" s="22">
        <v>48</v>
      </c>
      <c r="S809" s="22">
        <v>45</v>
      </c>
      <c r="T809" s="22">
        <v>49</v>
      </c>
      <c r="U809" s="24">
        <f>R809+S809/60+T809/3600</f>
        <v>48.763611111111111</v>
      </c>
      <c r="V809" s="28">
        <f>ABS(U809-P809)/P809</f>
        <v>4.8388387877555393E-6</v>
      </c>
      <c r="W809" s="22">
        <v>2</v>
      </c>
      <c r="X809" s="22">
        <v>22</v>
      </c>
      <c r="Y809" s="22">
        <v>5</v>
      </c>
      <c r="Z809" s="14">
        <f>W809+X809/60+Y809/3600</f>
        <v>2.3680555555555558</v>
      </c>
      <c r="AA809" s="26">
        <f>ABS(Z809-Q809)/Q809</f>
        <v>1.1192705670389656E-4</v>
      </c>
      <c r="AB809" s="26"/>
      <c r="AC809" s="24">
        <f>U809</f>
        <v>48.763611111111111</v>
      </c>
      <c r="AD809" s="14">
        <f>Z809</f>
        <v>2.3680555555555558</v>
      </c>
    </row>
    <row r="810" spans="1:30" s="14" customFormat="1">
      <c r="A810" s="12">
        <v>6</v>
      </c>
      <c r="B810" s="12" t="s">
        <v>317</v>
      </c>
      <c r="C810" s="14" t="str">
        <f>VLOOKUP(B810,weights!A:B,2,FALSE)</f>
        <v>P</v>
      </c>
      <c r="D810" s="13">
        <v>808</v>
      </c>
      <c r="E810" s="14" t="s">
        <v>1399</v>
      </c>
      <c r="F810" s="14" t="s">
        <v>957</v>
      </c>
      <c r="G810" s="15"/>
      <c r="H810" s="18"/>
      <c r="I810" s="18"/>
      <c r="K810" s="14">
        <f>VLOOKUP(B810,weights!A:G,5,FALSE)</f>
        <v>1.72</v>
      </c>
      <c r="L810" s="14">
        <f>VLOOKUP(B810,weights!A:G,6,FALSE)</f>
        <v>7</v>
      </c>
      <c r="M810" s="14">
        <f>VLOOKUP(B810,weights!A:G,7,FALSE)</f>
        <v>10</v>
      </c>
      <c r="N810" t="s">
        <v>5352</v>
      </c>
      <c r="O810">
        <v>540</v>
      </c>
      <c r="P810">
        <v>48.759573535299999</v>
      </c>
      <c r="Q810">
        <v>2.3663980000399998</v>
      </c>
      <c r="R810" s="22">
        <v>48</v>
      </c>
      <c r="S810" s="22">
        <v>45</v>
      </c>
      <c r="T810" s="22">
        <v>35</v>
      </c>
      <c r="U810" s="24">
        <f>R810+S810/60+T810/3600</f>
        <v>48.759722222222223</v>
      </c>
      <c r="V810" s="28">
        <f>ABS(U810-P810)/P810</f>
        <v>3.0493893084548573E-6</v>
      </c>
      <c r="W810" s="22">
        <v>2</v>
      </c>
      <c r="X810" s="22">
        <v>21</v>
      </c>
      <c r="Y810" s="22">
        <v>59</v>
      </c>
      <c r="Z810" s="14">
        <f>W810+X810/60+Y810/3600</f>
        <v>2.3663888888888889</v>
      </c>
      <c r="AA810" s="26">
        <f>ABS(Z810-Q810)/Q810</f>
        <v>3.850219240699852E-6</v>
      </c>
      <c r="AB810" s="26"/>
      <c r="AC810" s="24">
        <f>U810</f>
        <v>48.759722222222223</v>
      </c>
      <c r="AD810" s="14">
        <f>Z810</f>
        <v>2.3663888888888889</v>
      </c>
    </row>
    <row r="811" spans="1:30" s="14" customFormat="1">
      <c r="A811" s="12">
        <v>7</v>
      </c>
      <c r="B811" s="12" t="s">
        <v>317</v>
      </c>
      <c r="C811" s="14" t="str">
        <f>VLOOKUP(B811,weights!A:B,2,FALSE)</f>
        <v>P</v>
      </c>
      <c r="D811" s="13">
        <v>809</v>
      </c>
      <c r="E811" s="14" t="s">
        <v>1324</v>
      </c>
      <c r="F811" s="14" t="s">
        <v>958</v>
      </c>
      <c r="G811" s="15"/>
      <c r="H811" s="18"/>
      <c r="I811" s="18"/>
      <c r="K811" s="14">
        <f>VLOOKUP(B811,weights!A:G,5,FALSE)</f>
        <v>1.72</v>
      </c>
      <c r="L811" s="14">
        <f>VLOOKUP(B811,weights!A:G,6,FALSE)</f>
        <v>7</v>
      </c>
      <c r="M811" s="14">
        <f>VLOOKUP(B811,weights!A:G,7,FALSE)</f>
        <v>10</v>
      </c>
      <c r="N811" t="s">
        <v>4369</v>
      </c>
      <c r="O811">
        <v>693</v>
      </c>
      <c r="P811">
        <v>48.756739433500002</v>
      </c>
      <c r="Q811">
        <v>2.3683646986300002</v>
      </c>
      <c r="R811" s="22">
        <v>48</v>
      </c>
      <c r="S811" s="22">
        <v>45</v>
      </c>
      <c r="T811" s="22">
        <v>24</v>
      </c>
      <c r="U811" s="24">
        <f>R811+S811/60+T811/3600</f>
        <v>48.756666666666668</v>
      </c>
      <c r="V811" s="28">
        <f>ABS(U811-P811)/P811</f>
        <v>1.4924466684910809E-6</v>
      </c>
      <c r="W811" s="22">
        <v>2</v>
      </c>
      <c r="X811" s="22">
        <v>22</v>
      </c>
      <c r="Y811" s="22">
        <v>7</v>
      </c>
      <c r="Z811" s="14">
        <f>W811+X811/60+Y811/3600</f>
        <v>2.368611111111111</v>
      </c>
      <c r="AA811" s="26">
        <f>ABS(Z811-Q811)/Q811</f>
        <v>1.0404330095501372E-4</v>
      </c>
      <c r="AB811" s="26"/>
      <c r="AC811" s="24">
        <f>U811</f>
        <v>48.756666666666668</v>
      </c>
      <c r="AD811" s="14">
        <f>Z811</f>
        <v>2.368611111111111</v>
      </c>
    </row>
    <row r="812" spans="1:30" s="14" customFormat="1">
      <c r="A812" s="12">
        <v>8</v>
      </c>
      <c r="B812" s="12" t="s">
        <v>317</v>
      </c>
      <c r="C812" s="14" t="str">
        <f>VLOOKUP(B812,weights!A:B,2,FALSE)</f>
        <v>P</v>
      </c>
      <c r="D812" s="13">
        <v>810</v>
      </c>
      <c r="E812" s="14" t="s">
        <v>1388</v>
      </c>
      <c r="F812" s="14" t="s">
        <v>959</v>
      </c>
      <c r="G812" s="15"/>
      <c r="H812" s="18"/>
      <c r="I812" s="18"/>
      <c r="K812" s="14">
        <f>VLOOKUP(B812,weights!A:G,5,FALSE)</f>
        <v>1.72</v>
      </c>
      <c r="L812" s="14">
        <f>VLOOKUP(B812,weights!A:G,6,FALSE)</f>
        <v>7</v>
      </c>
      <c r="M812" s="14">
        <f>VLOOKUP(B812,weights!A:G,7,FALSE)</f>
        <v>10</v>
      </c>
      <c r="N812" t="s">
        <v>5196</v>
      </c>
      <c r="O812">
        <v>541</v>
      </c>
      <c r="P812">
        <v>48.752811359699997</v>
      </c>
      <c r="Q812">
        <v>2.3619521525799998</v>
      </c>
      <c r="R812" s="22">
        <v>48</v>
      </c>
      <c r="S812" s="22">
        <v>45</v>
      </c>
      <c r="T812" s="22">
        <v>11</v>
      </c>
      <c r="U812" s="24">
        <f>R812+S812/60+T812/3600</f>
        <v>48.753055555555555</v>
      </c>
      <c r="V812" s="28">
        <f>ABS(U812-P812)/P812</f>
        <v>5.0088568996815194E-6</v>
      </c>
      <c r="W812" s="22">
        <v>2</v>
      </c>
      <c r="X812" s="22">
        <v>21</v>
      </c>
      <c r="Y812" s="22">
        <v>43</v>
      </c>
      <c r="Z812" s="14">
        <f>W812+X812/60+Y812/3600</f>
        <v>2.3619444444444446</v>
      </c>
      <c r="AA812" s="26">
        <f>ABS(Z812-Q812)/Q812</f>
        <v>3.2634596542328902E-6</v>
      </c>
      <c r="AB812" s="26"/>
      <c r="AC812" s="24">
        <f>U812</f>
        <v>48.753055555555555</v>
      </c>
      <c r="AD812" s="14">
        <f>Z812</f>
        <v>2.3619444444444446</v>
      </c>
    </row>
    <row r="813" spans="1:30" s="14" customFormat="1">
      <c r="A813" s="12">
        <v>9</v>
      </c>
      <c r="B813" s="12" t="s">
        <v>317</v>
      </c>
      <c r="C813" s="14" t="str">
        <f>VLOOKUP(B813,weights!A:B,2,FALSE)</f>
        <v>P</v>
      </c>
      <c r="D813" s="13">
        <v>811</v>
      </c>
      <c r="E813" s="14" t="s">
        <v>1398</v>
      </c>
      <c r="F813" s="14" t="s">
        <v>960</v>
      </c>
      <c r="G813" s="15"/>
      <c r="H813" s="18"/>
      <c r="I813" s="18"/>
      <c r="K813" s="14">
        <f>VLOOKUP(B813,weights!A:G,5,FALSE)</f>
        <v>1.72</v>
      </c>
      <c r="L813" s="14">
        <f>VLOOKUP(B813,weights!A:G,6,FALSE)</f>
        <v>7</v>
      </c>
      <c r="M813" s="14">
        <f>VLOOKUP(B813,weights!A:G,7,FALSE)</f>
        <v>10</v>
      </c>
      <c r="N813" t="s">
        <v>5343</v>
      </c>
      <c r="O813">
        <v>801</v>
      </c>
      <c r="P813">
        <v>48.752674351800003</v>
      </c>
      <c r="Q813">
        <v>2.3553609890799998</v>
      </c>
      <c r="R813" s="22">
        <v>48</v>
      </c>
      <c r="S813" s="22">
        <v>45</v>
      </c>
      <c r="T813" s="22">
        <v>9</v>
      </c>
      <c r="U813" s="24">
        <f>R813+S813/60+T813/3600</f>
        <v>48.752499999999998</v>
      </c>
      <c r="V813" s="28">
        <f>ABS(U813-P813)/P813</f>
        <v>3.5762509918398054E-6</v>
      </c>
      <c r="W813" s="22">
        <v>2</v>
      </c>
      <c r="X813" s="22">
        <v>21</v>
      </c>
      <c r="Y813" s="22">
        <v>18</v>
      </c>
      <c r="Z813" s="14">
        <f>W813+X813/60+Y813/3600</f>
        <v>2.355</v>
      </c>
      <c r="AA813" s="26">
        <f>ABS(Z813-Q813)/Q813</f>
        <v>1.5326274047733977E-4</v>
      </c>
      <c r="AB813" s="26"/>
      <c r="AC813" s="24">
        <f>U813</f>
        <v>48.752499999999998</v>
      </c>
      <c r="AD813" s="14">
        <f>Z813</f>
        <v>2.355</v>
      </c>
    </row>
    <row r="814" spans="1:30" s="14" customFormat="1">
      <c r="A814" s="12">
        <v>10</v>
      </c>
      <c r="B814" s="12" t="s">
        <v>317</v>
      </c>
      <c r="C814" s="14" t="str">
        <f>VLOOKUP(B814,weights!A:B,2,FALSE)</f>
        <v>P</v>
      </c>
      <c r="D814" s="13">
        <v>812</v>
      </c>
      <c r="E814" s="14" t="s">
        <v>1409</v>
      </c>
      <c r="F814" s="14" t="s">
        <v>961</v>
      </c>
      <c r="G814" s="15"/>
      <c r="H814" s="18"/>
      <c r="I814" s="18"/>
      <c r="K814" s="14">
        <f>VLOOKUP(B814,weights!A:G,5,FALSE)</f>
        <v>1.72</v>
      </c>
      <c r="L814" s="14">
        <f>VLOOKUP(B814,weights!A:G,6,FALSE)</f>
        <v>7</v>
      </c>
      <c r="M814" s="14">
        <f>VLOOKUP(B814,weights!A:G,7,FALSE)</f>
        <v>10</v>
      </c>
      <c r="N814" t="s">
        <v>5509</v>
      </c>
      <c r="O814">
        <v>441</v>
      </c>
      <c r="P814">
        <v>48.750174037100003</v>
      </c>
      <c r="Q814">
        <v>2.3543672791499999</v>
      </c>
      <c r="R814" s="22">
        <v>48</v>
      </c>
      <c r="S814" s="22">
        <v>45</v>
      </c>
      <c r="T814" s="22">
        <v>1</v>
      </c>
      <c r="U814" s="24">
        <f>R814+S814/60+T814/3600</f>
        <v>48.750277777777775</v>
      </c>
      <c r="V814" s="28">
        <f>ABS(U814-P814)/P814</f>
        <v>2.1280063060633504E-6</v>
      </c>
      <c r="W814" s="22">
        <v>2</v>
      </c>
      <c r="X814" s="22">
        <v>21</v>
      </c>
      <c r="Y814" s="22">
        <v>15</v>
      </c>
      <c r="Z814" s="14">
        <f>W814+X814/60+Y814/3600</f>
        <v>2.354166666666667</v>
      </c>
      <c r="AA814" s="26">
        <f>ABS(Z814-Q814)/Q814</f>
        <v>8.5208660989098323E-5</v>
      </c>
      <c r="AB814" s="26"/>
      <c r="AC814" s="24">
        <f>U814</f>
        <v>48.750277777777775</v>
      </c>
      <c r="AD814" s="14">
        <f>Z814</f>
        <v>2.354166666666667</v>
      </c>
    </row>
    <row r="815" spans="1:30" s="14" customFormat="1">
      <c r="A815" s="12">
        <v>11</v>
      </c>
      <c r="B815" s="12" t="s">
        <v>317</v>
      </c>
      <c r="C815" s="14" t="str">
        <f>VLOOKUP(B815,weights!A:B,2,FALSE)</f>
        <v>P</v>
      </c>
      <c r="D815" s="13">
        <v>813</v>
      </c>
      <c r="E815" s="14" t="s">
        <v>1402</v>
      </c>
      <c r="F815" s="14" t="s">
        <v>962</v>
      </c>
      <c r="G815" s="15"/>
      <c r="H815" s="18"/>
      <c r="I815" s="18"/>
      <c r="K815" s="14">
        <f>VLOOKUP(B815,weights!A:G,5,FALSE)</f>
        <v>1.72</v>
      </c>
      <c r="L815" s="14">
        <f>VLOOKUP(B815,weights!A:G,6,FALSE)</f>
        <v>7</v>
      </c>
      <c r="M815" s="14">
        <f>VLOOKUP(B815,weights!A:G,7,FALSE)</f>
        <v>10</v>
      </c>
      <c r="N815" t="s">
        <v>5453</v>
      </c>
      <c r="O815">
        <v>442</v>
      </c>
      <c r="P815">
        <v>48.746568586599999</v>
      </c>
      <c r="Q815">
        <v>2.3528753413399999</v>
      </c>
      <c r="R815" s="22">
        <v>48</v>
      </c>
      <c r="S815" s="22">
        <v>44</v>
      </c>
      <c r="T815" s="22">
        <v>48</v>
      </c>
      <c r="U815" s="24">
        <f>R815+S815/60+T815/3600</f>
        <v>48.74666666666667</v>
      </c>
      <c r="V815" s="28">
        <f>ABS(U815-P815)/P815</f>
        <v>2.0120404269432778E-6</v>
      </c>
      <c r="W815" s="22">
        <v>2</v>
      </c>
      <c r="X815" s="22">
        <v>21</v>
      </c>
      <c r="Y815" s="22">
        <v>11</v>
      </c>
      <c r="Z815" s="14">
        <f>W815+X815/60+Y815/3600</f>
        <v>2.3530555555555557</v>
      </c>
      <c r="AA815" s="26">
        <f>ABS(Z815-Q815)/Q815</f>
        <v>7.6593184683202315E-5</v>
      </c>
      <c r="AB815" s="26"/>
      <c r="AC815" s="24">
        <f>U815</f>
        <v>48.74666666666667</v>
      </c>
      <c r="AD815" s="14">
        <f>Z815</f>
        <v>2.3530555555555557</v>
      </c>
    </row>
    <row r="816" spans="1:30" s="14" customFormat="1">
      <c r="A816" s="12">
        <v>12</v>
      </c>
      <c r="B816" s="12" t="s">
        <v>317</v>
      </c>
      <c r="C816" s="14" t="str">
        <f>VLOOKUP(B816,weights!A:B,2,FALSE)</f>
        <v>P</v>
      </c>
      <c r="D816" s="13">
        <v>814</v>
      </c>
      <c r="E816" s="14" t="s">
        <v>1328</v>
      </c>
      <c r="F816" s="14" t="s">
        <v>963</v>
      </c>
      <c r="G816" s="15" t="s">
        <v>1468</v>
      </c>
      <c r="H816" s="18"/>
      <c r="I816" s="18" t="s">
        <v>1917</v>
      </c>
      <c r="K816" s="14">
        <f>VLOOKUP(B816,weights!A:G,5,FALSE)</f>
        <v>1.72</v>
      </c>
      <c r="L816" s="14">
        <f>VLOOKUP(B816,weights!A:G,6,FALSE)</f>
        <v>7</v>
      </c>
      <c r="M816" s="14">
        <f>VLOOKUP(B816,weights!A:G,7,FALSE)</f>
        <v>10</v>
      </c>
      <c r="N816" t="s">
        <v>5505</v>
      </c>
      <c r="O816">
        <v>827</v>
      </c>
      <c r="P816">
        <v>48.740584122800001</v>
      </c>
      <c r="Q816">
        <v>2.35330704843</v>
      </c>
      <c r="R816" s="22">
        <v>48</v>
      </c>
      <c r="S816" s="22">
        <v>44</v>
      </c>
      <c r="T816" s="22">
        <v>30</v>
      </c>
      <c r="U816" s="24">
        <f>R816+S816/60+T816/3600</f>
        <v>48.741666666666667</v>
      </c>
      <c r="V816" s="28">
        <f>ABS(U816-P816)/P816</f>
        <v>2.2210317872643943E-5</v>
      </c>
      <c r="W816" s="22">
        <v>2</v>
      </c>
      <c r="X816" s="22">
        <v>21</v>
      </c>
      <c r="Y816" s="22">
        <v>10</v>
      </c>
      <c r="Z816" s="14">
        <f>W816+X816/60+Y816/3600</f>
        <v>2.3527777777777779</v>
      </c>
      <c r="AA816" s="26">
        <f>ABS(Z816-Q816)/Q816</f>
        <v>2.2490505545177039E-4</v>
      </c>
      <c r="AB816" s="26"/>
      <c r="AC816" s="24">
        <f>U816</f>
        <v>48.741666666666667</v>
      </c>
      <c r="AD816" s="14">
        <f>Z816</f>
        <v>2.3527777777777779</v>
      </c>
    </row>
    <row r="817" spans="1:30" s="14" customFormat="1">
      <c r="A817" s="12">
        <v>13</v>
      </c>
      <c r="B817" s="12" t="s">
        <v>317</v>
      </c>
      <c r="C817" s="14" t="str">
        <f>VLOOKUP(B817,weights!A:B,2,FALSE)</f>
        <v>P</v>
      </c>
      <c r="D817" s="13">
        <v>815</v>
      </c>
      <c r="E817" s="14" t="s">
        <v>1304</v>
      </c>
      <c r="F817" s="14" t="s">
        <v>964</v>
      </c>
      <c r="G817" s="15"/>
      <c r="H817" s="18"/>
      <c r="I817" s="18"/>
      <c r="K817" s="14">
        <f>VLOOKUP(B817,weights!A:G,5,FALSE)</f>
        <v>1.72</v>
      </c>
      <c r="L817" s="14">
        <f>VLOOKUP(B817,weights!A:G,6,FALSE)</f>
        <v>7</v>
      </c>
      <c r="M817" s="14">
        <f>VLOOKUP(B817,weights!A:G,7,FALSE)</f>
        <v>10</v>
      </c>
      <c r="N817" t="s">
        <v>4209</v>
      </c>
      <c r="O817">
        <v>802</v>
      </c>
      <c r="P817">
        <v>48.739987430399999</v>
      </c>
      <c r="Q817">
        <v>2.3594678211</v>
      </c>
      <c r="R817" s="22">
        <v>48</v>
      </c>
      <c r="S817" s="22">
        <v>44</v>
      </c>
      <c r="T817" s="22">
        <v>23</v>
      </c>
      <c r="U817" s="24">
        <f>R817+S817/60+T817/3600</f>
        <v>48.73972222222222</v>
      </c>
      <c r="V817" s="28">
        <f>ABS(U817-P817)/P817</f>
        <v>5.4412853133857408E-6</v>
      </c>
      <c r="W817" s="22">
        <v>2</v>
      </c>
      <c r="X817" s="22">
        <v>21</v>
      </c>
      <c r="Y817" s="22">
        <v>45</v>
      </c>
      <c r="Z817" s="14">
        <f>W817+X817/60+Y817/3600</f>
        <v>2.3625000000000003</v>
      </c>
      <c r="AA817" s="26">
        <f>ABS(Z817-Q817)/Q817</f>
        <v>1.2851113598093787E-3</v>
      </c>
      <c r="AB817" s="26"/>
      <c r="AC817" s="24">
        <f>U817</f>
        <v>48.73972222222222</v>
      </c>
      <c r="AD817" s="14">
        <f>Z817</f>
        <v>2.3625000000000003</v>
      </c>
    </row>
    <row r="818" spans="1:30" s="14" customFormat="1">
      <c r="A818" s="12">
        <v>14</v>
      </c>
      <c r="B818" s="12" t="s">
        <v>317</v>
      </c>
      <c r="C818" s="14" t="str">
        <f>VLOOKUP(B818,weights!A:B,2,FALSE)</f>
        <v>P</v>
      </c>
      <c r="D818" s="13">
        <v>816</v>
      </c>
      <c r="E818" s="14" t="s">
        <v>1261</v>
      </c>
      <c r="F818" s="14" t="s">
        <v>965</v>
      </c>
      <c r="G818" s="15"/>
      <c r="H818" s="18"/>
      <c r="I818" s="18"/>
      <c r="K818" s="14">
        <f>VLOOKUP(B818,weights!A:G,5,FALSE)</f>
        <v>1.72</v>
      </c>
      <c r="L818" s="14">
        <f>VLOOKUP(B818,weights!A:G,6,FALSE)</f>
        <v>7</v>
      </c>
      <c r="M818" s="14">
        <f>VLOOKUP(B818,weights!A:G,7,FALSE)</f>
        <v>10</v>
      </c>
      <c r="N818" t="s">
        <v>3513</v>
      </c>
      <c r="O818">
        <v>690</v>
      </c>
      <c r="P818">
        <v>48.738562777299997</v>
      </c>
      <c r="Q818">
        <v>2.3699101466800001</v>
      </c>
      <c r="R818" s="22">
        <v>48</v>
      </c>
      <c r="S818" s="22">
        <v>44</v>
      </c>
      <c r="T818" s="22">
        <v>12</v>
      </c>
      <c r="U818" s="24">
        <f>R818+S818/60+T818/3600</f>
        <v>48.736666666666665</v>
      </c>
      <c r="V818" s="28">
        <f>ABS(U818-P818)/P818</f>
        <v>3.8903704280243672E-5</v>
      </c>
      <c r="W818" s="22">
        <v>2</v>
      </c>
      <c r="X818" s="22">
        <v>22</v>
      </c>
      <c r="Y818" s="22">
        <v>11</v>
      </c>
      <c r="Z818" s="14">
        <f>W818+X818/60+Y818/3600</f>
        <v>2.3697222222222223</v>
      </c>
      <c r="AA818" s="26">
        <f>ABS(Z818-Q818)/Q818</f>
        <v>7.9296026493276304E-5</v>
      </c>
      <c r="AB818" s="26"/>
      <c r="AC818" s="24">
        <f>U818</f>
        <v>48.736666666666665</v>
      </c>
      <c r="AD818" s="14">
        <f>Z818</f>
        <v>2.3697222222222223</v>
      </c>
    </row>
    <row r="819" spans="1:30" s="14" customFormat="1">
      <c r="A819" s="12">
        <v>15</v>
      </c>
      <c r="B819" s="12" t="s">
        <v>317</v>
      </c>
      <c r="C819" s="14" t="str">
        <f>VLOOKUP(B819,weights!A:B,2,FALSE)</f>
        <v>P</v>
      </c>
      <c r="D819" s="13">
        <v>817</v>
      </c>
      <c r="E819" s="14" t="s">
        <v>1268</v>
      </c>
      <c r="F819" s="14" t="s">
        <v>966</v>
      </c>
      <c r="G819" s="15"/>
      <c r="H819" s="18"/>
      <c r="I819" s="18"/>
      <c r="K819" s="14">
        <f>VLOOKUP(B819,weights!A:G,5,FALSE)</f>
        <v>1.72</v>
      </c>
      <c r="L819" s="14">
        <f>VLOOKUP(B819,weights!A:G,6,FALSE)</f>
        <v>7</v>
      </c>
      <c r="M819" s="14">
        <f>VLOOKUP(B819,weights!A:G,7,FALSE)</f>
        <v>10</v>
      </c>
      <c r="N819" t="s">
        <v>3715</v>
      </c>
      <c r="O819">
        <v>536</v>
      </c>
      <c r="P819">
        <v>48.734088162100001</v>
      </c>
      <c r="Q819">
        <v>2.3712503762199999</v>
      </c>
      <c r="R819" s="22">
        <v>48</v>
      </c>
      <c r="S819" s="22">
        <v>43</v>
      </c>
      <c r="T819" s="22">
        <v>56</v>
      </c>
      <c r="U819" s="24">
        <f>R819+S819/60+T819/3600</f>
        <v>48.732222222222227</v>
      </c>
      <c r="V819" s="28">
        <f>ABS(U819-P819)/P819</f>
        <v>3.8288186937401306E-5</v>
      </c>
      <c r="W819" s="22">
        <v>2</v>
      </c>
      <c r="X819" s="22">
        <v>22</v>
      </c>
      <c r="Y819" s="22">
        <v>19</v>
      </c>
      <c r="Z819" s="14">
        <f>W819+X819/60+Y819/3600</f>
        <v>2.3719444444444444</v>
      </c>
      <c r="AA819" s="26">
        <f>ABS(Z819-Q819)/Q819</f>
        <v>2.9270136608303756E-4</v>
      </c>
      <c r="AB819" s="26"/>
      <c r="AC819" s="24">
        <f>U819</f>
        <v>48.732222222222227</v>
      </c>
      <c r="AD819" s="14">
        <f>Z819</f>
        <v>2.3719444444444444</v>
      </c>
    </row>
    <row r="820" spans="1:30" s="14" customFormat="1">
      <c r="A820" s="12">
        <v>16</v>
      </c>
      <c r="B820" s="12" t="s">
        <v>317</v>
      </c>
      <c r="C820" s="14" t="str">
        <f>VLOOKUP(B820,weights!A:B,2,FALSE)</f>
        <v>P</v>
      </c>
      <c r="D820" s="13">
        <v>818</v>
      </c>
      <c r="E820" s="14" t="s">
        <v>1235</v>
      </c>
      <c r="F820" s="14" t="s">
        <v>967</v>
      </c>
      <c r="G820" s="15"/>
      <c r="H820" s="18"/>
      <c r="I820" s="18"/>
      <c r="K820" s="14">
        <f>VLOOKUP(B820,weights!A:G,5,FALSE)</f>
        <v>1.72</v>
      </c>
      <c r="L820" s="14">
        <f>VLOOKUP(B820,weights!A:G,6,FALSE)</f>
        <v>7</v>
      </c>
      <c r="M820" s="14">
        <f>VLOOKUP(B820,weights!A:G,7,FALSE)</f>
        <v>10</v>
      </c>
      <c r="N820" t="s">
        <v>3146</v>
      </c>
      <c r="O820">
        <v>706</v>
      </c>
      <c r="P820">
        <v>48.728770451700001</v>
      </c>
      <c r="Q820">
        <v>2.36851613817</v>
      </c>
      <c r="R820" s="22">
        <v>48</v>
      </c>
      <c r="S820" s="22">
        <v>43</v>
      </c>
      <c r="T820" s="22">
        <v>44</v>
      </c>
      <c r="U820" s="24">
        <f>R820+S820/60+T820/3600</f>
        <v>48.728888888888889</v>
      </c>
      <c r="V820" s="28">
        <f>ABS(U820-P820)/P820</f>
        <v>2.4305392438674439E-6</v>
      </c>
      <c r="W820" s="22">
        <v>2</v>
      </c>
      <c r="X820" s="22">
        <v>22</v>
      </c>
      <c r="Y820" s="22">
        <v>6</v>
      </c>
      <c r="Z820" s="14">
        <f>W820+X820/60+Y820/3600</f>
        <v>2.3683333333333332</v>
      </c>
      <c r="AA820" s="26">
        <f>ABS(Z820-Q820)/Q820</f>
        <v>7.7181165760607313E-5</v>
      </c>
      <c r="AB820" s="26"/>
      <c r="AC820" s="24">
        <f>U820</f>
        <v>48.728888888888889</v>
      </c>
      <c r="AD820" s="14">
        <f>Z820</f>
        <v>2.3683333333333332</v>
      </c>
    </row>
    <row r="821" spans="1:30" s="14" customFormat="1">
      <c r="A821" s="12">
        <v>17</v>
      </c>
      <c r="B821" s="12" t="s">
        <v>317</v>
      </c>
      <c r="C821" s="14" t="str">
        <f>VLOOKUP(B821,weights!A:B,2,FALSE)</f>
        <v>P</v>
      </c>
      <c r="D821" s="13">
        <v>819</v>
      </c>
      <c r="E821" s="14" t="s">
        <v>1243</v>
      </c>
      <c r="F821" s="14" t="s">
        <v>968</v>
      </c>
      <c r="G821" s="15"/>
      <c r="H821" s="18"/>
      <c r="I821" s="18"/>
      <c r="K821" s="14">
        <f>VLOOKUP(B821,weights!A:G,5,FALSE)</f>
        <v>1.72</v>
      </c>
      <c r="L821" s="14">
        <f>VLOOKUP(B821,weights!A:G,6,FALSE)</f>
        <v>7</v>
      </c>
      <c r="M821" s="14">
        <f>VLOOKUP(B821,weights!A:G,7,FALSE)</f>
        <v>10</v>
      </c>
      <c r="N821" t="s">
        <v>5324</v>
      </c>
      <c r="O821">
        <v>691</v>
      </c>
      <c r="P821">
        <v>48.714512725299997</v>
      </c>
      <c r="Q821">
        <v>2.3717471434599999</v>
      </c>
      <c r="R821" s="22">
        <v>48</v>
      </c>
      <c r="S821" s="22">
        <v>42</v>
      </c>
      <c r="T821" s="22">
        <v>51</v>
      </c>
      <c r="U821" s="24">
        <f>R821+S821/60+T821/3600</f>
        <v>48.714166666666671</v>
      </c>
      <c r="V821" s="28">
        <f>ABS(U821-P821)/P821</f>
        <v>7.1038098087436141E-6</v>
      </c>
      <c r="W821" s="22">
        <v>2</v>
      </c>
      <c r="X821" s="22">
        <v>22</v>
      </c>
      <c r="Y821" s="22">
        <v>18</v>
      </c>
      <c r="Z821" s="14">
        <f>W821+X821/60+Y821/3600</f>
        <v>2.3716666666666666</v>
      </c>
      <c r="AA821" s="26">
        <f>ABS(Z821-Q821)/Q821</f>
        <v>3.3931438920565825E-5</v>
      </c>
      <c r="AB821" s="26"/>
      <c r="AC821" s="24">
        <f>U821</f>
        <v>48.714166666666671</v>
      </c>
      <c r="AD821" s="14">
        <f>Z821</f>
        <v>2.3716666666666666</v>
      </c>
    </row>
    <row r="822" spans="1:30" s="14" customFormat="1">
      <c r="A822" s="12">
        <v>0</v>
      </c>
      <c r="B822" s="12" t="s">
        <v>519</v>
      </c>
      <c r="C822" s="14" t="str">
        <f>VLOOKUP(B822,weights!A:B,2,FALSE)</f>
        <v>M</v>
      </c>
      <c r="D822" s="13">
        <v>820</v>
      </c>
      <c r="E822" s="14" t="s">
        <v>1411</v>
      </c>
      <c r="F822" s="14" t="s">
        <v>969</v>
      </c>
      <c r="G822" s="15" t="s">
        <v>1489</v>
      </c>
      <c r="H822" s="18"/>
      <c r="I822" s="18" t="s">
        <v>1918</v>
      </c>
      <c r="J822" s="14">
        <v>823</v>
      </c>
      <c r="K822" s="14">
        <f>VLOOKUP(B822,weights!A:G,5,FALSE)</f>
        <v>2</v>
      </c>
      <c r="L822" s="14">
        <f>VLOOKUP(B822,weights!A:G,6,FALSE)</f>
        <v>7</v>
      </c>
      <c r="M822" s="14">
        <f>VLOOKUP(B822,weights!A:G,7,FALSE)</f>
        <v>10</v>
      </c>
      <c r="N822" t="s">
        <v>5533</v>
      </c>
      <c r="O822">
        <v>708</v>
      </c>
      <c r="P822">
        <v>48.929935890599999</v>
      </c>
      <c r="Q822">
        <v>2.35603579553</v>
      </c>
      <c r="R822" s="22">
        <v>48</v>
      </c>
      <c r="S822" s="22">
        <v>55</v>
      </c>
      <c r="T822" s="22">
        <v>47</v>
      </c>
      <c r="U822" s="24">
        <f>R822+S822/60+T822/3600</f>
        <v>48.929722222222217</v>
      </c>
      <c r="V822" s="28">
        <f>ABS(U822-P822)/P822</f>
        <v>4.3668231705792243E-6</v>
      </c>
      <c r="W822" s="22">
        <v>2</v>
      </c>
      <c r="X822" s="22">
        <v>21</v>
      </c>
      <c r="Y822" s="22">
        <v>29</v>
      </c>
      <c r="Z822" s="14">
        <f>W822+X822/60+Y822/3600</f>
        <v>2.3580555555555556</v>
      </c>
      <c r="AA822" s="26">
        <f>ABS(Z822-Q822)/Q822</f>
        <v>8.5727051744612451E-4</v>
      </c>
      <c r="AB822" s="26"/>
      <c r="AC822" s="24">
        <f>U822</f>
        <v>48.929722222222217</v>
      </c>
      <c r="AD822" s="14">
        <f>Z822</f>
        <v>2.3580555555555556</v>
      </c>
    </row>
    <row r="823" spans="1:30" s="14" customFormat="1">
      <c r="A823" s="12">
        <v>1</v>
      </c>
      <c r="B823" s="12" t="s">
        <v>519</v>
      </c>
      <c r="C823" s="14" t="str">
        <f>VLOOKUP(B823,weights!A:B,2,FALSE)</f>
        <v>M</v>
      </c>
      <c r="D823" s="13">
        <v>821</v>
      </c>
      <c r="E823" s="14" t="s">
        <v>1387</v>
      </c>
      <c r="F823" s="14" t="s">
        <v>970</v>
      </c>
      <c r="G823" s="15"/>
      <c r="H823" s="18"/>
      <c r="I823" s="18"/>
      <c r="J823" s="14">
        <v>824</v>
      </c>
      <c r="K823" s="14">
        <f>VLOOKUP(B823,weights!A:G,5,FALSE)</f>
        <v>2</v>
      </c>
      <c r="L823" s="14">
        <f>VLOOKUP(B823,weights!A:G,6,FALSE)</f>
        <v>7</v>
      </c>
      <c r="M823" s="14">
        <f>VLOOKUP(B823,weights!A:G,7,FALSE)</f>
        <v>10</v>
      </c>
      <c r="N823" t="s">
        <v>5174</v>
      </c>
      <c r="O823">
        <v>811</v>
      </c>
      <c r="P823">
        <v>48.932051822699997</v>
      </c>
      <c r="Q823">
        <v>2.3527019843899999</v>
      </c>
      <c r="R823" s="22">
        <v>48</v>
      </c>
      <c r="S823" s="22">
        <v>55</v>
      </c>
      <c r="T823" s="22">
        <v>57</v>
      </c>
      <c r="U823" s="24">
        <f>R823+S823/60+T823/3600</f>
        <v>48.932499999999997</v>
      </c>
      <c r="V823" s="28">
        <f>ABS(U823-P823)/P823</f>
        <v>9.159176517363897E-6</v>
      </c>
      <c r="W823" s="22">
        <v>2</v>
      </c>
      <c r="X823" s="22">
        <v>21</v>
      </c>
      <c r="Y823" s="22">
        <v>7</v>
      </c>
      <c r="Z823" s="14">
        <f>W823+X823/60+Y823/3600</f>
        <v>2.3519444444444444</v>
      </c>
      <c r="AA823" s="26">
        <f>ABS(Z823-Q823)/Q823</f>
        <v>3.2198720899702426E-4</v>
      </c>
      <c r="AB823" s="26"/>
      <c r="AC823" s="24">
        <f>U823</f>
        <v>48.932499999999997</v>
      </c>
      <c r="AD823" s="14">
        <f>Z823</f>
        <v>2.3519444444444444</v>
      </c>
    </row>
    <row r="824" spans="1:30" s="14" customFormat="1">
      <c r="A824" s="12">
        <v>2</v>
      </c>
      <c r="B824" s="12" t="s">
        <v>519</v>
      </c>
      <c r="C824" s="14" t="str">
        <f>VLOOKUP(B824,weights!A:B,2,FALSE)</f>
        <v>M</v>
      </c>
      <c r="D824" s="13">
        <v>822</v>
      </c>
      <c r="E824" s="14" t="s">
        <v>1410</v>
      </c>
      <c r="F824" s="14" t="s">
        <v>971</v>
      </c>
      <c r="G824" s="15" t="s">
        <v>1459</v>
      </c>
      <c r="H824" s="18" t="s">
        <v>1919</v>
      </c>
      <c r="I824" s="18" t="s">
        <v>1863</v>
      </c>
      <c r="J824" s="14">
        <v>825</v>
      </c>
      <c r="K824" s="14">
        <f>VLOOKUP(B824,weights!A:G,5,FALSE)</f>
        <v>2</v>
      </c>
      <c r="L824" s="14">
        <f>VLOOKUP(B824,weights!A:G,6,FALSE)</f>
        <v>7</v>
      </c>
      <c r="M824" s="14">
        <f>VLOOKUP(B824,weights!A:G,7,FALSE)</f>
        <v>10</v>
      </c>
      <c r="N824" t="s">
        <v>5529</v>
      </c>
      <c r="O824">
        <v>565</v>
      </c>
      <c r="P824">
        <v>48.936030605900001</v>
      </c>
      <c r="Q824">
        <v>2.3452746846800001</v>
      </c>
      <c r="R824" s="22">
        <v>48</v>
      </c>
      <c r="S824" s="22">
        <v>56</v>
      </c>
      <c r="T824" s="22">
        <v>8</v>
      </c>
      <c r="U824" s="24">
        <f>R824+S824/60+T824/3600</f>
        <v>48.935555555555553</v>
      </c>
      <c r="V824" s="28">
        <f>ABS(U824-P824)/P824</f>
        <v>9.7075782111170327E-6</v>
      </c>
      <c r="W824" s="22">
        <v>2</v>
      </c>
      <c r="X824" s="22">
        <v>20</v>
      </c>
      <c r="Y824" s="22">
        <v>51</v>
      </c>
      <c r="Z824" s="14">
        <f>W824+X824/60+Y824/3600</f>
        <v>2.3475000000000001</v>
      </c>
      <c r="AA824" s="26">
        <f>ABS(Z824-Q824)/Q824</f>
        <v>9.4885061205684065E-4</v>
      </c>
      <c r="AB824" s="26"/>
      <c r="AC824" s="24">
        <f>U824</f>
        <v>48.935555555555553</v>
      </c>
      <c r="AD824" s="14">
        <f>Z824</f>
        <v>2.3475000000000001</v>
      </c>
    </row>
    <row r="825" spans="1:30" s="14" customFormat="1">
      <c r="A825" s="12">
        <v>3</v>
      </c>
      <c r="B825" s="12" t="s">
        <v>519</v>
      </c>
      <c r="C825" s="14" t="str">
        <f>VLOOKUP(B825,weights!A:B,2,FALSE)</f>
        <v>M</v>
      </c>
      <c r="D825" s="13">
        <v>823</v>
      </c>
      <c r="E825" s="14" t="s">
        <v>1382</v>
      </c>
      <c r="F825" s="14" t="s">
        <v>972</v>
      </c>
      <c r="G825" s="15"/>
      <c r="H825" s="18"/>
      <c r="I825" s="18"/>
      <c r="J825" s="14">
        <v>826</v>
      </c>
      <c r="K825" s="14">
        <f>VLOOKUP(B825,weights!A:G,5,FALSE)</f>
        <v>2</v>
      </c>
      <c r="L825" s="14">
        <f>VLOOKUP(B825,weights!A:G,6,FALSE)</f>
        <v>7</v>
      </c>
      <c r="M825" s="14">
        <f>VLOOKUP(B825,weights!A:G,7,FALSE)</f>
        <v>10</v>
      </c>
      <c r="N825" t="s">
        <v>5126</v>
      </c>
      <c r="O825">
        <v>457</v>
      </c>
      <c r="P825">
        <v>48.939688708699997</v>
      </c>
      <c r="Q825">
        <v>2.3452075059299999</v>
      </c>
      <c r="R825" s="22">
        <v>48</v>
      </c>
      <c r="S825" s="22">
        <v>56</v>
      </c>
      <c r="T825" s="22">
        <v>24</v>
      </c>
      <c r="U825" s="24">
        <f>R825+S825/60+T825/3600</f>
        <v>48.94</v>
      </c>
      <c r="V825" s="28">
        <f>ABS(U825-P825)/P825</f>
        <v>6.3607127101652702E-6</v>
      </c>
      <c r="W825" s="22">
        <v>2</v>
      </c>
      <c r="X825" s="22">
        <v>20</v>
      </c>
      <c r="Y825" s="22">
        <v>43</v>
      </c>
      <c r="Z825" s="14">
        <f>W825+X825/60+Y825/3600</f>
        <v>2.345277777777778</v>
      </c>
      <c r="AA825" s="26">
        <f>ABS(Z825-Q825)/Q825</f>
        <v>2.9964021350091176E-5</v>
      </c>
      <c r="AB825" s="26"/>
      <c r="AC825" s="24">
        <f>U825</f>
        <v>48.94</v>
      </c>
      <c r="AD825" s="14">
        <f>Z825</f>
        <v>2.345277777777778</v>
      </c>
    </row>
    <row r="826" spans="1:30" s="14" customFormat="1">
      <c r="A826" s="12">
        <v>4</v>
      </c>
      <c r="B826" s="12" t="s">
        <v>519</v>
      </c>
      <c r="C826" s="14" t="str">
        <f>VLOOKUP(B826,weights!A:B,2,FALSE)</f>
        <v>M</v>
      </c>
      <c r="D826" s="13">
        <v>824</v>
      </c>
      <c r="E826" s="14" t="s">
        <v>1273</v>
      </c>
      <c r="F826" s="14" t="s">
        <v>973</v>
      </c>
      <c r="G826" s="15"/>
      <c r="H826" s="18"/>
      <c r="I826" s="18"/>
      <c r="J826" s="14">
        <v>825.82899999999995</v>
      </c>
      <c r="K826" s="14">
        <f>VLOOKUP(B826,weights!A:G,5,FALSE)</f>
        <v>2</v>
      </c>
      <c r="L826" s="14">
        <f>VLOOKUP(B826,weights!A:G,6,FALSE)</f>
        <v>7</v>
      </c>
      <c r="M826" s="14">
        <f>VLOOKUP(B826,weights!A:G,7,FALSE)</f>
        <v>10</v>
      </c>
      <c r="N826" t="s">
        <v>3840</v>
      </c>
      <c r="O826">
        <v>626</v>
      </c>
      <c r="P826">
        <v>48.945555539200001</v>
      </c>
      <c r="Q826">
        <v>2.3473129251699998</v>
      </c>
      <c r="R826" s="22">
        <v>48</v>
      </c>
      <c r="S826" s="22">
        <v>56</v>
      </c>
      <c r="T826" s="22">
        <v>45</v>
      </c>
      <c r="U826" s="24">
        <f>R826+S826/60+T826/3600</f>
        <v>48.945833333333333</v>
      </c>
      <c r="V826" s="28">
        <f>ABS(U826-P826)/P826</f>
        <v>5.6755742226601752E-6</v>
      </c>
      <c r="W826" s="22">
        <v>2</v>
      </c>
      <c r="X826" s="22">
        <v>20</v>
      </c>
      <c r="Y826" s="22">
        <v>50</v>
      </c>
      <c r="Z826" s="14">
        <f>W826+X826/60+Y826/3600</f>
        <v>2.3472222222222223</v>
      </c>
      <c r="AA826" s="26">
        <f>ABS(Z826-Q826)/Q826</f>
        <v>3.8641182777492988E-5</v>
      </c>
      <c r="AB826" s="26"/>
      <c r="AC826" s="24">
        <f>U826</f>
        <v>48.945833333333333</v>
      </c>
      <c r="AD826" s="14">
        <f>Z826</f>
        <v>2.3472222222222223</v>
      </c>
    </row>
    <row r="827" spans="1:30" s="14" customFormat="1">
      <c r="A827" s="12">
        <v>5</v>
      </c>
      <c r="B827" s="12" t="s">
        <v>519</v>
      </c>
      <c r="C827" s="14" t="str">
        <f>VLOOKUP(B827,weights!A:B,2,FALSE)</f>
        <v>M</v>
      </c>
      <c r="D827" s="13">
        <v>825</v>
      </c>
      <c r="E827" s="14" t="s">
        <v>1263</v>
      </c>
      <c r="F827" s="14" t="s">
        <v>974</v>
      </c>
      <c r="G827" s="15"/>
      <c r="H827" s="18"/>
      <c r="I827" s="18"/>
      <c r="J827" s="14">
        <v>826</v>
      </c>
      <c r="K827" s="14">
        <f>VLOOKUP(B827,weights!A:G,5,FALSE)</f>
        <v>2</v>
      </c>
      <c r="L827" s="14">
        <f>VLOOKUP(B827,weights!A:G,6,FALSE)</f>
        <v>7</v>
      </c>
      <c r="M827" s="14">
        <f>VLOOKUP(B827,weights!A:G,7,FALSE)</f>
        <v>10</v>
      </c>
      <c r="N827" t="s">
        <v>3538</v>
      </c>
      <c r="O827">
        <v>453</v>
      </c>
      <c r="P827">
        <v>48.9495813451</v>
      </c>
      <c r="Q827">
        <v>2.34252182604</v>
      </c>
      <c r="R827" s="22">
        <v>48</v>
      </c>
      <c r="S827" s="22">
        <v>56</v>
      </c>
      <c r="T827" s="22">
        <v>58</v>
      </c>
      <c r="U827" s="24">
        <f>R827+S827/60+T827/3600</f>
        <v>48.949444444444438</v>
      </c>
      <c r="V827" s="28">
        <f>ABS(U827-P827)/P827</f>
        <v>2.7967686709489828E-6</v>
      </c>
      <c r="W827" s="22">
        <v>2</v>
      </c>
      <c r="X827" s="22">
        <v>20</v>
      </c>
      <c r="Y827" s="22">
        <v>33</v>
      </c>
      <c r="Z827" s="14">
        <f>W827+X827/60+Y827/3600</f>
        <v>2.3425000000000002</v>
      </c>
      <c r="AA827" s="26">
        <f>ABS(Z827-Q827)/Q827</f>
        <v>9.317326206808687E-6</v>
      </c>
      <c r="AB827" s="26"/>
      <c r="AC827" s="24">
        <f>U827</f>
        <v>48.949444444444438</v>
      </c>
      <c r="AD827" s="14">
        <f>Z827</f>
        <v>2.3425000000000002</v>
      </c>
    </row>
    <row r="828" spans="1:30" s="14" customFormat="1">
      <c r="A828" s="12">
        <v>6</v>
      </c>
      <c r="B828" s="12" t="s">
        <v>519</v>
      </c>
      <c r="C828" s="14" t="str">
        <f>VLOOKUP(B828,weights!A:B,2,FALSE)</f>
        <v>M</v>
      </c>
      <c r="D828" s="13">
        <v>826</v>
      </c>
      <c r="E828" s="14" t="s">
        <v>1319</v>
      </c>
      <c r="F828" s="14" t="s">
        <v>975</v>
      </c>
      <c r="G828" s="15"/>
      <c r="H828" s="18"/>
      <c r="I828" s="18"/>
      <c r="J828" s="14">
        <v>827</v>
      </c>
      <c r="K828" s="14">
        <f>VLOOKUP(B828,weights!A:G,5,FALSE)</f>
        <v>2</v>
      </c>
      <c r="L828" s="14">
        <f>VLOOKUP(B828,weights!A:G,6,FALSE)</f>
        <v>7</v>
      </c>
      <c r="M828" s="14">
        <f>VLOOKUP(B828,weights!A:G,7,FALSE)</f>
        <v>10</v>
      </c>
      <c r="N828" t="s">
        <v>4313</v>
      </c>
      <c r="O828">
        <v>547</v>
      </c>
      <c r="P828">
        <v>48.952726329900003</v>
      </c>
      <c r="Q828">
        <v>2.3434612795300001</v>
      </c>
      <c r="R828" s="22">
        <v>48</v>
      </c>
      <c r="S828" s="22">
        <v>57</v>
      </c>
      <c r="T828" s="22">
        <v>12</v>
      </c>
      <c r="U828" s="24">
        <f>R828+S828/60+T828/3600</f>
        <v>48.953333333333333</v>
      </c>
      <c r="V828" s="28">
        <f>ABS(U828-P828)/P828</f>
        <v>1.2399788098416477E-5</v>
      </c>
      <c r="W828" s="22">
        <v>2</v>
      </c>
      <c r="X828" s="22">
        <v>20</v>
      </c>
      <c r="Y828" s="22">
        <v>37</v>
      </c>
      <c r="Z828" s="14">
        <f>W828+X828/60+Y828/3600</f>
        <v>2.3436111111111111</v>
      </c>
      <c r="AA828" s="26">
        <f>ABS(Z828-Q828)/Q828</f>
        <v>6.3936017385824814E-5</v>
      </c>
      <c r="AB828" s="26"/>
      <c r="AC828" s="24">
        <f>U828</f>
        <v>48.953333333333333</v>
      </c>
      <c r="AD828" s="14">
        <f>Z828</f>
        <v>2.3436111111111111</v>
      </c>
    </row>
    <row r="829" spans="1:30" s="14" customFormat="1">
      <c r="A829" s="12">
        <v>7</v>
      </c>
      <c r="B829" s="12" t="s">
        <v>519</v>
      </c>
      <c r="C829" s="14" t="str">
        <f>VLOOKUP(B829,weights!A:B,2,FALSE)</f>
        <v>M</v>
      </c>
      <c r="D829" s="13">
        <v>827</v>
      </c>
      <c r="E829" s="14" t="s">
        <v>1373</v>
      </c>
      <c r="F829" s="14" t="s">
        <v>976</v>
      </c>
      <c r="G829" s="15"/>
      <c r="H829" s="18"/>
      <c r="I829" s="18"/>
      <c r="J829" s="14">
        <v>828</v>
      </c>
      <c r="K829" s="14">
        <f>VLOOKUP(B829,weights!A:G,5,FALSE)</f>
        <v>2</v>
      </c>
      <c r="L829" s="14">
        <f>VLOOKUP(B829,weights!A:G,6,FALSE)</f>
        <v>7</v>
      </c>
      <c r="M829" s="14">
        <f>VLOOKUP(B829,weights!A:G,7,FALSE)</f>
        <v>10</v>
      </c>
      <c r="N829" t="s">
        <v>5075</v>
      </c>
      <c r="O829">
        <v>810</v>
      </c>
      <c r="P829">
        <v>48.956671845999999</v>
      </c>
      <c r="Q829">
        <v>2.3431092357300001</v>
      </c>
      <c r="R829" s="22">
        <v>48</v>
      </c>
      <c r="S829" s="22">
        <v>57</v>
      </c>
      <c r="T829" s="22">
        <v>24</v>
      </c>
      <c r="U829" s="24">
        <f>R829+S829/60+T829/3600</f>
        <v>48.956666666666671</v>
      </c>
      <c r="V829" s="28">
        <f>ABS(U829-P829)/P829</f>
        <v>1.0579422851158137E-7</v>
      </c>
      <c r="W829" s="22">
        <v>2</v>
      </c>
      <c r="X829" s="22">
        <v>20</v>
      </c>
      <c r="Y829" s="22">
        <v>38</v>
      </c>
      <c r="Z829" s="14">
        <f>W829+X829/60+Y829/3600</f>
        <v>2.3438888888888889</v>
      </c>
      <c r="AA829" s="26">
        <f>ABS(Z829-Q829)/Q829</f>
        <v>3.327429839804013E-4</v>
      </c>
      <c r="AB829" s="26"/>
      <c r="AC829" s="24">
        <f>U829</f>
        <v>48.956666666666671</v>
      </c>
      <c r="AD829" s="14">
        <f>Z829</f>
        <v>2.3438888888888889</v>
      </c>
    </row>
    <row r="830" spans="1:30" s="14" customFormat="1">
      <c r="A830" s="12">
        <v>8</v>
      </c>
      <c r="B830" s="12" t="s">
        <v>519</v>
      </c>
      <c r="C830" s="14" t="str">
        <f>VLOOKUP(B830,weights!A:B,2,FALSE)</f>
        <v>M</v>
      </c>
      <c r="D830" s="13">
        <v>828</v>
      </c>
      <c r="E830" s="14" t="s">
        <v>1435</v>
      </c>
      <c r="F830" s="14" t="s">
        <v>977</v>
      </c>
      <c r="G830" s="15" t="s">
        <v>563</v>
      </c>
      <c r="H830" s="18" t="s">
        <v>1920</v>
      </c>
      <c r="I830" s="18"/>
      <c r="K830" s="14">
        <f>VLOOKUP(B830,weights!A:G,5,FALSE)</f>
        <v>2</v>
      </c>
      <c r="L830" s="14">
        <f>VLOOKUP(B830,weights!A:G,6,FALSE)</f>
        <v>7</v>
      </c>
      <c r="M830" s="14">
        <f>VLOOKUP(B830,weights!A:G,7,FALSE)</f>
        <v>10</v>
      </c>
      <c r="N830" t="s">
        <v>5961</v>
      </c>
      <c r="O830">
        <v>546</v>
      </c>
      <c r="P830">
        <v>48.9596759565</v>
      </c>
      <c r="Q830">
        <v>2.3427341679499998</v>
      </c>
      <c r="R830" s="22">
        <v>48</v>
      </c>
      <c r="S830" s="22">
        <v>57</v>
      </c>
      <c r="T830" s="22">
        <v>34</v>
      </c>
      <c r="U830" s="24">
        <f>R830+S830/60+T830/3600</f>
        <v>48.959444444444451</v>
      </c>
      <c r="V830" s="28">
        <f>ABS(U830-P830)/P830</f>
        <v>4.7286272024161881E-6</v>
      </c>
      <c r="W830" s="22">
        <v>2</v>
      </c>
      <c r="X830" s="22">
        <v>20</v>
      </c>
      <c r="Y830" s="22">
        <v>31</v>
      </c>
      <c r="Z830" s="14">
        <f>W830+X830/60+Y830/3600</f>
        <v>2.3419444444444446</v>
      </c>
      <c r="AA830" s="26">
        <f>ABS(Z830-Q830)/Q830</f>
        <v>3.3709479989623304E-4</v>
      </c>
      <c r="AB830" s="26"/>
      <c r="AC830" s="24">
        <f>U830</f>
        <v>48.959444444444451</v>
      </c>
      <c r="AD830" s="14">
        <f>Z830</f>
        <v>2.3419444444444446</v>
      </c>
    </row>
    <row r="831" spans="1:30" s="14" customFormat="1">
      <c r="A831" s="12">
        <v>9</v>
      </c>
      <c r="B831" s="12" t="s">
        <v>519</v>
      </c>
      <c r="C831" s="14" t="str">
        <f>VLOOKUP(B831,weights!A:B,2,FALSE)</f>
        <v>M</v>
      </c>
      <c r="D831" s="13">
        <v>829</v>
      </c>
      <c r="E831" s="14" t="s">
        <v>1251</v>
      </c>
      <c r="F831" s="14" t="s">
        <v>978</v>
      </c>
      <c r="G831" s="15"/>
      <c r="H831" s="18"/>
      <c r="I831" s="18"/>
      <c r="J831" s="14">
        <v>830</v>
      </c>
      <c r="K831" s="14">
        <f>VLOOKUP(B831,weights!A:G,5,FALSE)</f>
        <v>2</v>
      </c>
      <c r="L831" s="14">
        <f>VLOOKUP(B831,weights!A:G,6,FALSE)</f>
        <v>7</v>
      </c>
      <c r="M831" s="14">
        <f>VLOOKUP(B831,weights!A:G,7,FALSE)</f>
        <v>10</v>
      </c>
      <c r="N831" t="s">
        <v>3350</v>
      </c>
      <c r="O831">
        <v>548</v>
      </c>
      <c r="P831">
        <v>48.947807649600001</v>
      </c>
      <c r="Q831">
        <v>2.3391809234199998</v>
      </c>
      <c r="R831" s="22">
        <v>48</v>
      </c>
      <c r="S831" s="22">
        <v>56</v>
      </c>
      <c r="T831" s="22">
        <v>53</v>
      </c>
      <c r="U831" s="24">
        <f>R831+S831/60+T831/3600</f>
        <v>48.948055555555555</v>
      </c>
      <c r="V831" s="28">
        <f>ABS(U831-P831)/P831</f>
        <v>5.0646998805071792E-6</v>
      </c>
      <c r="W831" s="22">
        <v>2</v>
      </c>
      <c r="X831" s="22">
        <v>20</v>
      </c>
      <c r="Y831" s="22">
        <v>19</v>
      </c>
      <c r="Z831" s="14">
        <f>W831+X831/60+Y831/3600</f>
        <v>2.3386111111111112</v>
      </c>
      <c r="AA831" s="26">
        <f>ABS(Z831-Q831)/Q831</f>
        <v>2.4359479986505087E-4</v>
      </c>
      <c r="AB831" s="26"/>
      <c r="AC831" s="24">
        <f>U831</f>
        <v>48.948055555555555</v>
      </c>
      <c r="AD831" s="14">
        <f>Z831</f>
        <v>2.3386111111111112</v>
      </c>
    </row>
    <row r="832" spans="1:30" s="14" customFormat="1">
      <c r="A832" s="12">
        <v>10</v>
      </c>
      <c r="B832" s="12" t="s">
        <v>519</v>
      </c>
      <c r="C832" s="14" t="str">
        <f>VLOOKUP(B832,weights!A:B,2,FALSE)</f>
        <v>M</v>
      </c>
      <c r="D832" s="13">
        <v>830</v>
      </c>
      <c r="E832" s="14" t="s">
        <v>1348</v>
      </c>
      <c r="F832" s="14" t="s">
        <v>979</v>
      </c>
      <c r="G832" s="15"/>
      <c r="H832" s="18"/>
      <c r="I832" s="18"/>
      <c r="J832" s="14">
        <v>831</v>
      </c>
      <c r="K832" s="14">
        <f>VLOOKUP(B832,weights!A:G,5,FALSE)</f>
        <v>2</v>
      </c>
      <c r="L832" s="14">
        <f>VLOOKUP(B832,weights!A:G,6,FALSE)</f>
        <v>7</v>
      </c>
      <c r="M832" s="14">
        <f>VLOOKUP(B832,weights!A:G,7,FALSE)</f>
        <v>10</v>
      </c>
      <c r="N832" t="s">
        <v>4590</v>
      </c>
      <c r="O832">
        <v>549</v>
      </c>
      <c r="P832">
        <v>48.949937735699997</v>
      </c>
      <c r="Q832">
        <v>2.3288321713500002</v>
      </c>
      <c r="R832" s="22">
        <v>48</v>
      </c>
      <c r="S832" s="22">
        <v>57</v>
      </c>
      <c r="T832" s="22">
        <v>0</v>
      </c>
      <c r="U832" s="24">
        <f>R832+S832/60+T832/3600</f>
        <v>48.95</v>
      </c>
      <c r="V832" s="28">
        <f>ABS(U832-P832)/P832</f>
        <v>1.2719995751956827E-6</v>
      </c>
      <c r="W832" s="22">
        <v>2</v>
      </c>
      <c r="X832" s="22">
        <v>19</v>
      </c>
      <c r="Y832" s="22">
        <v>44</v>
      </c>
      <c r="Z832" s="14">
        <f>W832+X832/60+Y832/3600</f>
        <v>2.3288888888888888</v>
      </c>
      <c r="AA832" s="26">
        <f>ABS(Z832-Q832)/Q832</f>
        <v>2.4354498184257628E-5</v>
      </c>
      <c r="AB832" s="26"/>
      <c r="AC832" s="24">
        <f>U832</f>
        <v>48.95</v>
      </c>
      <c r="AD832" s="14">
        <f>Z832</f>
        <v>2.3288888888888888</v>
      </c>
    </row>
    <row r="833" spans="1:30" s="14" customFormat="1">
      <c r="A833" s="12">
        <v>11</v>
      </c>
      <c r="B833" s="12" t="s">
        <v>519</v>
      </c>
      <c r="C833" s="14" t="str">
        <f>VLOOKUP(B833,weights!A:B,2,FALSE)</f>
        <v>M</v>
      </c>
      <c r="D833" s="13">
        <v>831</v>
      </c>
      <c r="E833" s="14" t="s">
        <v>1341</v>
      </c>
      <c r="F833" s="14" t="s">
        <v>980</v>
      </c>
      <c r="G833" s="15"/>
      <c r="H833" s="18"/>
      <c r="I833" s="18"/>
      <c r="J833" s="14">
        <v>832</v>
      </c>
      <c r="K833" s="14">
        <f>VLOOKUP(B833,weights!A:G,5,FALSE)</f>
        <v>2</v>
      </c>
      <c r="L833" s="14">
        <f>VLOOKUP(B833,weights!A:G,6,FALSE)</f>
        <v>7</v>
      </c>
      <c r="M833" s="14">
        <f>VLOOKUP(B833,weights!A:G,7,FALSE)</f>
        <v>10</v>
      </c>
      <c r="N833" t="s">
        <v>4551</v>
      </c>
      <c r="O833">
        <v>454</v>
      </c>
      <c r="P833">
        <v>48.951708783599997</v>
      </c>
      <c r="Q833">
        <v>2.3202165216699999</v>
      </c>
      <c r="R833" s="22">
        <v>48</v>
      </c>
      <c r="S833" s="22">
        <v>57</v>
      </c>
      <c r="T833" s="22">
        <v>6</v>
      </c>
      <c r="U833" s="24">
        <f>R833+S833/60+T833/3600</f>
        <v>48.951666666666668</v>
      </c>
      <c r="V833" s="28">
        <f>ABS(U833-P833)/P833</f>
        <v>8.6037718347126179E-7</v>
      </c>
      <c r="W833" s="22">
        <v>2</v>
      </c>
      <c r="X833" s="22">
        <v>19</v>
      </c>
      <c r="Y833" s="22">
        <v>13</v>
      </c>
      <c r="Z833" s="14">
        <f>W833+X833/60+Y833/3600</f>
        <v>2.3202777777777777</v>
      </c>
      <c r="AA833" s="26">
        <f>ABS(Z833-Q833)/Q833</f>
        <v>2.6401030768305618E-5</v>
      </c>
      <c r="AB833" s="26"/>
      <c r="AC833" s="24">
        <f>U833</f>
        <v>48.951666666666668</v>
      </c>
      <c r="AD833" s="14">
        <f>Z833</f>
        <v>2.3202777777777777</v>
      </c>
    </row>
    <row r="834" spans="1:30" s="14" customFormat="1">
      <c r="A834" s="12">
        <v>12</v>
      </c>
      <c r="B834" s="12" t="s">
        <v>519</v>
      </c>
      <c r="C834" s="14" t="str">
        <f>VLOOKUP(B834,weights!A:B,2,FALSE)</f>
        <v>M</v>
      </c>
      <c r="D834" s="13">
        <v>832</v>
      </c>
      <c r="E834" s="14" t="s">
        <v>1406</v>
      </c>
      <c r="F834" s="14" t="s">
        <v>981</v>
      </c>
      <c r="G834" s="15"/>
      <c r="H834" s="18"/>
      <c r="I834" s="18"/>
      <c r="J834" s="14">
        <v>833</v>
      </c>
      <c r="K834" s="14">
        <f>VLOOKUP(B834,weights!A:G,5,FALSE)</f>
        <v>2</v>
      </c>
      <c r="L834" s="14">
        <f>VLOOKUP(B834,weights!A:G,6,FALSE)</f>
        <v>7</v>
      </c>
      <c r="M834" s="14">
        <f>VLOOKUP(B834,weights!A:G,7,FALSE)</f>
        <v>10</v>
      </c>
      <c r="N834" t="s">
        <v>5478</v>
      </c>
      <c r="O834">
        <v>696</v>
      </c>
      <c r="P834">
        <v>48.953168246799997</v>
      </c>
      <c r="Q834">
        <v>2.3154036121099999</v>
      </c>
      <c r="R834" s="22">
        <v>48</v>
      </c>
      <c r="S834" s="22">
        <v>57</v>
      </c>
      <c r="T834" s="22">
        <v>11</v>
      </c>
      <c r="U834" s="24">
        <f>R834+S834/60+T834/3600</f>
        <v>48.953055555555558</v>
      </c>
      <c r="V834" s="28">
        <f>ABS(U834-P834)/P834</f>
        <v>2.302021472256807E-6</v>
      </c>
      <c r="W834" s="22">
        <v>2</v>
      </c>
      <c r="X834" s="22">
        <v>18</v>
      </c>
      <c r="Y834" s="22">
        <v>56</v>
      </c>
      <c r="Z834" s="14">
        <f>W834+X834/60+Y834/3600</f>
        <v>2.3155555555555556</v>
      </c>
      <c r="AA834" s="26">
        <f>ABS(Z834-Q834)/Q834</f>
        <v>6.562287661684475E-5</v>
      </c>
      <c r="AB834" s="26"/>
      <c r="AC834" s="24">
        <f>U834</f>
        <v>48.953055555555558</v>
      </c>
      <c r="AD834" s="14">
        <f>Z834</f>
        <v>2.3155555555555556</v>
      </c>
    </row>
    <row r="835" spans="1:30" s="14" customFormat="1">
      <c r="A835" s="12">
        <v>13</v>
      </c>
      <c r="B835" s="12" t="s">
        <v>519</v>
      </c>
      <c r="C835" s="14" t="str">
        <f>VLOOKUP(B835,weights!A:B,2,FALSE)</f>
        <v>M</v>
      </c>
      <c r="D835" s="13">
        <v>833</v>
      </c>
      <c r="E835" s="14" t="s">
        <v>1332</v>
      </c>
      <c r="F835" s="14" t="s">
        <v>982</v>
      </c>
      <c r="G835" s="15"/>
      <c r="H835" s="18"/>
      <c r="I835" s="18"/>
      <c r="J835" s="14">
        <v>834</v>
      </c>
      <c r="K835" s="14">
        <f>VLOOKUP(B835,weights!A:G,5,FALSE)</f>
        <v>2</v>
      </c>
      <c r="L835" s="14">
        <f>VLOOKUP(B835,weights!A:G,6,FALSE)</f>
        <v>7</v>
      </c>
      <c r="M835" s="14">
        <f>VLOOKUP(B835,weights!A:G,7,FALSE)</f>
        <v>10</v>
      </c>
      <c r="N835" t="s">
        <v>4454</v>
      </c>
      <c r="O835">
        <v>455</v>
      </c>
      <c r="P835">
        <v>48.9558768749</v>
      </c>
      <c r="Q835">
        <v>2.31152630869</v>
      </c>
      <c r="R835" s="22">
        <v>48</v>
      </c>
      <c r="S835" s="22">
        <v>57</v>
      </c>
      <c r="T835" s="22">
        <v>19</v>
      </c>
      <c r="U835" s="24">
        <f>R835+S835/60+T835/3600</f>
        <v>48.955277777777781</v>
      </c>
      <c r="V835" s="28">
        <f>ABS(U835-P835)/P835</f>
        <v>1.2237491399650756E-5</v>
      </c>
      <c r="W835" s="22">
        <v>2</v>
      </c>
      <c r="X835" s="22">
        <v>18</v>
      </c>
      <c r="Y835" s="22">
        <v>44</v>
      </c>
      <c r="Z835" s="14">
        <f>W835+X835/60+Y835/3600</f>
        <v>2.3122222222222222</v>
      </c>
      <c r="AA835" s="26">
        <f>ABS(Z835-Q835)/Q835</f>
        <v>3.0106234551861746E-4</v>
      </c>
      <c r="AB835" s="26"/>
      <c r="AC835" s="24">
        <f>U835</f>
        <v>48.955277777777781</v>
      </c>
      <c r="AD835" s="14">
        <f>Z835</f>
        <v>2.3122222222222222</v>
      </c>
    </row>
    <row r="836" spans="1:30" s="14" customFormat="1">
      <c r="A836" s="12">
        <v>14</v>
      </c>
      <c r="B836" s="12" t="s">
        <v>519</v>
      </c>
      <c r="C836" s="14" t="str">
        <f>VLOOKUP(B836,weights!A:B,2,FALSE)</f>
        <v>M</v>
      </c>
      <c r="D836" s="13">
        <v>834</v>
      </c>
      <c r="E836" s="14" t="s">
        <v>1302</v>
      </c>
      <c r="F836" s="14" t="s">
        <v>983</v>
      </c>
      <c r="G836" s="15"/>
      <c r="H836" s="18"/>
      <c r="I836" s="18"/>
      <c r="J836" s="14">
        <v>835</v>
      </c>
      <c r="K836" s="14">
        <f>VLOOKUP(B836,weights!A:G,5,FALSE)</f>
        <v>2</v>
      </c>
      <c r="L836" s="14">
        <f>VLOOKUP(B836,weights!A:G,6,FALSE)</f>
        <v>7</v>
      </c>
      <c r="M836" s="14">
        <f>VLOOKUP(B836,weights!A:G,7,FALSE)</f>
        <v>10</v>
      </c>
      <c r="N836" t="s">
        <v>4154</v>
      </c>
      <c r="O836">
        <v>625</v>
      </c>
      <c r="P836">
        <v>48.955437426099998</v>
      </c>
      <c r="Q836">
        <v>2.3078725683500001</v>
      </c>
      <c r="R836" s="22">
        <v>48</v>
      </c>
      <c r="S836" s="22">
        <v>57</v>
      </c>
      <c r="T836" s="22">
        <v>19</v>
      </c>
      <c r="U836" s="24">
        <f>R836+S836/60+T836/3600</f>
        <v>48.955277777777781</v>
      </c>
      <c r="V836" s="28">
        <f>ABS(U836-P836)/P836</f>
        <v>3.2610947958183404E-6</v>
      </c>
      <c r="W836" s="22">
        <v>2</v>
      </c>
      <c r="X836" s="22">
        <v>18</v>
      </c>
      <c r="Y836" s="22">
        <v>29</v>
      </c>
      <c r="Z836" s="14">
        <f>W836+X836/60+Y836/3600</f>
        <v>2.3080555555555553</v>
      </c>
      <c r="AA836" s="26">
        <f>ABS(Z836-Q836)/Q836</f>
        <v>7.9288262300389027E-5</v>
      </c>
      <c r="AB836" s="26"/>
      <c r="AC836" s="24">
        <f>U836</f>
        <v>48.955277777777781</v>
      </c>
      <c r="AD836" s="14">
        <f>Z836</f>
        <v>2.3080555555555553</v>
      </c>
    </row>
    <row r="837" spans="1:30" s="14" customFormat="1">
      <c r="A837" s="12">
        <v>15</v>
      </c>
      <c r="B837" s="12" t="s">
        <v>519</v>
      </c>
      <c r="C837" s="14" t="str">
        <f>VLOOKUP(B837,weights!A:B,2,FALSE)</f>
        <v>M</v>
      </c>
      <c r="D837" s="13">
        <v>835</v>
      </c>
      <c r="E837" s="14" t="s">
        <v>581</v>
      </c>
      <c r="F837" s="14" t="s">
        <v>984</v>
      </c>
      <c r="G837" s="15" t="s">
        <v>986</v>
      </c>
      <c r="H837" s="18" t="s">
        <v>1922</v>
      </c>
      <c r="I837" s="18" t="s">
        <v>1921</v>
      </c>
      <c r="J837" s="14">
        <v>836</v>
      </c>
      <c r="K837" s="14">
        <f>VLOOKUP(B837,weights!A:G,5,FALSE)</f>
        <v>2</v>
      </c>
      <c r="L837" s="14">
        <f>VLOOKUP(B837,weights!A:G,6,FALSE)</f>
        <v>7</v>
      </c>
      <c r="M837" s="14">
        <f>VLOOKUP(B837,weights!A:G,7,FALSE)</f>
        <v>10</v>
      </c>
      <c r="N837" t="s">
        <v>3941</v>
      </c>
      <c r="O837">
        <v>596</v>
      </c>
      <c r="P837">
        <v>48.953396465300003</v>
      </c>
      <c r="Q837">
        <v>2.3023404201500002</v>
      </c>
      <c r="R837" s="22">
        <v>48</v>
      </c>
      <c r="S837" s="22">
        <v>57</v>
      </c>
      <c r="T837" s="22">
        <v>21</v>
      </c>
      <c r="U837" s="24">
        <f>R837+S837/60+T837/3600</f>
        <v>48.955833333333338</v>
      </c>
      <c r="V837" s="28">
        <f>ABS(U837-P837)/P837</f>
        <v>4.9779345444654868E-5</v>
      </c>
      <c r="W837" s="22">
        <v>2</v>
      </c>
      <c r="X837" s="22">
        <v>18</v>
      </c>
      <c r="Y837" s="22">
        <v>7</v>
      </c>
      <c r="Z837" s="14">
        <f>W837+X837/60+Y837/3600</f>
        <v>2.3019444444444441</v>
      </c>
      <c r="AA837" s="26">
        <f>ABS(Z837-Q837)/Q837</f>
        <v>1.7198833938304075E-4</v>
      </c>
      <c r="AB837" s="26"/>
      <c r="AC837" s="24">
        <f>U837</f>
        <v>48.955833333333338</v>
      </c>
      <c r="AD837" s="14">
        <f>Z837</f>
        <v>2.3019444444444441</v>
      </c>
    </row>
    <row r="838" spans="1:30" s="14" customFormat="1">
      <c r="A838" s="12">
        <v>16</v>
      </c>
      <c r="B838" s="12" t="s">
        <v>519</v>
      </c>
      <c r="C838" s="14" t="str">
        <f>VLOOKUP(B838,weights!A:B,2,FALSE)</f>
        <v>M</v>
      </c>
      <c r="D838" s="13">
        <v>836</v>
      </c>
      <c r="E838" s="14" t="s">
        <v>1286</v>
      </c>
      <c r="F838" s="14" t="s">
        <v>985</v>
      </c>
      <c r="G838" s="15"/>
      <c r="H838" s="18"/>
      <c r="I838" s="18"/>
      <c r="K838" s="14">
        <f>VLOOKUP(B838,weights!A:G,5,FALSE)</f>
        <v>2</v>
      </c>
      <c r="L838" s="14">
        <f>VLOOKUP(B838,weights!A:G,6,FALSE)</f>
        <v>7</v>
      </c>
      <c r="M838" s="14">
        <f>VLOOKUP(B838,weights!A:G,7,FALSE)</f>
        <v>10</v>
      </c>
      <c r="N838" t="s">
        <v>3935</v>
      </c>
      <c r="O838">
        <v>456</v>
      </c>
      <c r="P838">
        <v>48.9555044771</v>
      </c>
      <c r="Q838">
        <v>2.2955916949000001</v>
      </c>
      <c r="R838" s="22">
        <v>48</v>
      </c>
      <c r="S838" s="22">
        <v>57</v>
      </c>
      <c r="T838" s="22">
        <v>20</v>
      </c>
      <c r="U838" s="24">
        <f>R838+S838/60+T838/3600</f>
        <v>48.955555555555556</v>
      </c>
      <c r="V838" s="28">
        <f>ABS(U838-P838)/P838</f>
        <v>1.043364910676103E-6</v>
      </c>
      <c r="W838" s="22">
        <v>2</v>
      </c>
      <c r="X838" s="22">
        <v>17</v>
      </c>
      <c r="Y838" s="22">
        <v>45</v>
      </c>
      <c r="Z838" s="14">
        <f>W838+X838/60+Y838/3600</f>
        <v>2.2958333333333334</v>
      </c>
      <c r="AA838" s="26">
        <f>ABS(Z838-Q838)/Q838</f>
        <v>1.0526193916369471E-4</v>
      </c>
      <c r="AB838" s="26"/>
      <c r="AC838" s="24">
        <f>U838</f>
        <v>48.955555555555556</v>
      </c>
      <c r="AD838" s="14">
        <f>Z838</f>
        <v>2.2958333333333334</v>
      </c>
    </row>
    <row r="839" spans="1:30" s="14" customFormat="1">
      <c r="A839" s="12">
        <v>0</v>
      </c>
      <c r="B839" s="12" t="s">
        <v>563</v>
      </c>
      <c r="C839" s="14" t="str">
        <f>VLOOKUP(B839,weights!A:B,2,FALSE)</f>
        <v>P</v>
      </c>
      <c r="D839" s="13">
        <v>837</v>
      </c>
      <c r="E839" s="14" t="s">
        <v>581</v>
      </c>
      <c r="F839" s="14" t="s">
        <v>987</v>
      </c>
      <c r="G839" s="15" t="s">
        <v>994</v>
      </c>
      <c r="H839" s="18" t="s">
        <v>1816</v>
      </c>
      <c r="I839" s="18" t="s">
        <v>1921</v>
      </c>
      <c r="K839" s="14">
        <f>VLOOKUP(B839,weights!A:G,5,FALSE)</f>
        <v>2.14</v>
      </c>
      <c r="L839" s="14">
        <f>VLOOKUP(B839,weights!A:G,6,FALSE)</f>
        <v>7</v>
      </c>
      <c r="M839" s="14">
        <f>VLOOKUP(B839,weights!A:G,7,FALSE)</f>
        <v>10</v>
      </c>
      <c r="N839" t="s">
        <v>3945</v>
      </c>
      <c r="O839">
        <v>413</v>
      </c>
      <c r="P839">
        <v>48.958269600100003</v>
      </c>
      <c r="Q839">
        <v>2.3282450157799999</v>
      </c>
      <c r="R839" s="22">
        <v>48</v>
      </c>
      <c r="S839" s="22">
        <v>57</v>
      </c>
      <c r="T839" s="22">
        <v>15</v>
      </c>
      <c r="U839" s="24">
        <f>R839+S839/60+T839/3600</f>
        <v>48.954166666666673</v>
      </c>
      <c r="V839" s="28">
        <f>ABS(U839-P839)/P839</f>
        <v>8.3804706882897173E-5</v>
      </c>
      <c r="W839" s="22">
        <v>2</v>
      </c>
      <c r="X839" s="22">
        <v>18</v>
      </c>
      <c r="Y839" s="22">
        <v>8</v>
      </c>
      <c r="Z839" s="14">
        <f>W839+X839/60+Y839/3600</f>
        <v>2.3022222222222219</v>
      </c>
      <c r="AA839" s="26">
        <f>ABS(Z839-Q839)/Q839</f>
        <v>1.1176999577537962E-2</v>
      </c>
      <c r="AB839" s="26"/>
      <c r="AC839" s="24">
        <f>U839</f>
        <v>48.954166666666673</v>
      </c>
      <c r="AD839" s="14">
        <f>Z839</f>
        <v>2.3022222222222219</v>
      </c>
    </row>
    <row r="840" spans="1:30" s="14" customFormat="1">
      <c r="A840" s="12">
        <v>1</v>
      </c>
      <c r="B840" s="12" t="s">
        <v>563</v>
      </c>
      <c r="C840" s="14" t="str">
        <f>VLOOKUP(B840,weights!A:B,2,FALSE)</f>
        <v>P</v>
      </c>
      <c r="D840" s="13">
        <v>838</v>
      </c>
      <c r="E840" s="14" t="s">
        <v>1285</v>
      </c>
      <c r="F840" s="14" t="s">
        <v>988</v>
      </c>
      <c r="G840" s="15" t="s">
        <v>653</v>
      </c>
      <c r="H840" s="18"/>
      <c r="I840" s="18" t="s">
        <v>1923</v>
      </c>
      <c r="K840" s="14">
        <f>VLOOKUP(B840,weights!A:G,5,FALSE)</f>
        <v>2.14</v>
      </c>
      <c r="L840" s="14">
        <f>VLOOKUP(B840,weights!A:G,6,FALSE)</f>
        <v>7</v>
      </c>
      <c r="M840" s="14">
        <f>VLOOKUP(B840,weights!A:G,7,FALSE)</f>
        <v>10</v>
      </c>
      <c r="N840" t="s">
        <v>3941</v>
      </c>
      <c r="O840">
        <v>596</v>
      </c>
      <c r="P840">
        <v>48.953396465300003</v>
      </c>
      <c r="Q840">
        <v>2.3023404201500002</v>
      </c>
      <c r="R840" s="22">
        <v>48</v>
      </c>
      <c r="S840" s="22">
        <v>57</v>
      </c>
      <c r="T840" s="22">
        <v>31</v>
      </c>
      <c r="U840" s="24">
        <f>R840+S840/60+T840/3600</f>
        <v>48.958611111111111</v>
      </c>
      <c r="V840" s="28">
        <f>ABS(U840-P840)/P840</f>
        <v>1.0652265598781352E-4</v>
      </c>
      <c r="W840" s="22">
        <v>2</v>
      </c>
      <c r="X840" s="22">
        <v>19</v>
      </c>
      <c r="Y840" s="22">
        <v>41</v>
      </c>
      <c r="Z840" s="14">
        <f>W840+X840/60+Y840/3600</f>
        <v>2.3280555555555553</v>
      </c>
      <c r="AA840" s="26">
        <f>ABS(Z840-Q840)/Q840</f>
        <v>1.1169128240331972E-2</v>
      </c>
      <c r="AB840" s="26"/>
      <c r="AC840" s="24">
        <f>U840</f>
        <v>48.958611111111111</v>
      </c>
      <c r="AD840" s="14">
        <f>Z840</f>
        <v>2.3280555555555553</v>
      </c>
    </row>
    <row r="841" spans="1:30" s="14" customFormat="1">
      <c r="A841" s="12">
        <v>2</v>
      </c>
      <c r="B841" s="12" t="s">
        <v>563</v>
      </c>
      <c r="C841" s="14" t="str">
        <f>VLOOKUP(B841,weights!A:B,2,FALSE)</f>
        <v>P</v>
      </c>
      <c r="D841" s="13">
        <v>839</v>
      </c>
      <c r="E841" s="14" t="s">
        <v>1435</v>
      </c>
      <c r="F841" s="14" t="s">
        <v>989</v>
      </c>
      <c r="G841" s="15" t="s">
        <v>519</v>
      </c>
      <c r="H841" s="18" t="s">
        <v>1924</v>
      </c>
      <c r="I841" s="18"/>
      <c r="K841" s="14">
        <f>VLOOKUP(B841,weights!A:G,5,FALSE)</f>
        <v>2.14</v>
      </c>
      <c r="L841" s="14">
        <f>VLOOKUP(B841,weights!A:G,6,FALSE)</f>
        <v>7</v>
      </c>
      <c r="M841" s="14">
        <f>VLOOKUP(B841,weights!A:G,7,FALSE)</f>
        <v>10</v>
      </c>
      <c r="N841" t="s">
        <v>5961</v>
      </c>
      <c r="O841">
        <v>546</v>
      </c>
      <c r="P841">
        <v>48.9596759565</v>
      </c>
      <c r="Q841">
        <v>2.3427341679499998</v>
      </c>
      <c r="R841" s="22">
        <v>48</v>
      </c>
      <c r="S841" s="22">
        <v>57</v>
      </c>
      <c r="T841" s="22">
        <v>36</v>
      </c>
      <c r="U841" s="24">
        <f>R841+S841/60+T841/3600</f>
        <v>48.96</v>
      </c>
      <c r="V841" s="28">
        <f>ABS(U841-P841)/P841</f>
        <v>6.6185793445372028E-6</v>
      </c>
      <c r="W841" s="22">
        <v>2</v>
      </c>
      <c r="X841" s="22">
        <v>20</v>
      </c>
      <c r="Y841" s="22">
        <v>29</v>
      </c>
      <c r="Z841" s="14">
        <f>W841+X841/60+Y841/3600</f>
        <v>2.341388888888889</v>
      </c>
      <c r="AA841" s="26">
        <f>ABS(Z841-Q841)/Q841</f>
        <v>5.742346184706038E-4</v>
      </c>
      <c r="AB841" s="26"/>
      <c r="AC841" s="24">
        <f>U841</f>
        <v>48.96</v>
      </c>
      <c r="AD841" s="14">
        <f>Z841</f>
        <v>2.341388888888889</v>
      </c>
    </row>
    <row r="842" spans="1:30" s="14" customFormat="1">
      <c r="A842" s="12">
        <v>3</v>
      </c>
      <c r="B842" s="12" t="s">
        <v>563</v>
      </c>
      <c r="C842" s="14" t="str">
        <f>VLOOKUP(B842,weights!A:B,2,FALSE)</f>
        <v>P</v>
      </c>
      <c r="D842" s="13">
        <v>840</v>
      </c>
      <c r="E842" s="14" t="s">
        <v>677</v>
      </c>
      <c r="F842" s="14" t="s">
        <v>990</v>
      </c>
      <c r="G842" s="15" t="s">
        <v>666</v>
      </c>
      <c r="H842" s="18"/>
      <c r="I842" s="18" t="s">
        <v>1925</v>
      </c>
      <c r="K842" s="14">
        <f>VLOOKUP(B842,weights!A:G,5,FALSE)</f>
        <v>2.14</v>
      </c>
      <c r="L842" s="14">
        <f>VLOOKUP(B842,weights!A:G,6,FALSE)</f>
        <v>7</v>
      </c>
      <c r="M842" s="14">
        <f>VLOOKUP(B842,weights!A:G,7,FALSE)</f>
        <v>10</v>
      </c>
      <c r="N842" t="s">
        <v>5177</v>
      </c>
      <c r="O842">
        <v>923</v>
      </c>
      <c r="P842">
        <v>48.963755426900001</v>
      </c>
      <c r="Q842">
        <v>2.3721031343400001</v>
      </c>
      <c r="R842" s="22">
        <v>48</v>
      </c>
      <c r="S842" s="22">
        <v>57</v>
      </c>
      <c r="T842" s="22">
        <v>43</v>
      </c>
      <c r="U842" s="24">
        <f>R842+S842/60+T842/3600</f>
        <v>48.961944444444448</v>
      </c>
      <c r="V842" s="28">
        <f>ABS(U842-P842)/P842</f>
        <v>3.6986183754961864E-5</v>
      </c>
      <c r="W842" s="22">
        <v>2</v>
      </c>
      <c r="X842" s="22">
        <v>22</v>
      </c>
      <c r="Y842" s="22">
        <v>11</v>
      </c>
      <c r="Z842" s="14">
        <f>W842+X842/60+Y842/3600</f>
        <v>2.3697222222222223</v>
      </c>
      <c r="AA842" s="26">
        <f>ABS(Z842-Q842)/Q842</f>
        <v>1.0037135752279385E-3</v>
      </c>
      <c r="AB842" s="26"/>
      <c r="AC842" s="24">
        <f>U842</f>
        <v>48.961944444444448</v>
      </c>
      <c r="AD842" s="14">
        <f>Z842</f>
        <v>2.3697222222222223</v>
      </c>
    </row>
    <row r="843" spans="1:30" s="14" customFormat="1">
      <c r="A843" s="12">
        <v>4</v>
      </c>
      <c r="B843" s="12" t="s">
        <v>563</v>
      </c>
      <c r="C843" s="14" t="str">
        <f>VLOOKUP(B843,weights!A:B,2,FALSE)</f>
        <v>P</v>
      </c>
      <c r="D843" s="13">
        <v>841</v>
      </c>
      <c r="E843" s="14" t="s">
        <v>1421</v>
      </c>
      <c r="F843" s="14" t="s">
        <v>991</v>
      </c>
      <c r="G843" s="15"/>
      <c r="H843" s="18"/>
      <c r="I843" s="18"/>
      <c r="K843" s="14">
        <f>VLOOKUP(B843,weights!A:G,5,FALSE)</f>
        <v>2.14</v>
      </c>
      <c r="L843" s="14">
        <f>VLOOKUP(B843,weights!A:G,6,FALSE)</f>
        <v>7</v>
      </c>
      <c r="M843" s="14">
        <f>VLOOKUP(B843,weights!A:G,7,FALSE)</f>
        <v>10</v>
      </c>
      <c r="N843" t="s">
        <v>4106</v>
      </c>
      <c r="O843">
        <v>493</v>
      </c>
      <c r="P843">
        <v>48.954929004500002</v>
      </c>
      <c r="Q843">
        <v>2.39095508616</v>
      </c>
      <c r="R843" s="22">
        <v>48</v>
      </c>
      <c r="S843" s="22">
        <v>57</v>
      </c>
      <c r="T843" s="22">
        <v>17</v>
      </c>
      <c r="U843" s="24">
        <f>R843+S843/60+T843/3600</f>
        <v>48.954722222222223</v>
      </c>
      <c r="V843" s="28">
        <f>ABS(U843-P843)/P843</f>
        <v>4.223931726260286E-6</v>
      </c>
      <c r="W843" s="22">
        <v>2</v>
      </c>
      <c r="X843" s="22">
        <v>23</v>
      </c>
      <c r="Y843" s="22">
        <v>30</v>
      </c>
      <c r="Z843" s="14">
        <f>W843+X843/60+Y843/3600</f>
        <v>2.3916666666666666</v>
      </c>
      <c r="AA843" s="26">
        <f>ABS(Z843-Q843)/Q843</f>
        <v>2.9761349796389458E-4</v>
      </c>
      <c r="AB843" s="26"/>
      <c r="AC843" s="24">
        <f>U843</f>
        <v>48.954722222222223</v>
      </c>
      <c r="AD843" s="14">
        <f>Z843</f>
        <v>2.3916666666666666</v>
      </c>
    </row>
    <row r="844" spans="1:30" s="14" customFormat="1">
      <c r="A844" s="12">
        <v>5</v>
      </c>
      <c r="B844" s="12" t="s">
        <v>563</v>
      </c>
      <c r="C844" s="14" t="str">
        <f>VLOOKUP(B844,weights!A:B,2,FALSE)</f>
        <v>P</v>
      </c>
      <c r="D844" s="13">
        <v>842</v>
      </c>
      <c r="E844" s="14" t="s">
        <v>1283</v>
      </c>
      <c r="F844" s="14" t="s">
        <v>992</v>
      </c>
      <c r="G844" s="15"/>
      <c r="H844" s="18"/>
      <c r="I844" s="18"/>
      <c r="K844" s="14">
        <f>VLOOKUP(B844,weights!A:G,5,FALSE)</f>
        <v>2.14</v>
      </c>
      <c r="L844" s="14">
        <f>VLOOKUP(B844,weights!A:G,6,FALSE)</f>
        <v>7</v>
      </c>
      <c r="M844" s="14">
        <f>VLOOKUP(B844,weights!A:G,7,FALSE)</f>
        <v>10</v>
      </c>
      <c r="R844" s="22">
        <v>48</v>
      </c>
      <c r="S844" s="22">
        <v>56</v>
      </c>
      <c r="T844" s="22">
        <v>39</v>
      </c>
      <c r="U844" s="24">
        <f>R844+S844/60+T844/3600</f>
        <v>48.944166666666661</v>
      </c>
      <c r="V844" s="28" t="e">
        <f>ABS(U844-P844)/P844</f>
        <v>#DIV/0!</v>
      </c>
      <c r="W844" s="22">
        <v>2</v>
      </c>
      <c r="X844" s="22">
        <v>24</v>
      </c>
      <c r="Y844" s="22">
        <v>39</v>
      </c>
      <c r="Z844" s="14">
        <f>W844+X844/60+Y844/3600</f>
        <v>2.4108333333333332</v>
      </c>
      <c r="AA844" s="26" t="e">
        <f>ABS(Z844-Q844)/Q844</f>
        <v>#DIV/0!</v>
      </c>
      <c r="AB844" s="26"/>
      <c r="AC844" s="24">
        <f>U844</f>
        <v>48.944166666666661</v>
      </c>
      <c r="AD844" s="14">
        <f>Z844</f>
        <v>2.4108333333333332</v>
      </c>
    </row>
    <row r="845" spans="1:30" s="14" customFormat="1">
      <c r="A845" s="12">
        <v>6</v>
      </c>
      <c r="B845" s="12" t="s">
        <v>563</v>
      </c>
      <c r="C845" s="14" t="str">
        <f>VLOOKUP(B845,weights!A:B,2,FALSE)</f>
        <v>P</v>
      </c>
      <c r="D845" s="13">
        <v>843</v>
      </c>
      <c r="E845" s="14" t="s">
        <v>1336</v>
      </c>
      <c r="F845" s="14" t="s">
        <v>993</v>
      </c>
      <c r="G845" s="15" t="s">
        <v>571</v>
      </c>
      <c r="H845" s="18"/>
      <c r="I845" s="18" t="s">
        <v>1926</v>
      </c>
      <c r="K845" s="14">
        <f>VLOOKUP(B845,weights!A:G,5,FALSE)</f>
        <v>2.14</v>
      </c>
      <c r="L845" s="14">
        <f>VLOOKUP(B845,weights!A:G,6,FALSE)</f>
        <v>7</v>
      </c>
      <c r="M845" s="14">
        <f>VLOOKUP(B845,weights!A:G,7,FALSE)</f>
        <v>10</v>
      </c>
      <c r="N845" t="s">
        <v>4478</v>
      </c>
      <c r="O845">
        <v>495</v>
      </c>
      <c r="P845">
        <v>48.930739570299998</v>
      </c>
      <c r="Q845">
        <v>2.4257914241999998</v>
      </c>
      <c r="R845" s="22">
        <v>48</v>
      </c>
      <c r="S845" s="22">
        <v>55</v>
      </c>
      <c r="T845" s="22">
        <v>50</v>
      </c>
      <c r="U845" s="24">
        <f>R845+S845/60+T845/3600</f>
        <v>48.93055555555555</v>
      </c>
      <c r="V845" s="28">
        <f>ABS(U845-P845)/P845</f>
        <v>3.7607186415793367E-6</v>
      </c>
      <c r="W845" s="22">
        <v>2</v>
      </c>
      <c r="X845" s="22">
        <v>25</v>
      </c>
      <c r="Y845" s="22">
        <v>28</v>
      </c>
      <c r="Z845" s="14">
        <f>W845+X845/60+Y845/3600</f>
        <v>2.4244444444444442</v>
      </c>
      <c r="AA845" s="26">
        <f>ABS(Z845-Q845)/Q845</f>
        <v>5.5527434968975688E-4</v>
      </c>
      <c r="AB845" s="26"/>
      <c r="AC845" s="24">
        <f>U845</f>
        <v>48.93055555555555</v>
      </c>
      <c r="AD845" s="14">
        <f>Z845</f>
        <v>2.4244444444444442</v>
      </c>
    </row>
    <row r="846" spans="1:30" s="14" customFormat="1">
      <c r="A846" s="12">
        <v>0</v>
      </c>
      <c r="B846" s="12" t="s">
        <v>653</v>
      </c>
      <c r="C846" s="14" t="str">
        <f>VLOOKUP(B846,weights!A:B,2,FALSE)</f>
        <v>M</v>
      </c>
      <c r="D846" s="13">
        <v>844</v>
      </c>
      <c r="E846" s="14" t="s">
        <v>679</v>
      </c>
      <c r="G846" s="15" t="s">
        <v>1494</v>
      </c>
      <c r="H846" s="18" t="s">
        <v>1928</v>
      </c>
      <c r="I846" s="18" t="s">
        <v>1927</v>
      </c>
      <c r="J846" s="14">
        <v>845</v>
      </c>
      <c r="K846" s="14">
        <f>VLOOKUP(B846,weights!A:G,5,FALSE)</f>
        <v>3.15</v>
      </c>
      <c r="L846" s="14">
        <f>VLOOKUP(B846,weights!A:G,6,FALSE)</f>
        <v>7</v>
      </c>
      <c r="M846" s="14">
        <f>VLOOKUP(B846,weights!A:G,7,FALSE)</f>
        <v>10</v>
      </c>
      <c r="N846" t="s">
        <v>4109</v>
      </c>
      <c r="O846">
        <v>817</v>
      </c>
      <c r="P846">
        <v>48.880922007599999</v>
      </c>
      <c r="Q846">
        <v>2.3563285436600001</v>
      </c>
      <c r="R846" s="22"/>
      <c r="S846" s="22"/>
      <c r="T846" s="22"/>
      <c r="U846" s="24">
        <f>R846+S846/60+T846/3600</f>
        <v>0</v>
      </c>
      <c r="V846" s="28">
        <f>ABS(U846-P846)/P846</f>
        <v>1</v>
      </c>
      <c r="W846" s="22"/>
      <c r="X846" s="22"/>
      <c r="Y846" s="22"/>
      <c r="Z846" s="14">
        <f>W846+X846/60+Y846/3600</f>
        <v>0</v>
      </c>
      <c r="AA846" s="26">
        <f>ABS(Z846-Q846)/Q846</f>
        <v>1</v>
      </c>
      <c r="AB846" s="26"/>
      <c r="AC846" s="14">
        <f>P846</f>
        <v>48.880922007599999</v>
      </c>
      <c r="AD846" s="14">
        <f>Q846</f>
        <v>2.3563285436600001</v>
      </c>
    </row>
    <row r="847" spans="1:30" s="14" customFormat="1">
      <c r="A847" s="12">
        <v>1</v>
      </c>
      <c r="B847" s="12" t="s">
        <v>653</v>
      </c>
      <c r="C847" s="14" t="str">
        <f>VLOOKUP(B847,weights!A:B,2,FALSE)</f>
        <v>M</v>
      </c>
      <c r="D847" s="13">
        <v>845</v>
      </c>
      <c r="E847" s="14" t="s">
        <v>559</v>
      </c>
      <c r="G847" s="14" t="s">
        <v>1501</v>
      </c>
      <c r="H847" s="18"/>
      <c r="I847" s="18" t="s">
        <v>1929</v>
      </c>
      <c r="J847" s="14">
        <v>846</v>
      </c>
      <c r="K847" s="14">
        <f>VLOOKUP(B847,weights!A:G,5,FALSE)</f>
        <v>3.15</v>
      </c>
      <c r="L847" s="14">
        <f>VLOOKUP(B847,weights!A:G,6,FALSE)</f>
        <v>7</v>
      </c>
      <c r="M847" s="14">
        <f>VLOOKUP(B847,weights!A:G,7,FALSE)</f>
        <v>10</v>
      </c>
      <c r="N847" t="s">
        <v>5529</v>
      </c>
      <c r="O847">
        <v>565</v>
      </c>
      <c r="P847">
        <v>48.936030605900001</v>
      </c>
      <c r="Q847">
        <v>2.3452746846800001</v>
      </c>
      <c r="R847" s="22"/>
      <c r="S847" s="22"/>
      <c r="T847" s="22"/>
      <c r="U847" s="24">
        <f>R847+S847/60+T847/3600</f>
        <v>0</v>
      </c>
      <c r="V847" s="28">
        <f>ABS(U847-P847)/P847</f>
        <v>1</v>
      </c>
      <c r="W847" s="22"/>
      <c r="X847" s="22"/>
      <c r="Y847" s="22"/>
      <c r="Z847" s="14">
        <f>W847+X847/60+Y847/3600</f>
        <v>0</v>
      </c>
      <c r="AA847" s="26">
        <f>ABS(Z847-Q847)/Q847</f>
        <v>1</v>
      </c>
      <c r="AB847" s="26"/>
      <c r="AC847" s="14">
        <f>P847</f>
        <v>48.936030605900001</v>
      </c>
      <c r="AD847" s="14">
        <f>Q847</f>
        <v>2.3452746846800001</v>
      </c>
    </row>
    <row r="848" spans="1:30" s="14" customFormat="1">
      <c r="A848" s="12">
        <v>2</v>
      </c>
      <c r="B848" s="12" t="s">
        <v>653</v>
      </c>
      <c r="C848" s="14" t="str">
        <f>VLOOKUP(B848,weights!A:B,2,FALSE)</f>
        <v>M</v>
      </c>
      <c r="D848" s="13">
        <v>846</v>
      </c>
      <c r="E848" s="14" t="s">
        <v>1285</v>
      </c>
      <c r="G848" s="14" t="s">
        <v>563</v>
      </c>
      <c r="H848" s="18"/>
      <c r="I848" s="18" t="s">
        <v>1930</v>
      </c>
      <c r="J848" s="14">
        <v>847.86099999999999</v>
      </c>
      <c r="K848" s="14">
        <f>VLOOKUP(B848,weights!A:G,5,FALSE)</f>
        <v>3.15</v>
      </c>
      <c r="L848" s="14">
        <f>VLOOKUP(B848,weights!A:G,6,FALSE)</f>
        <v>7</v>
      </c>
      <c r="M848" s="14">
        <f>VLOOKUP(B848,weights!A:G,7,FALSE)</f>
        <v>10</v>
      </c>
      <c r="N848" t="s">
        <v>3945</v>
      </c>
      <c r="O848">
        <v>413</v>
      </c>
      <c r="P848">
        <v>48.958269600100003</v>
      </c>
      <c r="Q848">
        <v>2.3282450157799999</v>
      </c>
      <c r="R848" s="22"/>
      <c r="S848" s="22"/>
      <c r="T848" s="22"/>
      <c r="U848" s="24">
        <f>R848+S848/60+T848/3600</f>
        <v>0</v>
      </c>
      <c r="V848" s="28">
        <f>ABS(U848-P848)/P848</f>
        <v>1</v>
      </c>
      <c r="W848" s="22"/>
      <c r="X848" s="22"/>
      <c r="Y848" s="22"/>
      <c r="Z848" s="14">
        <f>W848+X848/60+Y848/3600</f>
        <v>0</v>
      </c>
      <c r="AA848" s="26">
        <f>ABS(Z848-Q848)/Q848</f>
        <v>1</v>
      </c>
      <c r="AB848" s="26"/>
      <c r="AC848" s="14">
        <f>P848</f>
        <v>48.958269600100003</v>
      </c>
      <c r="AD848" s="14">
        <f>Q848</f>
        <v>2.3282450157799999</v>
      </c>
    </row>
    <row r="849" spans="1:30" s="14" customFormat="1">
      <c r="A849" s="12">
        <v>3</v>
      </c>
      <c r="B849" s="12" t="s">
        <v>653</v>
      </c>
      <c r="C849" s="14" t="str">
        <f>VLOOKUP(B849,weights!A:B,2,FALSE)</f>
        <v>M</v>
      </c>
      <c r="D849" s="13">
        <v>847</v>
      </c>
      <c r="E849" s="14" t="s">
        <v>995</v>
      </c>
      <c r="H849" s="18"/>
      <c r="I849" s="18"/>
      <c r="J849" s="14">
        <v>848</v>
      </c>
      <c r="K849" s="14">
        <f>VLOOKUP(B849,weights!A:G,5,FALSE)</f>
        <v>3.15</v>
      </c>
      <c r="L849" s="14">
        <f>VLOOKUP(B849,weights!A:G,6,FALSE)</f>
        <v>7</v>
      </c>
      <c r="M849" s="14">
        <f>VLOOKUP(B849,weights!A:G,7,FALSE)</f>
        <v>10</v>
      </c>
      <c r="N849" t="s">
        <v>3853</v>
      </c>
      <c r="O849">
        <v>728</v>
      </c>
      <c r="P849">
        <v>48.976054253100003</v>
      </c>
      <c r="Q849">
        <v>2.3385240706500001</v>
      </c>
      <c r="R849" s="22"/>
      <c r="S849" s="22"/>
      <c r="T849" s="22"/>
      <c r="U849" s="24">
        <f>R849+S849/60+T849/3600</f>
        <v>0</v>
      </c>
      <c r="V849" s="28">
        <f>ABS(U849-P849)/P849</f>
        <v>1</v>
      </c>
      <c r="W849" s="22"/>
      <c r="X849" s="22"/>
      <c r="Y849" s="22"/>
      <c r="Z849" s="14">
        <f>W849+X849/60+Y849/3600</f>
        <v>0</v>
      </c>
      <c r="AA849" s="26">
        <f>ABS(Z849-Q849)/Q849</f>
        <v>1</v>
      </c>
      <c r="AB849" s="26"/>
      <c r="AC849" s="14">
        <f>P849</f>
        <v>48.976054253100003</v>
      </c>
      <c r="AD849" s="14">
        <f>Q849</f>
        <v>2.3385240706500001</v>
      </c>
    </row>
    <row r="850" spans="1:30" s="14" customFormat="1">
      <c r="A850" s="12">
        <v>4</v>
      </c>
      <c r="B850" s="12" t="s">
        <v>653</v>
      </c>
      <c r="C850" s="14" t="str">
        <f>VLOOKUP(B850,weights!A:B,2,FALSE)</f>
        <v>M</v>
      </c>
      <c r="D850" s="13">
        <v>848</v>
      </c>
      <c r="E850" s="14" t="s">
        <v>996</v>
      </c>
      <c r="H850" s="18"/>
      <c r="I850" s="18"/>
      <c r="J850" s="14">
        <v>849</v>
      </c>
      <c r="K850" s="14">
        <f>VLOOKUP(B850,weights!A:G,5,FALSE)</f>
        <v>3.15</v>
      </c>
      <c r="L850" s="14">
        <f>VLOOKUP(B850,weights!A:G,6,FALSE)</f>
        <v>7</v>
      </c>
      <c r="M850" s="14">
        <f>VLOOKUP(B850,weights!A:G,7,FALSE)</f>
        <v>10</v>
      </c>
      <c r="N850" t="s">
        <v>4190</v>
      </c>
      <c r="O850">
        <v>177</v>
      </c>
      <c r="P850">
        <v>48.984315963900002</v>
      </c>
      <c r="Q850">
        <v>2.3534072485799999</v>
      </c>
      <c r="R850" s="22"/>
      <c r="S850" s="22"/>
      <c r="T850" s="22"/>
      <c r="U850" s="24">
        <f>R850+S850/60+T850/3600</f>
        <v>0</v>
      </c>
      <c r="V850" s="28">
        <f>ABS(U850-P850)/P850</f>
        <v>1</v>
      </c>
      <c r="W850" s="22"/>
      <c r="X850" s="22"/>
      <c r="Y850" s="22"/>
      <c r="Z850" s="14">
        <f>W850+X850/60+Y850/3600</f>
        <v>0</v>
      </c>
      <c r="AA850" s="26">
        <f>ABS(Z850-Q850)/Q850</f>
        <v>1</v>
      </c>
      <c r="AB850" s="26"/>
      <c r="AC850" s="14">
        <f>P850</f>
        <v>48.984315963900002</v>
      </c>
      <c r="AD850" s="14">
        <f>Q850</f>
        <v>2.3534072485799999</v>
      </c>
    </row>
    <row r="851" spans="1:30" s="14" customFormat="1">
      <c r="A851" s="12">
        <v>5</v>
      </c>
      <c r="B851" s="12" t="s">
        <v>653</v>
      </c>
      <c r="C851" s="14" t="str">
        <f>VLOOKUP(B851,weights!A:B,2,FALSE)</f>
        <v>M</v>
      </c>
      <c r="D851" s="13">
        <v>849</v>
      </c>
      <c r="E851" s="14" t="s">
        <v>997</v>
      </c>
      <c r="H851" s="18"/>
      <c r="I851" s="18"/>
      <c r="J851" s="14">
        <v>850</v>
      </c>
      <c r="K851" s="14">
        <f>VLOOKUP(B851,weights!A:G,5,FALSE)</f>
        <v>3.15</v>
      </c>
      <c r="L851" s="14">
        <f>VLOOKUP(B851,weights!A:G,6,FALSE)</f>
        <v>7</v>
      </c>
      <c r="M851" s="14">
        <f>VLOOKUP(B851,weights!A:G,7,FALSE)</f>
        <v>10</v>
      </c>
      <c r="N851" t="s">
        <v>5658</v>
      </c>
      <c r="O851">
        <v>609</v>
      </c>
      <c r="P851">
        <v>48.996006827800002</v>
      </c>
      <c r="Q851">
        <v>2.36868456283</v>
      </c>
      <c r="R851" s="22"/>
      <c r="S851" s="22"/>
      <c r="T851" s="22"/>
      <c r="U851" s="24">
        <f>R851+S851/60+T851/3600</f>
        <v>0</v>
      </c>
      <c r="V851" s="28">
        <f>ABS(U851-P851)/P851</f>
        <v>1</v>
      </c>
      <c r="W851" s="22"/>
      <c r="X851" s="22"/>
      <c r="Y851" s="22"/>
      <c r="Z851" s="14">
        <f>W851+X851/60+Y851/3600</f>
        <v>0</v>
      </c>
      <c r="AA851" s="26">
        <f>ABS(Z851-Q851)/Q851</f>
        <v>1</v>
      </c>
      <c r="AB851" s="26"/>
      <c r="AC851" s="14">
        <f>P851</f>
        <v>48.996006827800002</v>
      </c>
      <c r="AD851" s="14">
        <f>Q851</f>
        <v>2.36868456283</v>
      </c>
    </row>
    <row r="852" spans="1:30" s="14" customFormat="1">
      <c r="A852" s="12">
        <v>6</v>
      </c>
      <c r="B852" s="12" t="s">
        <v>653</v>
      </c>
      <c r="C852" s="14" t="str">
        <f>VLOOKUP(B852,weights!A:B,2,FALSE)</f>
        <v>M</v>
      </c>
      <c r="D852" s="13">
        <v>850</v>
      </c>
      <c r="E852" s="14" t="s">
        <v>998</v>
      </c>
      <c r="H852" s="18"/>
      <c r="I852" s="18"/>
      <c r="J852" s="14">
        <v>851</v>
      </c>
      <c r="K852" s="14">
        <f>VLOOKUP(B852,weights!A:G,5,FALSE)</f>
        <v>3.15</v>
      </c>
      <c r="L852" s="14">
        <f>VLOOKUP(B852,weights!A:G,6,FALSE)</f>
        <v>7</v>
      </c>
      <c r="M852" s="14">
        <f>VLOOKUP(B852,weights!A:G,7,FALSE)</f>
        <v>10</v>
      </c>
      <c r="N852" t="s">
        <v>3908</v>
      </c>
      <c r="O852">
        <v>784</v>
      </c>
      <c r="P852">
        <v>49.023206379000001</v>
      </c>
      <c r="Q852">
        <v>2.3622229796299998</v>
      </c>
      <c r="R852" s="22"/>
      <c r="S852" s="22"/>
      <c r="T852" s="22"/>
      <c r="U852" s="24">
        <f>R852+S852/60+T852/3600</f>
        <v>0</v>
      </c>
      <c r="V852" s="28">
        <f>ABS(U852-P852)/P852</f>
        <v>1</v>
      </c>
      <c r="W852" s="22"/>
      <c r="X852" s="22"/>
      <c r="Y852" s="22"/>
      <c r="Z852" s="14">
        <f>W852+X852/60+Y852/3600</f>
        <v>0</v>
      </c>
      <c r="AA852" s="26">
        <f>ABS(Z852-Q852)/Q852</f>
        <v>1</v>
      </c>
      <c r="AB852" s="26"/>
      <c r="AC852" s="14">
        <f>P852</f>
        <v>49.023206379000001</v>
      </c>
      <c r="AD852" s="14">
        <f>Q852</f>
        <v>2.3622229796299998</v>
      </c>
    </row>
    <row r="853" spans="1:30" s="14" customFormat="1">
      <c r="A853" s="12">
        <v>7</v>
      </c>
      <c r="B853" s="12" t="s">
        <v>653</v>
      </c>
      <c r="C853" s="14" t="str">
        <f>VLOOKUP(B853,weights!A:B,2,FALSE)</f>
        <v>M</v>
      </c>
      <c r="D853" s="13">
        <v>851</v>
      </c>
      <c r="E853" s="14" t="s">
        <v>999</v>
      </c>
      <c r="H853" s="18"/>
      <c r="I853" s="18"/>
      <c r="J853" s="14">
        <v>852</v>
      </c>
      <c r="K853" s="14">
        <f>VLOOKUP(B853,weights!A:G,5,FALSE)</f>
        <v>3.15</v>
      </c>
      <c r="L853" s="14">
        <f>VLOOKUP(B853,weights!A:G,6,FALSE)</f>
        <v>7</v>
      </c>
      <c r="M853" s="14">
        <f>VLOOKUP(B853,weights!A:G,7,FALSE)</f>
        <v>10</v>
      </c>
      <c r="N853" t="s">
        <v>3871</v>
      </c>
      <c r="O853">
        <v>669</v>
      </c>
      <c r="P853">
        <v>49.032972046799998</v>
      </c>
      <c r="Q853">
        <v>2.3368296898400001</v>
      </c>
      <c r="R853" s="22"/>
      <c r="S853" s="22"/>
      <c r="T853" s="22"/>
      <c r="U853" s="24">
        <f>R853+S853/60+T853/3600</f>
        <v>0</v>
      </c>
      <c r="V853" s="28">
        <f>ABS(U853-P853)/P853</f>
        <v>1</v>
      </c>
      <c r="W853" s="22"/>
      <c r="X853" s="22"/>
      <c r="Y853" s="22"/>
      <c r="Z853" s="14">
        <f>W853+X853/60+Y853/3600</f>
        <v>0</v>
      </c>
      <c r="AA853" s="26">
        <f>ABS(Z853-Q853)/Q853</f>
        <v>1</v>
      </c>
      <c r="AB853" s="26"/>
      <c r="AC853" s="14">
        <f>P853</f>
        <v>49.032972046799998</v>
      </c>
      <c r="AD853" s="14">
        <f>Q853</f>
        <v>2.3368296898400001</v>
      </c>
    </row>
    <row r="854" spans="1:30" s="14" customFormat="1">
      <c r="A854" s="12">
        <v>8</v>
      </c>
      <c r="B854" s="12" t="s">
        <v>653</v>
      </c>
      <c r="C854" s="14" t="str">
        <f>VLOOKUP(B854,weights!A:B,2,FALSE)</f>
        <v>M</v>
      </c>
      <c r="D854" s="13">
        <v>852</v>
      </c>
      <c r="E854" s="14" t="s">
        <v>1000</v>
      </c>
      <c r="H854" s="18"/>
      <c r="I854" s="18"/>
      <c r="J854" s="14">
        <v>853</v>
      </c>
      <c r="K854" s="14">
        <f>VLOOKUP(B854,weights!A:G,5,FALSE)</f>
        <v>3.15</v>
      </c>
      <c r="L854" s="14">
        <f>VLOOKUP(B854,weights!A:G,6,FALSE)</f>
        <v>7</v>
      </c>
      <c r="M854" s="14">
        <f>VLOOKUP(B854,weights!A:G,7,FALSE)</f>
        <v>10</v>
      </c>
      <c r="N854" t="s">
        <v>3408</v>
      </c>
      <c r="O854">
        <v>668</v>
      </c>
      <c r="P854">
        <v>49.045169460300002</v>
      </c>
      <c r="Q854">
        <v>2.3229178462300002</v>
      </c>
      <c r="R854" s="22"/>
      <c r="S854" s="22"/>
      <c r="T854" s="22"/>
      <c r="U854" s="24">
        <f>R854+S854/60+T854/3600</f>
        <v>0</v>
      </c>
      <c r="V854" s="28">
        <f>ABS(U854-P854)/P854</f>
        <v>1</v>
      </c>
      <c r="W854" s="22"/>
      <c r="X854" s="22"/>
      <c r="Y854" s="22"/>
      <c r="Z854" s="14">
        <f>W854+X854/60+Y854/3600</f>
        <v>0</v>
      </c>
      <c r="AA854" s="26">
        <f>ABS(Z854-Q854)/Q854</f>
        <v>1</v>
      </c>
      <c r="AB854" s="26"/>
      <c r="AC854" s="14">
        <f>P854</f>
        <v>49.045169460300002</v>
      </c>
      <c r="AD854" s="14">
        <f>Q854</f>
        <v>2.3229178462300002</v>
      </c>
    </row>
    <row r="855" spans="1:30" s="14" customFormat="1">
      <c r="A855" s="12">
        <v>9</v>
      </c>
      <c r="B855" s="12" t="s">
        <v>653</v>
      </c>
      <c r="C855" s="14" t="str">
        <f>VLOOKUP(B855,weights!A:B,2,FALSE)</f>
        <v>M</v>
      </c>
      <c r="D855" s="13">
        <v>853</v>
      </c>
      <c r="E855" s="14" t="s">
        <v>1001</v>
      </c>
      <c r="H855" s="18"/>
      <c r="I855" s="18"/>
      <c r="J855" s="14">
        <v>854.85900000000004</v>
      </c>
      <c r="K855" s="14">
        <f>VLOOKUP(B855,weights!A:G,5,FALSE)</f>
        <v>3.15</v>
      </c>
      <c r="L855" s="14">
        <f>VLOOKUP(B855,weights!A:G,6,FALSE)</f>
        <v>7</v>
      </c>
      <c r="M855" s="14">
        <f>VLOOKUP(B855,weights!A:G,7,FALSE)</f>
        <v>10</v>
      </c>
      <c r="N855" t="s">
        <v>4929</v>
      </c>
      <c r="O855">
        <v>667</v>
      </c>
      <c r="P855">
        <v>49.066288697700003</v>
      </c>
      <c r="Q855">
        <v>2.32292045719</v>
      </c>
      <c r="R855" s="22"/>
      <c r="S855" s="22"/>
      <c r="T855" s="22"/>
      <c r="U855" s="24">
        <f>R855+S855/60+T855/3600</f>
        <v>0</v>
      </c>
      <c r="V855" s="28">
        <f>ABS(U855-P855)/P855</f>
        <v>1</v>
      </c>
      <c r="W855" s="22"/>
      <c r="X855" s="22"/>
      <c r="Y855" s="22"/>
      <c r="Z855" s="14">
        <f>W855+X855/60+Y855/3600</f>
        <v>0</v>
      </c>
      <c r="AA855" s="26">
        <f>ABS(Z855-Q855)/Q855</f>
        <v>1</v>
      </c>
      <c r="AB855" s="26"/>
      <c r="AC855" s="14">
        <f>P855</f>
        <v>49.066288697700003</v>
      </c>
      <c r="AD855" s="14">
        <f>Q855</f>
        <v>2.32292045719</v>
      </c>
    </row>
    <row r="856" spans="1:30" s="14" customFormat="1">
      <c r="A856" s="12">
        <v>10</v>
      </c>
      <c r="B856" s="12" t="s">
        <v>653</v>
      </c>
      <c r="C856" s="14" t="str">
        <f>VLOOKUP(B856,weights!A:B,2,FALSE)</f>
        <v>M</v>
      </c>
      <c r="D856" s="13">
        <v>854</v>
      </c>
      <c r="E856" s="14" t="s">
        <v>1002</v>
      </c>
      <c r="H856" s="18"/>
      <c r="I856" s="18"/>
      <c r="J856" s="14">
        <v>855</v>
      </c>
      <c r="K856" s="14">
        <f>VLOOKUP(B856,weights!A:G,5,FALSE)</f>
        <v>3.15</v>
      </c>
      <c r="L856" s="14">
        <f>VLOOKUP(B856,weights!A:G,6,FALSE)</f>
        <v>7</v>
      </c>
      <c r="M856" s="14">
        <f>VLOOKUP(B856,weights!A:G,7,FALSE)</f>
        <v>10</v>
      </c>
      <c r="N856" t="s">
        <v>5921</v>
      </c>
      <c r="O856">
        <v>610</v>
      </c>
      <c r="P856">
        <v>49.079470232200002</v>
      </c>
      <c r="Q856">
        <v>2.3508308308400001</v>
      </c>
      <c r="R856" s="22"/>
      <c r="S856" s="22"/>
      <c r="T856" s="22"/>
      <c r="U856" s="24">
        <f>R856+S856/60+T856/3600</f>
        <v>0</v>
      </c>
      <c r="V856" s="28">
        <f>ABS(U856-P856)/P856</f>
        <v>1</v>
      </c>
      <c r="W856" s="22"/>
      <c r="X856" s="22"/>
      <c r="Y856" s="22"/>
      <c r="Z856" s="14">
        <f>W856+X856/60+Y856/3600</f>
        <v>0</v>
      </c>
      <c r="AA856" s="26">
        <f>ABS(Z856-Q856)/Q856</f>
        <v>1</v>
      </c>
      <c r="AB856" s="26"/>
      <c r="AC856" s="14">
        <f>P856</f>
        <v>49.079470232200002</v>
      </c>
      <c r="AD856" s="14">
        <f>Q856</f>
        <v>2.3508308308400001</v>
      </c>
    </row>
    <row r="857" spans="1:30" s="14" customFormat="1">
      <c r="A857" s="12">
        <v>11</v>
      </c>
      <c r="B857" s="12" t="s">
        <v>653</v>
      </c>
      <c r="C857" s="14" t="str">
        <f>VLOOKUP(B857,weights!A:B,2,FALSE)</f>
        <v>M</v>
      </c>
      <c r="D857" s="13">
        <v>855</v>
      </c>
      <c r="E857" s="14" t="s">
        <v>1003</v>
      </c>
      <c r="H857" s="18"/>
      <c r="I857" s="18"/>
      <c r="J857" s="14">
        <v>856</v>
      </c>
      <c r="K857" s="14">
        <f>VLOOKUP(B857,weights!A:G,5,FALSE)</f>
        <v>3.15</v>
      </c>
      <c r="L857" s="14">
        <f>VLOOKUP(B857,weights!A:G,6,FALSE)</f>
        <v>7</v>
      </c>
      <c r="M857" s="14">
        <f>VLOOKUP(B857,weights!A:G,7,FALSE)</f>
        <v>10</v>
      </c>
      <c r="N857" t="s">
        <v>3312</v>
      </c>
      <c r="O857">
        <v>611</v>
      </c>
      <c r="P857">
        <v>49.098400265199999</v>
      </c>
      <c r="Q857">
        <v>2.3612705565800001</v>
      </c>
      <c r="R857" s="22"/>
      <c r="S857" s="22"/>
      <c r="T857" s="22"/>
      <c r="U857" s="24">
        <f>R857+S857/60+T857/3600</f>
        <v>0</v>
      </c>
      <c r="V857" s="28">
        <f>ABS(U857-P857)/P857</f>
        <v>1</v>
      </c>
      <c r="W857" s="22"/>
      <c r="X857" s="22"/>
      <c r="Y857" s="22"/>
      <c r="Z857" s="14">
        <f>W857+X857/60+Y857/3600</f>
        <v>0</v>
      </c>
      <c r="AA857" s="26">
        <f>ABS(Z857-Q857)/Q857</f>
        <v>1</v>
      </c>
      <c r="AB857" s="26"/>
      <c r="AC857" s="14">
        <f>P857</f>
        <v>49.098400265199999</v>
      </c>
      <c r="AD857" s="14">
        <f>Q857</f>
        <v>2.3612705565800001</v>
      </c>
    </row>
    <row r="858" spans="1:30" s="14" customFormat="1">
      <c r="A858" s="12">
        <v>12</v>
      </c>
      <c r="B858" s="12" t="s">
        <v>653</v>
      </c>
      <c r="C858" s="14" t="str">
        <f>VLOOKUP(B858,weights!A:B,2,FALSE)</f>
        <v>M</v>
      </c>
      <c r="D858" s="13">
        <v>856</v>
      </c>
      <c r="E858" s="14" t="s">
        <v>1004</v>
      </c>
      <c r="H858" s="18"/>
      <c r="I858" s="18"/>
      <c r="J858" s="14">
        <v>857</v>
      </c>
      <c r="K858" s="14">
        <f>VLOOKUP(B858,weights!A:G,5,FALSE)</f>
        <v>3.15</v>
      </c>
      <c r="L858" s="14">
        <f>VLOOKUP(B858,weights!A:G,6,FALSE)</f>
        <v>7</v>
      </c>
      <c r="M858" s="14">
        <f>VLOOKUP(B858,weights!A:G,7,FALSE)</f>
        <v>10</v>
      </c>
      <c r="N858" t="s">
        <v>5906</v>
      </c>
      <c r="O858">
        <v>672</v>
      </c>
      <c r="P858">
        <v>49.116627881600003</v>
      </c>
      <c r="Q858">
        <v>2.3682535462500001</v>
      </c>
      <c r="R858" s="22"/>
      <c r="S858" s="22"/>
      <c r="T858" s="22"/>
      <c r="U858" s="24">
        <f>R858+S858/60+T858/3600</f>
        <v>0</v>
      </c>
      <c r="V858" s="28">
        <f>ABS(U858-P858)/P858</f>
        <v>1</v>
      </c>
      <c r="W858" s="22"/>
      <c r="X858" s="22"/>
      <c r="Y858" s="22"/>
      <c r="Z858" s="14">
        <f>W858+X858/60+Y858/3600</f>
        <v>0</v>
      </c>
      <c r="AA858" s="26">
        <f>ABS(Z858-Q858)/Q858</f>
        <v>1</v>
      </c>
      <c r="AB858" s="26"/>
      <c r="AC858" s="14">
        <f>P858</f>
        <v>49.116627881600003</v>
      </c>
      <c r="AD858" s="14">
        <f>Q858</f>
        <v>2.3682535462500001</v>
      </c>
    </row>
    <row r="859" spans="1:30" s="14" customFormat="1">
      <c r="A859" s="12">
        <v>13</v>
      </c>
      <c r="B859" s="12" t="s">
        <v>653</v>
      </c>
      <c r="C859" s="14" t="str">
        <f>VLOOKUP(B859,weights!A:B,2,FALSE)</f>
        <v>M</v>
      </c>
      <c r="D859" s="13">
        <v>857</v>
      </c>
      <c r="E859" s="14" t="s">
        <v>1005</v>
      </c>
      <c r="H859" s="18"/>
      <c r="I859" s="18"/>
      <c r="J859" s="14">
        <v>858</v>
      </c>
      <c r="K859" s="14">
        <f>VLOOKUP(B859,weights!A:G,5,FALSE)</f>
        <v>3.15</v>
      </c>
      <c r="L859" s="14">
        <f>VLOOKUP(B859,weights!A:G,6,FALSE)</f>
        <v>7</v>
      </c>
      <c r="M859" s="14">
        <f>VLOOKUP(B859,weights!A:G,7,FALSE)</f>
        <v>10</v>
      </c>
      <c r="N859" t="s">
        <v>5685</v>
      </c>
      <c r="O859">
        <v>785</v>
      </c>
      <c r="P859">
        <v>49.119022646300003</v>
      </c>
      <c r="Q859">
        <v>2.39972485389</v>
      </c>
      <c r="R859" s="22"/>
      <c r="S859" s="22"/>
      <c r="T859" s="22"/>
      <c r="U859" s="24">
        <f>R859+S859/60+T859/3600</f>
        <v>0</v>
      </c>
      <c r="V859" s="28">
        <f>ABS(U859-P859)/P859</f>
        <v>1</v>
      </c>
      <c r="W859" s="22"/>
      <c r="X859" s="22"/>
      <c r="Y859" s="22"/>
      <c r="Z859" s="14">
        <f>W859+X859/60+Y859/3600</f>
        <v>0</v>
      </c>
      <c r="AA859" s="26">
        <f>ABS(Z859-Q859)/Q859</f>
        <v>1</v>
      </c>
      <c r="AB859" s="26"/>
      <c r="AC859" s="14">
        <f>P859</f>
        <v>49.119022646300003</v>
      </c>
      <c r="AD859" s="14">
        <f>Q859</f>
        <v>2.39972485389</v>
      </c>
    </row>
    <row r="860" spans="1:30" s="14" customFormat="1">
      <c r="A860" s="12">
        <v>14</v>
      </c>
      <c r="B860" s="12" t="s">
        <v>653</v>
      </c>
      <c r="C860" s="14" t="str">
        <f>VLOOKUP(B860,weights!A:B,2,FALSE)</f>
        <v>M</v>
      </c>
      <c r="D860" s="13">
        <v>858</v>
      </c>
      <c r="E860" s="14" t="s">
        <v>1006</v>
      </c>
      <c r="H860" s="18"/>
      <c r="I860" s="18"/>
      <c r="K860" s="14">
        <f>VLOOKUP(B860,weights!A:G,5,FALSE)</f>
        <v>3.15</v>
      </c>
      <c r="L860" s="14">
        <f>VLOOKUP(B860,weights!A:G,6,FALSE)</f>
        <v>7</v>
      </c>
      <c r="M860" s="14">
        <f>VLOOKUP(B860,weights!A:G,7,FALSE)</f>
        <v>10</v>
      </c>
      <c r="N860" t="s">
        <v>4681</v>
      </c>
      <c r="O860">
        <v>786</v>
      </c>
      <c r="P860">
        <v>49.1171321315</v>
      </c>
      <c r="Q860">
        <v>2.4201070341699999</v>
      </c>
      <c r="R860" s="22"/>
      <c r="S860" s="22"/>
      <c r="T860" s="22"/>
      <c r="U860" s="24">
        <f>R860+S860/60+T860/3600</f>
        <v>0</v>
      </c>
      <c r="V860" s="28">
        <f>ABS(U860-P860)/P860</f>
        <v>1</v>
      </c>
      <c r="W860" s="22"/>
      <c r="X860" s="22"/>
      <c r="Y860" s="22"/>
      <c r="Z860" s="14">
        <f>W860+X860/60+Y860/3600</f>
        <v>0</v>
      </c>
      <c r="AA860" s="26">
        <f>ABS(Z860-Q860)/Q860</f>
        <v>1</v>
      </c>
      <c r="AB860" s="26"/>
      <c r="AC860" s="14">
        <f>P860</f>
        <v>49.1171321315</v>
      </c>
      <c r="AD860" s="14">
        <f>Q860</f>
        <v>2.4201070341699999</v>
      </c>
    </row>
    <row r="861" spans="1:30" s="14" customFormat="1">
      <c r="A861" s="12">
        <v>15</v>
      </c>
      <c r="B861" s="12" t="s">
        <v>653</v>
      </c>
      <c r="C861" s="14" t="str">
        <f>VLOOKUP(B861,weights!A:B,2,FALSE)</f>
        <v>M</v>
      </c>
      <c r="D861" s="13">
        <v>859</v>
      </c>
      <c r="E861" s="14" t="s">
        <v>1007</v>
      </c>
      <c r="H861" s="18"/>
      <c r="I861" s="18"/>
      <c r="J861" s="14">
        <v>860</v>
      </c>
      <c r="K861" s="14">
        <f>VLOOKUP(B861,weights!A:G,5,FALSE)</f>
        <v>3.15</v>
      </c>
      <c r="L861" s="14">
        <f>VLOOKUP(B861,weights!A:G,6,FALSE)</f>
        <v>7</v>
      </c>
      <c r="M861" s="14">
        <f>VLOOKUP(B861,weights!A:G,7,FALSE)</f>
        <v>10</v>
      </c>
      <c r="N861" t="s">
        <v>5387</v>
      </c>
      <c r="O861">
        <v>427</v>
      </c>
      <c r="P861">
        <v>49.114061950599996</v>
      </c>
      <c r="Q861">
        <v>2.2879153435399999</v>
      </c>
      <c r="R861" s="22"/>
      <c r="S861" s="22"/>
      <c r="T861" s="22"/>
      <c r="U861" s="24">
        <f>R861+S861/60+T861/3600</f>
        <v>0</v>
      </c>
      <c r="V861" s="28">
        <f>ABS(U861-P861)/P861</f>
        <v>1</v>
      </c>
      <c r="W861" s="22"/>
      <c r="X861" s="22"/>
      <c r="Y861" s="22"/>
      <c r="Z861" s="14">
        <f>W861+X861/60+Y861/3600</f>
        <v>0</v>
      </c>
      <c r="AA861" s="26">
        <f>ABS(Z861-Q861)/Q861</f>
        <v>1</v>
      </c>
      <c r="AB861" s="26"/>
      <c r="AC861" s="14">
        <f>P861</f>
        <v>49.114061950599996</v>
      </c>
      <c r="AD861" s="14">
        <f>Q861</f>
        <v>2.2879153435399999</v>
      </c>
    </row>
    <row r="862" spans="1:30" s="14" customFormat="1">
      <c r="A862" s="12">
        <v>16</v>
      </c>
      <c r="B862" s="12" t="s">
        <v>653</v>
      </c>
      <c r="C862" s="14" t="str">
        <f>VLOOKUP(B862,weights!A:B,2,FALSE)</f>
        <v>M</v>
      </c>
      <c r="D862" s="13">
        <v>860</v>
      </c>
      <c r="E862" s="14" t="s">
        <v>1008</v>
      </c>
      <c r="H862" s="18"/>
      <c r="I862" s="18"/>
      <c r="J862" s="14">
        <v>891</v>
      </c>
      <c r="K862" s="14">
        <f>VLOOKUP(B862,weights!A:G,5,FALSE)</f>
        <v>3.15</v>
      </c>
      <c r="L862" s="14">
        <f>VLOOKUP(B862,weights!A:G,6,FALSE)</f>
        <v>7</v>
      </c>
      <c r="M862" s="14">
        <f>VLOOKUP(B862,weights!A:G,7,FALSE)</f>
        <v>10</v>
      </c>
      <c r="N862" t="s">
        <v>5008</v>
      </c>
      <c r="O862">
        <v>787</v>
      </c>
      <c r="P862">
        <v>49.132577702399999</v>
      </c>
      <c r="Q862">
        <v>2.2805153698199998</v>
      </c>
      <c r="R862" s="22"/>
      <c r="S862" s="22"/>
      <c r="T862" s="22"/>
      <c r="U862" s="24">
        <f>R862+S862/60+T862/3600</f>
        <v>0</v>
      </c>
      <c r="V862" s="28">
        <f>ABS(U862-P862)/P862</f>
        <v>1</v>
      </c>
      <c r="W862" s="22"/>
      <c r="X862" s="22"/>
      <c r="Y862" s="22"/>
      <c r="Z862" s="14">
        <f>W862+X862/60+Y862/3600</f>
        <v>0</v>
      </c>
      <c r="AA862" s="26">
        <f>ABS(Z862-Q862)/Q862</f>
        <v>1</v>
      </c>
      <c r="AB862" s="26"/>
      <c r="AC862" s="14">
        <f>P862</f>
        <v>49.132577702399999</v>
      </c>
      <c r="AD862" s="14">
        <f>Q862</f>
        <v>2.2805153698199998</v>
      </c>
    </row>
    <row r="863" spans="1:30" s="14" customFormat="1">
      <c r="A863" s="12">
        <v>17</v>
      </c>
      <c r="B863" s="12" t="s">
        <v>653</v>
      </c>
      <c r="C863" s="14" t="str">
        <f>VLOOKUP(B863,weights!A:B,2,FALSE)</f>
        <v>M</v>
      </c>
      <c r="D863" s="13">
        <v>861</v>
      </c>
      <c r="E863" s="14" t="s">
        <v>1009</v>
      </c>
      <c r="H863" s="18"/>
      <c r="I863" s="18"/>
      <c r="J863" s="14">
        <v>862</v>
      </c>
      <c r="K863" s="14">
        <f>VLOOKUP(B863,weights!A:G,5,FALSE)</f>
        <v>3.15</v>
      </c>
      <c r="L863" s="14">
        <f>VLOOKUP(B863,weights!A:G,6,FALSE)</f>
        <v>7</v>
      </c>
      <c r="M863" s="14">
        <f>VLOOKUP(B863,weights!A:G,7,FALSE)</f>
        <v>10</v>
      </c>
      <c r="N863" t="s">
        <v>4366</v>
      </c>
      <c r="O863">
        <v>907</v>
      </c>
      <c r="P863">
        <v>48.966326544799998</v>
      </c>
      <c r="Q863">
        <v>2.31658207116</v>
      </c>
      <c r="R863" s="22"/>
      <c r="S863" s="22"/>
      <c r="T863" s="22"/>
      <c r="U863" s="24">
        <f>R863+S863/60+T863/3600</f>
        <v>0</v>
      </c>
      <c r="V863" s="28">
        <f>ABS(U863-P863)/P863</f>
        <v>1</v>
      </c>
      <c r="W863" s="22"/>
      <c r="X863" s="22"/>
      <c r="Y863" s="22"/>
      <c r="Z863" s="14">
        <f>W863+X863/60+Y863/3600</f>
        <v>0</v>
      </c>
      <c r="AA863" s="26">
        <f>ABS(Z863-Q863)/Q863</f>
        <v>1</v>
      </c>
      <c r="AB863" s="26"/>
      <c r="AC863" s="14">
        <f>P863</f>
        <v>48.966326544799998</v>
      </c>
      <c r="AD863" s="14">
        <f>Q863</f>
        <v>2.31658207116</v>
      </c>
    </row>
    <row r="864" spans="1:30" s="14" customFormat="1">
      <c r="A864" s="12">
        <v>18</v>
      </c>
      <c r="B864" s="12" t="s">
        <v>653</v>
      </c>
      <c r="C864" s="14" t="str">
        <f>VLOOKUP(B864,weights!A:B,2,FALSE)</f>
        <v>M</v>
      </c>
      <c r="D864" s="13">
        <v>862</v>
      </c>
      <c r="E864" s="14" t="s">
        <v>1010</v>
      </c>
      <c r="H864" s="18"/>
      <c r="I864" s="18"/>
      <c r="J864" s="14">
        <v>863</v>
      </c>
      <c r="K864" s="14">
        <f>VLOOKUP(B864,weights!A:G,5,FALSE)</f>
        <v>3.15</v>
      </c>
      <c r="L864" s="14">
        <f>VLOOKUP(B864,weights!A:G,6,FALSE)</f>
        <v>7</v>
      </c>
      <c r="M864" s="14">
        <f>VLOOKUP(B864,weights!A:G,7,FALSE)</f>
        <v>10</v>
      </c>
      <c r="N864" t="s">
        <v>3929</v>
      </c>
      <c r="O864">
        <v>81</v>
      </c>
      <c r="P864">
        <v>48.972749118899998</v>
      </c>
      <c r="Q864">
        <v>2.3071370334500001</v>
      </c>
      <c r="R864" s="22"/>
      <c r="S864" s="22"/>
      <c r="T864" s="22"/>
      <c r="U864" s="24">
        <f>R864+S864/60+T864/3600</f>
        <v>0</v>
      </c>
      <c r="V864" s="28">
        <f>ABS(U864-P864)/P864</f>
        <v>1</v>
      </c>
      <c r="W864" s="22"/>
      <c r="X864" s="22"/>
      <c r="Y864" s="22"/>
      <c r="Z864" s="14">
        <f>W864+X864/60+Y864/3600</f>
        <v>0</v>
      </c>
      <c r="AA864" s="26">
        <f>ABS(Z864-Q864)/Q864</f>
        <v>1</v>
      </c>
      <c r="AB864" s="26"/>
      <c r="AC864" s="14">
        <f>P864</f>
        <v>48.972749118899998</v>
      </c>
      <c r="AD864" s="14">
        <f>Q864</f>
        <v>2.3071370334500001</v>
      </c>
    </row>
    <row r="865" spans="1:30" s="14" customFormat="1">
      <c r="A865" s="12">
        <v>19</v>
      </c>
      <c r="B865" s="12" t="s">
        <v>653</v>
      </c>
      <c r="C865" s="14" t="str">
        <f>VLOOKUP(B865,weights!A:B,2,FALSE)</f>
        <v>M</v>
      </c>
      <c r="D865" s="13">
        <v>863</v>
      </c>
      <c r="E865" s="14" t="s">
        <v>1022</v>
      </c>
      <c r="H865" s="18"/>
      <c r="I865" s="18"/>
      <c r="J865" s="14">
        <v>864</v>
      </c>
      <c r="K865" s="14">
        <f>VLOOKUP(B865,weights!A:G,5,FALSE)</f>
        <v>3.15</v>
      </c>
      <c r="L865" s="14">
        <f>VLOOKUP(B865,weights!A:G,6,FALSE)</f>
        <v>7</v>
      </c>
      <c r="M865" s="14">
        <f>VLOOKUP(B865,weights!A:G,7,FALSE)</f>
        <v>10</v>
      </c>
      <c r="N865" t="s">
        <v>3550</v>
      </c>
      <c r="O865">
        <v>266</v>
      </c>
      <c r="P865">
        <v>48.979447983</v>
      </c>
      <c r="Q865">
        <v>2.2924771315500001</v>
      </c>
      <c r="R865" s="22"/>
      <c r="S865" s="22"/>
      <c r="T865" s="22"/>
      <c r="U865" s="24">
        <f>R865+S865/60+T865/3600</f>
        <v>0</v>
      </c>
      <c r="V865" s="28">
        <f>ABS(U865-P865)/P865</f>
        <v>1</v>
      </c>
      <c r="W865" s="22"/>
      <c r="X865" s="22"/>
      <c r="Y865" s="22"/>
      <c r="Z865" s="14">
        <f>W865+X865/60+Y865/3600</f>
        <v>0</v>
      </c>
      <c r="AA865" s="26">
        <f>ABS(Z865-Q865)/Q865</f>
        <v>1</v>
      </c>
      <c r="AB865" s="26"/>
      <c r="AC865" s="14">
        <f>P865</f>
        <v>48.979447983</v>
      </c>
      <c r="AD865" s="14">
        <f>Q865</f>
        <v>2.2924771315500001</v>
      </c>
    </row>
    <row r="866" spans="1:30" s="14" customFormat="1">
      <c r="A866" s="12">
        <v>20</v>
      </c>
      <c r="B866" s="12" t="s">
        <v>653</v>
      </c>
      <c r="C866" s="14" t="str">
        <f>VLOOKUP(B866,weights!A:B,2,FALSE)</f>
        <v>M</v>
      </c>
      <c r="D866" s="13">
        <v>864</v>
      </c>
      <c r="E866" s="14" t="s">
        <v>579</v>
      </c>
      <c r="G866" s="14" t="s">
        <v>1023</v>
      </c>
      <c r="H866" s="18" t="s">
        <v>1932</v>
      </c>
      <c r="I866" s="18" t="s">
        <v>1931</v>
      </c>
      <c r="J866" s="14">
        <v>865.87800000000004</v>
      </c>
      <c r="K866" s="14">
        <f>VLOOKUP(B866,weights!A:G,5,FALSE)</f>
        <v>3.15</v>
      </c>
      <c r="L866" s="14">
        <f>VLOOKUP(B866,weights!A:G,6,FALSE)</f>
        <v>7</v>
      </c>
      <c r="M866" s="14">
        <f>VLOOKUP(B866,weights!A:G,7,FALSE)</f>
        <v>10</v>
      </c>
      <c r="N866" t="s">
        <v>3962</v>
      </c>
      <c r="O866">
        <v>721</v>
      </c>
      <c r="P866">
        <v>48.980646100400001</v>
      </c>
      <c r="Q866">
        <v>2.27208477275</v>
      </c>
      <c r="R866" s="22"/>
      <c r="S866" s="22"/>
      <c r="T866" s="22"/>
      <c r="U866" s="24">
        <f>R866+S866/60+T866/3600</f>
        <v>0</v>
      </c>
      <c r="V866" s="28">
        <f>ABS(U866-P866)/P866</f>
        <v>1</v>
      </c>
      <c r="W866" s="22"/>
      <c r="X866" s="22"/>
      <c r="Y866" s="22"/>
      <c r="Z866" s="14">
        <f>W866+X866/60+Y866/3600</f>
        <v>0</v>
      </c>
      <c r="AA866" s="26">
        <f>ABS(Z866-Q866)/Q866</f>
        <v>1</v>
      </c>
      <c r="AB866" s="26"/>
      <c r="AC866" s="14">
        <f>P866</f>
        <v>48.980646100400001</v>
      </c>
      <c r="AD866" s="14">
        <f>Q866</f>
        <v>2.27208477275</v>
      </c>
    </row>
    <row r="867" spans="1:30" s="14" customFormat="1">
      <c r="A867" s="12">
        <v>21</v>
      </c>
      <c r="B867" s="12" t="s">
        <v>653</v>
      </c>
      <c r="C867" s="14" t="str">
        <f>VLOOKUP(B867,weights!A:B,2,FALSE)</f>
        <v>M</v>
      </c>
      <c r="D867" s="13">
        <v>865</v>
      </c>
      <c r="E867" s="14" t="s">
        <v>1011</v>
      </c>
      <c r="H867" s="18"/>
      <c r="I867" s="18"/>
      <c r="J867" s="14">
        <v>866</v>
      </c>
      <c r="K867" s="14">
        <f>VLOOKUP(B867,weights!A:G,5,FALSE)</f>
        <v>3.15</v>
      </c>
      <c r="L867" s="14">
        <f>VLOOKUP(B867,weights!A:G,6,FALSE)</f>
        <v>7</v>
      </c>
      <c r="M867" s="14">
        <f>VLOOKUP(B867,weights!A:G,7,FALSE)</f>
        <v>10</v>
      </c>
      <c r="N867" t="s">
        <v>3966</v>
      </c>
      <c r="O867">
        <v>400</v>
      </c>
      <c r="P867">
        <v>48.990651253300001</v>
      </c>
      <c r="Q867">
        <v>2.2631826214499999</v>
      </c>
      <c r="R867" s="22"/>
      <c r="S867" s="22"/>
      <c r="T867" s="22"/>
      <c r="U867" s="24">
        <f>R867+S867/60+T867/3600</f>
        <v>0</v>
      </c>
      <c r="V867" s="28">
        <f>ABS(U867-P867)/P867</f>
        <v>1</v>
      </c>
      <c r="W867" s="22"/>
      <c r="X867" s="22"/>
      <c r="Y867" s="22"/>
      <c r="Z867" s="14">
        <f>W867+X867/60+Y867/3600</f>
        <v>0</v>
      </c>
      <c r="AA867" s="26">
        <f>ABS(Z867-Q867)/Q867</f>
        <v>1</v>
      </c>
      <c r="AB867" s="26"/>
      <c r="AC867" s="14">
        <f>P867</f>
        <v>48.990651253300001</v>
      </c>
      <c r="AD867" s="14">
        <f>Q867</f>
        <v>2.2631826214499999</v>
      </c>
    </row>
    <row r="868" spans="1:30" s="14" customFormat="1">
      <c r="A868" s="12">
        <v>22</v>
      </c>
      <c r="B868" s="12" t="s">
        <v>653</v>
      </c>
      <c r="C868" s="14" t="str">
        <f>VLOOKUP(B868,weights!A:B,2,FALSE)</f>
        <v>M</v>
      </c>
      <c r="D868" s="13">
        <v>866</v>
      </c>
      <c r="E868" s="14" t="s">
        <v>1012</v>
      </c>
      <c r="H868" s="18"/>
      <c r="I868" s="18"/>
      <c r="J868" s="14">
        <v>867</v>
      </c>
      <c r="K868" s="14">
        <f>VLOOKUP(B868,weights!A:G,5,FALSE)</f>
        <v>3.15</v>
      </c>
      <c r="L868" s="14">
        <f>VLOOKUP(B868,weights!A:G,6,FALSE)</f>
        <v>7</v>
      </c>
      <c r="M868" s="14">
        <f>VLOOKUP(B868,weights!A:G,7,FALSE)</f>
        <v>10</v>
      </c>
      <c r="N868" t="s">
        <v>4187</v>
      </c>
      <c r="O868">
        <v>174</v>
      </c>
      <c r="P868">
        <v>48.996098842599999</v>
      </c>
      <c r="Q868">
        <v>2.2596556190600001</v>
      </c>
      <c r="R868" s="22"/>
      <c r="S868" s="22"/>
      <c r="T868" s="22"/>
      <c r="U868" s="24">
        <f>R868+S868/60+T868/3600</f>
        <v>0</v>
      </c>
      <c r="V868" s="28">
        <f>ABS(U868-P868)/P868</f>
        <v>1</v>
      </c>
      <c r="W868" s="22"/>
      <c r="X868" s="22"/>
      <c r="Y868" s="22"/>
      <c r="Z868" s="14">
        <f>W868+X868/60+Y868/3600</f>
        <v>0</v>
      </c>
      <c r="AA868" s="26">
        <f>ABS(Z868-Q868)/Q868</f>
        <v>1</v>
      </c>
      <c r="AB868" s="26"/>
      <c r="AC868" s="14">
        <f>P868</f>
        <v>48.996098842599999</v>
      </c>
      <c r="AD868" s="14">
        <f>Q868</f>
        <v>2.2596556190600001</v>
      </c>
    </row>
    <row r="869" spans="1:30" s="14" customFormat="1">
      <c r="A869" s="12">
        <v>23</v>
      </c>
      <c r="B869" s="12" t="s">
        <v>653</v>
      </c>
      <c r="C869" s="14" t="str">
        <f>VLOOKUP(B869,weights!A:B,2,FALSE)</f>
        <v>M</v>
      </c>
      <c r="D869" s="13">
        <v>867</v>
      </c>
      <c r="E869" s="14" t="s">
        <v>1013</v>
      </c>
      <c r="H869" s="18"/>
      <c r="I869" s="18"/>
      <c r="J869" s="14">
        <v>868</v>
      </c>
      <c r="K869" s="14">
        <f>VLOOKUP(B869,weights!A:G,5,FALSE)</f>
        <v>3.15</v>
      </c>
      <c r="L869" s="14">
        <f>VLOOKUP(B869,weights!A:G,6,FALSE)</f>
        <v>7</v>
      </c>
      <c r="M869" s="14">
        <f>VLOOKUP(B869,weights!A:G,7,FALSE)</f>
        <v>10</v>
      </c>
      <c r="N869" t="s">
        <v>5579</v>
      </c>
      <c r="O869">
        <v>906</v>
      </c>
      <c r="P869">
        <v>49.015584972799999</v>
      </c>
      <c r="Q869">
        <v>2.2424791112700002</v>
      </c>
      <c r="R869" s="22"/>
      <c r="S869" s="22"/>
      <c r="T869" s="22"/>
      <c r="U869" s="24">
        <f>R869+S869/60+T869/3600</f>
        <v>0</v>
      </c>
      <c r="V869" s="28">
        <f>ABS(U869-P869)/P869</f>
        <v>1</v>
      </c>
      <c r="W869" s="22"/>
      <c r="X869" s="22"/>
      <c r="Y869" s="22"/>
      <c r="Z869" s="14">
        <f>W869+X869/60+Y869/3600</f>
        <v>0</v>
      </c>
      <c r="AA869" s="26">
        <f>ABS(Z869-Q869)/Q869</f>
        <v>1</v>
      </c>
      <c r="AB869" s="26"/>
      <c r="AC869" s="14">
        <f>P869</f>
        <v>49.015584972799999</v>
      </c>
      <c r="AD869" s="14">
        <f>Q869</f>
        <v>2.2424791112700002</v>
      </c>
    </row>
    <row r="870" spans="1:30" s="14" customFormat="1">
      <c r="A870" s="12">
        <v>24</v>
      </c>
      <c r="B870" s="12" t="s">
        <v>653</v>
      </c>
      <c r="C870" s="14" t="str">
        <f>VLOOKUP(B870,weights!A:B,2,FALSE)</f>
        <v>M</v>
      </c>
      <c r="D870" s="13">
        <v>868</v>
      </c>
      <c r="E870" s="14" t="s">
        <v>1014</v>
      </c>
      <c r="H870" s="18"/>
      <c r="I870" s="18"/>
      <c r="J870" s="14">
        <v>869</v>
      </c>
      <c r="K870" s="14">
        <f>VLOOKUP(B870,weights!A:G,5,FALSE)</f>
        <v>3.15</v>
      </c>
      <c r="L870" s="14">
        <f>VLOOKUP(B870,weights!A:G,6,FALSE)</f>
        <v>7</v>
      </c>
      <c r="M870" s="14">
        <f>VLOOKUP(B870,weights!A:G,7,FALSE)</f>
        <v>10</v>
      </c>
      <c r="N870" t="s">
        <v>5864</v>
      </c>
      <c r="O870">
        <v>265</v>
      </c>
      <c r="P870">
        <v>49.021773956200001</v>
      </c>
      <c r="Q870">
        <v>2.2293764883899998</v>
      </c>
      <c r="R870" s="22"/>
      <c r="S870" s="22"/>
      <c r="T870" s="22"/>
      <c r="U870" s="24">
        <f>R870+S870/60+T870/3600</f>
        <v>0</v>
      </c>
      <c r="V870" s="28">
        <f>ABS(U870-P870)/P870</f>
        <v>1</v>
      </c>
      <c r="W870" s="22"/>
      <c r="X870" s="22"/>
      <c r="Y870" s="22"/>
      <c r="Z870" s="14">
        <f>W870+X870/60+Y870/3600</f>
        <v>0</v>
      </c>
      <c r="AA870" s="26">
        <f>ABS(Z870-Q870)/Q870</f>
        <v>1</v>
      </c>
      <c r="AB870" s="26"/>
      <c r="AC870" s="14">
        <f>P870</f>
        <v>49.021773956200001</v>
      </c>
      <c r="AD870" s="14">
        <f>Q870</f>
        <v>2.2293764883899998</v>
      </c>
    </row>
    <row r="871" spans="1:30" s="14" customFormat="1">
      <c r="A871" s="12">
        <v>25</v>
      </c>
      <c r="B871" s="12" t="s">
        <v>653</v>
      </c>
      <c r="C871" s="14" t="str">
        <f>VLOOKUP(B871,weights!A:B,2,FALSE)</f>
        <v>M</v>
      </c>
      <c r="D871" s="13">
        <v>869</v>
      </c>
      <c r="E871" s="14" t="s">
        <v>1015</v>
      </c>
      <c r="H871" s="18"/>
      <c r="I871" s="18"/>
      <c r="J871" s="14">
        <v>870</v>
      </c>
      <c r="K871" s="14">
        <f>VLOOKUP(B871,weights!A:G,5,FALSE)</f>
        <v>3.15</v>
      </c>
      <c r="L871" s="14">
        <f>VLOOKUP(B871,weights!A:G,6,FALSE)</f>
        <v>7</v>
      </c>
      <c r="M871" s="14">
        <f>VLOOKUP(B871,weights!A:G,7,FALSE)</f>
        <v>10</v>
      </c>
      <c r="N871" t="s">
        <v>5769</v>
      </c>
      <c r="O871">
        <v>175</v>
      </c>
      <c r="P871">
        <v>49.024778546999997</v>
      </c>
      <c r="Q871">
        <v>2.2227273221899999</v>
      </c>
      <c r="R871" s="22"/>
      <c r="S871" s="22"/>
      <c r="T871" s="22"/>
      <c r="U871" s="24">
        <f>R871+S871/60+T871/3600</f>
        <v>0</v>
      </c>
      <c r="V871" s="28">
        <f>ABS(U871-P871)/P871</f>
        <v>1</v>
      </c>
      <c r="W871" s="22"/>
      <c r="X871" s="22"/>
      <c r="Y871" s="22"/>
      <c r="Z871" s="14">
        <f>W871+X871/60+Y871/3600</f>
        <v>0</v>
      </c>
      <c r="AA871" s="26">
        <f>ABS(Z871-Q871)/Q871</f>
        <v>1</v>
      </c>
      <c r="AB871" s="26"/>
      <c r="AC871" s="14">
        <f>P871</f>
        <v>49.024778546999997</v>
      </c>
      <c r="AD871" s="14">
        <f>Q871</f>
        <v>2.2227273221899999</v>
      </c>
    </row>
    <row r="872" spans="1:30" s="14" customFormat="1">
      <c r="A872" s="12">
        <v>26</v>
      </c>
      <c r="B872" s="12" t="s">
        <v>653</v>
      </c>
      <c r="C872" s="14" t="str">
        <f>VLOOKUP(B872,weights!A:B,2,FALSE)</f>
        <v>M</v>
      </c>
      <c r="D872" s="13">
        <v>870</v>
      </c>
      <c r="E872" s="14" t="s">
        <v>1016</v>
      </c>
      <c r="H872" s="18"/>
      <c r="I872" s="18"/>
      <c r="J872" s="14">
        <v>871</v>
      </c>
      <c r="K872" s="14">
        <f>VLOOKUP(B872,weights!A:G,5,FALSE)</f>
        <v>3.15</v>
      </c>
      <c r="L872" s="14">
        <f>VLOOKUP(B872,weights!A:G,6,FALSE)</f>
        <v>7</v>
      </c>
      <c r="M872" s="14">
        <f>VLOOKUP(B872,weights!A:G,7,FALSE)</f>
        <v>10</v>
      </c>
      <c r="N872" t="s">
        <v>3325</v>
      </c>
      <c r="O872">
        <v>79</v>
      </c>
      <c r="P872">
        <v>49.035311309400001</v>
      </c>
      <c r="Q872">
        <v>2.2102465210400002</v>
      </c>
      <c r="R872" s="22"/>
      <c r="S872" s="22"/>
      <c r="T872" s="22"/>
      <c r="U872" s="24">
        <f>R872+S872/60+T872/3600</f>
        <v>0</v>
      </c>
      <c r="V872" s="28">
        <f>ABS(U872-P872)/P872</f>
        <v>1</v>
      </c>
      <c r="W872" s="22"/>
      <c r="X872" s="22"/>
      <c r="Y872" s="22"/>
      <c r="Z872" s="14">
        <f>W872+X872/60+Y872/3600</f>
        <v>0</v>
      </c>
      <c r="AA872" s="26">
        <f>ABS(Z872-Q872)/Q872</f>
        <v>1</v>
      </c>
      <c r="AB872" s="26"/>
      <c r="AC872" s="14">
        <f>P872</f>
        <v>49.035311309400001</v>
      </c>
      <c r="AD872" s="14">
        <f>Q872</f>
        <v>2.2102465210400002</v>
      </c>
    </row>
    <row r="873" spans="1:30" s="14" customFormat="1">
      <c r="A873" s="12">
        <v>27</v>
      </c>
      <c r="B873" s="12" t="s">
        <v>653</v>
      </c>
      <c r="C873" s="14" t="str">
        <f>VLOOKUP(B873,weights!A:B,2,FALSE)</f>
        <v>M</v>
      </c>
      <c r="D873" s="13">
        <v>871</v>
      </c>
      <c r="E873" s="14" t="s">
        <v>1017</v>
      </c>
      <c r="H873" s="18"/>
      <c r="I873" s="18"/>
      <c r="J873" s="14">
        <v>872</v>
      </c>
      <c r="K873" s="14">
        <f>VLOOKUP(B873,weights!A:G,5,FALSE)</f>
        <v>3.15</v>
      </c>
      <c r="L873" s="14">
        <f>VLOOKUP(B873,weights!A:G,6,FALSE)</f>
        <v>7</v>
      </c>
      <c r="M873" s="14">
        <f>VLOOKUP(B873,weights!A:G,7,FALSE)</f>
        <v>10</v>
      </c>
      <c r="N873" t="s">
        <v>4063</v>
      </c>
      <c r="O873">
        <v>176</v>
      </c>
      <c r="P873">
        <v>49.045430254199999</v>
      </c>
      <c r="Q873">
        <v>2.19708767832</v>
      </c>
      <c r="R873" s="22"/>
      <c r="S873" s="22"/>
      <c r="T873" s="22"/>
      <c r="U873" s="24">
        <f>R873+S873/60+T873/3600</f>
        <v>0</v>
      </c>
      <c r="V873" s="28">
        <f>ABS(U873-P873)/P873</f>
        <v>1</v>
      </c>
      <c r="W873" s="22"/>
      <c r="X873" s="22"/>
      <c r="Y873" s="22"/>
      <c r="Z873" s="14">
        <f>W873+X873/60+Y873/3600</f>
        <v>0</v>
      </c>
      <c r="AA873" s="26">
        <f>ABS(Z873-Q873)/Q873</f>
        <v>1</v>
      </c>
      <c r="AB873" s="26"/>
      <c r="AC873" s="14">
        <f>P873</f>
        <v>49.045430254199999</v>
      </c>
      <c r="AD873" s="14">
        <f>Q873</f>
        <v>2.19708767832</v>
      </c>
    </row>
    <row r="874" spans="1:30" s="14" customFormat="1">
      <c r="A874" s="12">
        <v>28</v>
      </c>
      <c r="B874" s="12" t="s">
        <v>653</v>
      </c>
      <c r="C874" s="14" t="str">
        <f>VLOOKUP(B874,weights!A:B,2,FALSE)</f>
        <v>M</v>
      </c>
      <c r="D874" s="13">
        <v>872</v>
      </c>
      <c r="E874" s="14" t="s">
        <v>1018</v>
      </c>
      <c r="H874" s="18"/>
      <c r="I874" s="18"/>
      <c r="J874" s="14">
        <v>873</v>
      </c>
      <c r="K874" s="14">
        <f>VLOOKUP(B874,weights!A:G,5,FALSE)</f>
        <v>3.15</v>
      </c>
      <c r="L874" s="14">
        <f>VLOOKUP(B874,weights!A:G,6,FALSE)</f>
        <v>7</v>
      </c>
      <c r="M874" s="14">
        <f>VLOOKUP(B874,weights!A:G,7,FALSE)</f>
        <v>10</v>
      </c>
      <c r="N874" t="s">
        <v>4847</v>
      </c>
      <c r="O874">
        <v>80</v>
      </c>
      <c r="P874">
        <v>49.058047816299997</v>
      </c>
      <c r="Q874">
        <v>2.1912447618600002</v>
      </c>
      <c r="R874" s="22"/>
      <c r="S874" s="22"/>
      <c r="T874" s="22"/>
      <c r="U874" s="24">
        <f>R874+S874/60+T874/3600</f>
        <v>0</v>
      </c>
      <c r="V874" s="28">
        <f>ABS(U874-P874)/P874</f>
        <v>1</v>
      </c>
      <c r="W874" s="22"/>
      <c r="X874" s="22"/>
      <c r="Y874" s="22"/>
      <c r="Z874" s="14">
        <f>W874+X874/60+Y874/3600</f>
        <v>0</v>
      </c>
      <c r="AA874" s="26">
        <f>ABS(Z874-Q874)/Q874</f>
        <v>1</v>
      </c>
      <c r="AB874" s="26"/>
      <c r="AC874" s="14">
        <f>P874</f>
        <v>49.058047816299997</v>
      </c>
      <c r="AD874" s="14">
        <f>Q874</f>
        <v>2.1912447618600002</v>
      </c>
    </row>
    <row r="875" spans="1:30" s="14" customFormat="1">
      <c r="A875" s="12">
        <v>29</v>
      </c>
      <c r="B875" s="12" t="s">
        <v>653</v>
      </c>
      <c r="C875" s="14" t="str">
        <f>VLOOKUP(B875,weights!A:B,2,FALSE)</f>
        <v>M</v>
      </c>
      <c r="D875" s="13">
        <v>873</v>
      </c>
      <c r="E875" s="14" t="s">
        <v>1019</v>
      </c>
      <c r="H875" s="18"/>
      <c r="I875" s="18"/>
      <c r="J875" s="14">
        <v>874</v>
      </c>
      <c r="K875" s="14">
        <f>VLOOKUP(B875,weights!A:G,5,FALSE)</f>
        <v>3.15</v>
      </c>
      <c r="L875" s="14">
        <f>VLOOKUP(B875,weights!A:G,6,FALSE)</f>
        <v>7</v>
      </c>
      <c r="M875" s="14">
        <f>VLOOKUP(B875,weights!A:G,7,FALSE)</f>
        <v>10</v>
      </c>
      <c r="N875" t="s">
        <v>4844</v>
      </c>
      <c r="O875">
        <v>522</v>
      </c>
      <c r="P875">
        <v>49.077699046399999</v>
      </c>
      <c r="Q875">
        <v>2.2054467282100001</v>
      </c>
      <c r="R875" s="22"/>
      <c r="S875" s="22"/>
      <c r="T875" s="22"/>
      <c r="U875" s="24">
        <f>R875+S875/60+T875/3600</f>
        <v>0</v>
      </c>
      <c r="V875" s="28">
        <f>ABS(U875-P875)/P875</f>
        <v>1</v>
      </c>
      <c r="W875" s="22"/>
      <c r="X875" s="22"/>
      <c r="Y875" s="22"/>
      <c r="Z875" s="14">
        <f>W875+X875/60+Y875/3600</f>
        <v>0</v>
      </c>
      <c r="AA875" s="26">
        <f>ABS(Z875-Q875)/Q875</f>
        <v>1</v>
      </c>
      <c r="AB875" s="26"/>
      <c r="AC875" s="14">
        <f>P875</f>
        <v>49.077699046399999</v>
      </c>
      <c r="AD875" s="14">
        <f>Q875</f>
        <v>2.2054467282100001</v>
      </c>
    </row>
    <row r="876" spans="1:30" s="14" customFormat="1">
      <c r="A876" s="12">
        <v>30</v>
      </c>
      <c r="B876" s="12" t="s">
        <v>653</v>
      </c>
      <c r="C876" s="14" t="str">
        <f>VLOOKUP(B876,weights!A:B,2,FALSE)</f>
        <v>M</v>
      </c>
      <c r="D876" s="13">
        <v>874</v>
      </c>
      <c r="E876" s="14" t="s">
        <v>1020</v>
      </c>
      <c r="H876" s="18"/>
      <c r="I876" s="18"/>
      <c r="J876" s="14">
        <v>889</v>
      </c>
      <c r="K876" s="14">
        <f>VLOOKUP(B876,weights!A:G,5,FALSE)</f>
        <v>3.15</v>
      </c>
      <c r="L876" s="14">
        <f>VLOOKUP(B876,weights!A:G,6,FALSE)</f>
        <v>7</v>
      </c>
      <c r="M876" s="14">
        <f>VLOOKUP(B876,weights!A:G,7,FALSE)</f>
        <v>10</v>
      </c>
      <c r="N876" t="s">
        <v>5846</v>
      </c>
      <c r="O876">
        <v>521</v>
      </c>
      <c r="P876">
        <v>49.091073451299998</v>
      </c>
      <c r="Q876">
        <v>2.2018234842500002</v>
      </c>
      <c r="R876" s="22"/>
      <c r="S876" s="22"/>
      <c r="T876" s="22"/>
      <c r="U876" s="24">
        <f>R876+S876/60+T876/3600</f>
        <v>0</v>
      </c>
      <c r="V876" s="28">
        <f>ABS(U876-P876)/P876</f>
        <v>1</v>
      </c>
      <c r="W876" s="22"/>
      <c r="X876" s="22"/>
      <c r="Y876" s="22"/>
      <c r="Z876" s="14">
        <f>W876+X876/60+Y876/3600</f>
        <v>0</v>
      </c>
      <c r="AA876" s="26">
        <f>ABS(Z876-Q876)/Q876</f>
        <v>1</v>
      </c>
      <c r="AB876" s="26"/>
      <c r="AC876" s="14">
        <f>P876</f>
        <v>49.091073451299998</v>
      </c>
      <c r="AD876" s="14">
        <f>Q876</f>
        <v>2.2018234842500002</v>
      </c>
    </row>
    <row r="877" spans="1:30" s="14" customFormat="1">
      <c r="A877" s="12">
        <v>31</v>
      </c>
      <c r="B877" s="12" t="s">
        <v>653</v>
      </c>
      <c r="C877" s="14" t="str">
        <f>VLOOKUP(B877,weights!A:B,2,FALSE)</f>
        <v>M</v>
      </c>
      <c r="D877" s="13">
        <v>875</v>
      </c>
      <c r="E877" s="14" t="s">
        <v>578</v>
      </c>
      <c r="G877" s="14" t="s">
        <v>569</v>
      </c>
      <c r="H877" s="18"/>
      <c r="I877" s="18" t="s">
        <v>1933</v>
      </c>
      <c r="J877" s="14">
        <v>876</v>
      </c>
      <c r="K877" s="14">
        <f>VLOOKUP(B877,weights!A:G,5,FALSE)</f>
        <v>3.15</v>
      </c>
      <c r="L877" s="14">
        <f>VLOOKUP(B877,weights!A:G,6,FALSE)</f>
        <v>7</v>
      </c>
      <c r="M877" s="14">
        <f>VLOOKUP(B877,weights!A:G,7,FALSE)</f>
        <v>10</v>
      </c>
      <c r="N877" t="s">
        <v>3534</v>
      </c>
      <c r="O877">
        <v>487</v>
      </c>
      <c r="P877">
        <v>48.985004701299999</v>
      </c>
      <c r="Q877">
        <v>2.2574741558800002</v>
      </c>
      <c r="R877" s="22"/>
      <c r="S877" s="22"/>
      <c r="T877" s="22"/>
      <c r="U877" s="24">
        <f>R877+S877/60+T877/3600</f>
        <v>0</v>
      </c>
      <c r="V877" s="28">
        <f>ABS(U877-P877)/P877</f>
        <v>1</v>
      </c>
      <c r="W877" s="22"/>
      <c r="X877" s="22"/>
      <c r="Y877" s="22"/>
      <c r="Z877" s="14">
        <f>W877+X877/60+Y877/3600</f>
        <v>0</v>
      </c>
      <c r="AA877" s="26">
        <f>ABS(Z877-Q877)/Q877</f>
        <v>1</v>
      </c>
      <c r="AB877" s="26"/>
      <c r="AC877" s="14">
        <f>P877</f>
        <v>48.985004701299999</v>
      </c>
      <c r="AD877" s="14">
        <f>Q877</f>
        <v>2.2574741558800002</v>
      </c>
    </row>
    <row r="878" spans="1:30" s="14" customFormat="1">
      <c r="A878" s="12">
        <v>32</v>
      </c>
      <c r="B878" s="12" t="s">
        <v>653</v>
      </c>
      <c r="C878" s="14" t="str">
        <f>VLOOKUP(B878,weights!A:B,2,FALSE)</f>
        <v>M</v>
      </c>
      <c r="D878" s="13">
        <v>876</v>
      </c>
      <c r="E878" s="14" t="s">
        <v>577</v>
      </c>
      <c r="G878" s="14" t="s">
        <v>569</v>
      </c>
      <c r="H878" s="18"/>
      <c r="I878" s="18" t="s">
        <v>1934</v>
      </c>
      <c r="J878" s="14">
        <v>877</v>
      </c>
      <c r="K878" s="14">
        <f>VLOOKUP(B878,weights!A:G,5,FALSE)</f>
        <v>3.15</v>
      </c>
      <c r="L878" s="14">
        <f>VLOOKUP(B878,weights!A:G,6,FALSE)</f>
        <v>7</v>
      </c>
      <c r="M878" s="14">
        <f>VLOOKUP(B878,weights!A:G,7,FALSE)</f>
        <v>10</v>
      </c>
      <c r="N878" t="s">
        <v>4053</v>
      </c>
      <c r="O878">
        <v>643</v>
      </c>
      <c r="P878">
        <v>48.993713480399997</v>
      </c>
      <c r="Q878">
        <v>2.2342763953599998</v>
      </c>
      <c r="R878" s="22"/>
      <c r="S878" s="22"/>
      <c r="T878" s="22"/>
      <c r="U878" s="24">
        <f>R878+S878/60+T878/3600</f>
        <v>0</v>
      </c>
      <c r="V878" s="28">
        <f>ABS(U878-P878)/P878</f>
        <v>1</v>
      </c>
      <c r="W878" s="22"/>
      <c r="X878" s="22"/>
      <c r="Y878" s="22"/>
      <c r="Z878" s="14">
        <f>W878+X878/60+Y878/3600</f>
        <v>0</v>
      </c>
      <c r="AA878" s="26">
        <f>ABS(Z878-Q878)/Q878</f>
        <v>1</v>
      </c>
      <c r="AB878" s="26"/>
      <c r="AC878" s="14">
        <f>P878</f>
        <v>48.993713480399997</v>
      </c>
      <c r="AD878" s="14">
        <f>Q878</f>
        <v>2.2342763953599998</v>
      </c>
    </row>
    <row r="879" spans="1:30" s="14" customFormat="1">
      <c r="A879" s="12">
        <v>33</v>
      </c>
      <c r="B879" s="12" t="s">
        <v>653</v>
      </c>
      <c r="C879" s="14" t="str">
        <f>VLOOKUP(B879,weights!A:B,2,FALSE)</f>
        <v>M</v>
      </c>
      <c r="D879" s="13">
        <v>877</v>
      </c>
      <c r="E879" s="14" t="s">
        <v>576</v>
      </c>
      <c r="G879" s="14" t="s">
        <v>569</v>
      </c>
      <c r="H879" s="18"/>
      <c r="I879" s="18" t="s">
        <v>1935</v>
      </c>
      <c r="J879" s="14">
        <v>878</v>
      </c>
      <c r="K879" s="14">
        <f>VLOOKUP(B879,weights!A:G,5,FALSE)</f>
        <v>3.15</v>
      </c>
      <c r="L879" s="14">
        <f>VLOOKUP(B879,weights!A:G,6,FALSE)</f>
        <v>7</v>
      </c>
      <c r="M879" s="14">
        <f>VLOOKUP(B879,weights!A:G,7,FALSE)</f>
        <v>10</v>
      </c>
      <c r="N879" t="s">
        <v>4913</v>
      </c>
      <c r="O879">
        <v>824</v>
      </c>
      <c r="P879">
        <v>49.007423298900001</v>
      </c>
      <c r="Q879">
        <v>2.1976198071100002</v>
      </c>
      <c r="R879" s="22"/>
      <c r="S879" s="22"/>
      <c r="T879" s="22"/>
      <c r="U879" s="24">
        <f>R879+S879/60+T879/3600</f>
        <v>0</v>
      </c>
      <c r="V879" s="28">
        <f>ABS(U879-P879)/P879</f>
        <v>1</v>
      </c>
      <c r="W879" s="22"/>
      <c r="X879" s="22"/>
      <c r="Y879" s="22"/>
      <c r="Z879" s="14">
        <f>W879+X879/60+Y879/3600</f>
        <v>0</v>
      </c>
      <c r="AA879" s="26">
        <f>ABS(Z879-Q879)/Q879</f>
        <v>1</v>
      </c>
      <c r="AB879" s="26"/>
      <c r="AC879" s="14">
        <f>P879</f>
        <v>49.007423298900001</v>
      </c>
      <c r="AD879" s="14">
        <f>Q879</f>
        <v>2.1976198071100002</v>
      </c>
    </row>
    <row r="880" spans="1:30" s="14" customFormat="1">
      <c r="A880" s="12">
        <v>34</v>
      </c>
      <c r="B880" s="12" t="s">
        <v>653</v>
      </c>
      <c r="C880" s="14" t="str">
        <f>VLOOKUP(B880,weights!A:B,2,FALSE)</f>
        <v>M</v>
      </c>
      <c r="D880" s="13">
        <v>878</v>
      </c>
      <c r="E880" s="14" t="s">
        <v>575</v>
      </c>
      <c r="G880" s="14" t="s">
        <v>569</v>
      </c>
      <c r="H880" s="18"/>
      <c r="I880" s="18" t="s">
        <v>1936</v>
      </c>
      <c r="J880" s="14">
        <v>879</v>
      </c>
      <c r="K880" s="14">
        <f>VLOOKUP(B880,weights!A:G,5,FALSE)</f>
        <v>3.15</v>
      </c>
      <c r="L880" s="14">
        <f>VLOOKUP(B880,weights!A:G,6,FALSE)</f>
        <v>7</v>
      </c>
      <c r="M880" s="14">
        <f>VLOOKUP(B880,weights!A:G,7,FALSE)</f>
        <v>10</v>
      </c>
      <c r="N880" t="s">
        <v>5181</v>
      </c>
      <c r="O880">
        <v>488</v>
      </c>
      <c r="P880">
        <v>49.019136741600001</v>
      </c>
      <c r="Q880">
        <v>2.1546634774100002</v>
      </c>
      <c r="R880" s="22"/>
      <c r="S880" s="22"/>
      <c r="T880" s="22"/>
      <c r="U880" s="24">
        <f>R880+S880/60+T880/3600</f>
        <v>0</v>
      </c>
      <c r="V880" s="28">
        <f>ABS(U880-P880)/P880</f>
        <v>1</v>
      </c>
      <c r="W880" s="22"/>
      <c r="X880" s="22"/>
      <c r="Y880" s="22"/>
      <c r="Z880" s="14">
        <f>W880+X880/60+Y880/3600</f>
        <v>0</v>
      </c>
      <c r="AA880" s="26">
        <f>ABS(Z880-Q880)/Q880</f>
        <v>1</v>
      </c>
      <c r="AB880" s="26"/>
      <c r="AC880" s="14">
        <f>P880</f>
        <v>49.019136741600001</v>
      </c>
      <c r="AD880" s="14">
        <f>Q880</f>
        <v>2.1546634774100002</v>
      </c>
    </row>
    <row r="881" spans="1:30" s="14" customFormat="1">
      <c r="A881" s="12">
        <v>35</v>
      </c>
      <c r="B881" s="12" t="s">
        <v>653</v>
      </c>
      <c r="C881" s="14" t="str">
        <f>VLOOKUP(B881,weights!A:B,2,FALSE)</f>
        <v>M</v>
      </c>
      <c r="D881" s="13">
        <v>879</v>
      </c>
      <c r="E881" s="14" t="s">
        <v>574</v>
      </c>
      <c r="G881" s="14" t="s">
        <v>569</v>
      </c>
      <c r="H881" s="18"/>
      <c r="I881" s="18" t="s">
        <v>1937</v>
      </c>
      <c r="J881" s="14">
        <v>880</v>
      </c>
      <c r="K881" s="14">
        <f>VLOOKUP(B881,weights!A:G,5,FALSE)</f>
        <v>3.15</v>
      </c>
      <c r="L881" s="14">
        <f>VLOOKUP(B881,weights!A:G,6,FALSE)</f>
        <v>7</v>
      </c>
      <c r="M881" s="14">
        <f>VLOOKUP(B881,weights!A:G,7,FALSE)</f>
        <v>10</v>
      </c>
      <c r="N881" t="s">
        <v>5616</v>
      </c>
      <c r="O881">
        <v>580</v>
      </c>
      <c r="P881">
        <v>49.033987636299997</v>
      </c>
      <c r="Q881">
        <v>2.1282638725599998</v>
      </c>
      <c r="R881" s="22"/>
      <c r="S881" s="22"/>
      <c r="T881" s="22"/>
      <c r="U881" s="24">
        <f>R881+S881/60+T881/3600</f>
        <v>0</v>
      </c>
      <c r="V881" s="28">
        <f>ABS(U881-P881)/P881</f>
        <v>1</v>
      </c>
      <c r="W881" s="22"/>
      <c r="X881" s="22"/>
      <c r="Y881" s="22"/>
      <c r="Z881" s="14">
        <f>W881+X881/60+Y881/3600</f>
        <v>0</v>
      </c>
      <c r="AA881" s="26">
        <f>ABS(Z881-Q881)/Q881</f>
        <v>1</v>
      </c>
      <c r="AB881" s="26"/>
      <c r="AC881" s="14">
        <f>P881</f>
        <v>49.033987636299997</v>
      </c>
      <c r="AD881" s="14">
        <f>Q881</f>
        <v>2.1282638725599998</v>
      </c>
    </row>
    <row r="882" spans="1:30" s="14" customFormat="1">
      <c r="A882" s="12">
        <v>36</v>
      </c>
      <c r="B882" s="12" t="s">
        <v>653</v>
      </c>
      <c r="C882" s="14" t="str">
        <f>VLOOKUP(B882,weights!A:B,2,FALSE)</f>
        <v>M</v>
      </c>
      <c r="D882" s="13">
        <v>880</v>
      </c>
      <c r="E882" s="14" t="s">
        <v>573</v>
      </c>
      <c r="G882" s="14" t="s">
        <v>569</v>
      </c>
      <c r="H882" s="18"/>
      <c r="I882" s="18" t="s">
        <v>1938</v>
      </c>
      <c r="J882" s="14">
        <v>881.88199999999995</v>
      </c>
      <c r="K882" s="14">
        <f>VLOOKUP(B882,weights!A:G,5,FALSE)</f>
        <v>3.15</v>
      </c>
      <c r="L882" s="14">
        <f>VLOOKUP(B882,weights!A:G,6,FALSE)</f>
        <v>7</v>
      </c>
      <c r="M882" s="14">
        <f>VLOOKUP(B882,weights!A:G,7,FALSE)</f>
        <v>10</v>
      </c>
      <c r="N882" t="s">
        <v>5613</v>
      </c>
      <c r="O882">
        <v>825</v>
      </c>
      <c r="P882">
        <v>49.045311648400002</v>
      </c>
      <c r="Q882">
        <v>2.10511071028</v>
      </c>
      <c r="R882" s="22"/>
      <c r="S882" s="22"/>
      <c r="T882" s="22"/>
      <c r="U882" s="24">
        <f>R882+S882/60+T882/3600</f>
        <v>0</v>
      </c>
      <c r="V882" s="28">
        <f>ABS(U882-P882)/P882</f>
        <v>1</v>
      </c>
      <c r="W882" s="22"/>
      <c r="X882" s="22"/>
      <c r="Y882" s="22"/>
      <c r="Z882" s="14">
        <f>W882+X882/60+Y882/3600</f>
        <v>0</v>
      </c>
      <c r="AA882" s="26">
        <f>ABS(Z882-Q882)/Q882</f>
        <v>1</v>
      </c>
      <c r="AB882" s="26"/>
      <c r="AC882" s="14">
        <f>P882</f>
        <v>49.045311648400002</v>
      </c>
      <c r="AD882" s="14">
        <f>Q882</f>
        <v>2.10511071028</v>
      </c>
    </row>
    <row r="883" spans="1:30" s="14" customFormat="1">
      <c r="A883" s="12">
        <v>37</v>
      </c>
      <c r="B883" s="12" t="s">
        <v>653</v>
      </c>
      <c r="C883" s="14" t="str">
        <f>VLOOKUP(B883,weights!A:B,2,FALSE)</f>
        <v>M</v>
      </c>
      <c r="D883" s="13">
        <v>881</v>
      </c>
      <c r="E883" s="14" t="s">
        <v>572</v>
      </c>
      <c r="G883" s="14" t="s">
        <v>1023</v>
      </c>
      <c r="H883" s="18" t="s">
        <v>1940</v>
      </c>
      <c r="I883" s="18" t="s">
        <v>1939</v>
      </c>
      <c r="K883" s="14">
        <f>VLOOKUP(B883,weights!A:G,5,FALSE)</f>
        <v>3.15</v>
      </c>
      <c r="L883" s="14">
        <f>VLOOKUP(B883,weights!A:G,6,FALSE)</f>
        <v>7</v>
      </c>
      <c r="M883" s="14">
        <f>VLOOKUP(B883,weights!A:G,7,FALSE)</f>
        <v>10</v>
      </c>
      <c r="N883" t="s">
        <v>5265</v>
      </c>
      <c r="O883">
        <v>724</v>
      </c>
      <c r="P883">
        <v>49.046645762600001</v>
      </c>
      <c r="Q883">
        <v>2.0951950672300002</v>
      </c>
      <c r="R883" s="22"/>
      <c r="S883" s="22"/>
      <c r="T883" s="22"/>
      <c r="U883" s="24">
        <f>R883+S883/60+T883/3600</f>
        <v>0</v>
      </c>
      <c r="V883" s="28">
        <f>ABS(U883-P883)/P883</f>
        <v>1</v>
      </c>
      <c r="W883" s="22"/>
      <c r="X883" s="22"/>
      <c r="Y883" s="22"/>
      <c r="Z883" s="14">
        <f>W883+X883/60+Y883/3600</f>
        <v>0</v>
      </c>
      <c r="AA883" s="26">
        <f>ABS(Z883-Q883)/Q883</f>
        <v>1</v>
      </c>
      <c r="AB883" s="26"/>
      <c r="AC883" s="14">
        <f>P883</f>
        <v>49.046645762600001</v>
      </c>
      <c r="AD883" s="14">
        <f>Q883</f>
        <v>2.0951950672300002</v>
      </c>
    </row>
    <row r="884" spans="1:30" s="14" customFormat="1">
      <c r="A884" s="12">
        <v>38</v>
      </c>
      <c r="B884" s="12" t="s">
        <v>653</v>
      </c>
      <c r="C884" s="14" t="str">
        <f>VLOOKUP(B884,weights!A:B,2,FALSE)</f>
        <v>M</v>
      </c>
      <c r="D884" s="13">
        <v>882</v>
      </c>
      <c r="E884" s="14" t="s">
        <v>1024</v>
      </c>
      <c r="H884" s="18"/>
      <c r="I884" s="18"/>
      <c r="J884" s="14">
        <v>883</v>
      </c>
      <c r="K884" s="14">
        <f>VLOOKUP(B884,weights!A:G,5,FALSE)</f>
        <v>3.15</v>
      </c>
      <c r="L884" s="14">
        <f>VLOOKUP(B884,weights!A:G,6,FALSE)</f>
        <v>7</v>
      </c>
      <c r="M884" s="14">
        <f>VLOOKUP(B884,weights!A:G,7,FALSE)</f>
        <v>10</v>
      </c>
      <c r="N884" t="s">
        <v>3952</v>
      </c>
      <c r="O884">
        <v>172</v>
      </c>
      <c r="P884">
        <v>49.055101759599999</v>
      </c>
      <c r="Q884">
        <v>2.12273590692</v>
      </c>
      <c r="R884" s="22"/>
      <c r="S884" s="22"/>
      <c r="T884" s="22"/>
      <c r="U884" s="24">
        <f>R884+S884/60+T884/3600</f>
        <v>0</v>
      </c>
      <c r="V884" s="28">
        <f>ABS(U884-P884)/P884</f>
        <v>1</v>
      </c>
      <c r="W884" s="22"/>
      <c r="X884" s="22"/>
      <c r="Y884" s="22"/>
      <c r="Z884" s="14">
        <f>W884+X884/60+Y884/3600</f>
        <v>0</v>
      </c>
      <c r="AA884" s="26">
        <f>ABS(Z884-Q884)/Q884</f>
        <v>1</v>
      </c>
      <c r="AB884" s="26"/>
      <c r="AC884" s="14">
        <f>P884</f>
        <v>49.055101759599999</v>
      </c>
      <c r="AD884" s="14">
        <f>Q884</f>
        <v>2.12273590692</v>
      </c>
    </row>
    <row r="885" spans="1:30" s="14" customFormat="1">
      <c r="A885" s="12">
        <v>39</v>
      </c>
      <c r="B885" s="12" t="s">
        <v>653</v>
      </c>
      <c r="C885" s="14" t="str">
        <f>VLOOKUP(B885,weights!A:B,2,FALSE)</f>
        <v>M</v>
      </c>
      <c r="D885" s="13">
        <v>883</v>
      </c>
      <c r="E885" s="14" t="s">
        <v>1025</v>
      </c>
      <c r="G885" s="15"/>
      <c r="H885" s="18"/>
      <c r="I885" s="18"/>
      <c r="J885" s="14">
        <v>884</v>
      </c>
      <c r="K885" s="14">
        <f>VLOOKUP(B885,weights!A:G,5,FALSE)</f>
        <v>3.15</v>
      </c>
      <c r="L885" s="14">
        <f>VLOOKUP(B885,weights!A:G,6,FALSE)</f>
        <v>7</v>
      </c>
      <c r="M885" s="14">
        <f>VLOOKUP(B885,weights!A:G,7,FALSE)</f>
        <v>10</v>
      </c>
      <c r="N885" t="s">
        <v>5256</v>
      </c>
      <c r="O885">
        <v>173</v>
      </c>
      <c r="P885">
        <v>49.060591681200002</v>
      </c>
      <c r="Q885">
        <v>2.1308741342799999</v>
      </c>
      <c r="R885" s="22"/>
      <c r="S885" s="22"/>
      <c r="T885" s="22"/>
      <c r="U885" s="24">
        <f>R885+S885/60+T885/3600</f>
        <v>0</v>
      </c>
      <c r="V885" s="28">
        <f>ABS(U885-P885)/P885</f>
        <v>1</v>
      </c>
      <c r="W885" s="22"/>
      <c r="X885" s="22"/>
      <c r="Y885" s="22"/>
      <c r="Z885" s="14">
        <f>W885+X885/60+Y885/3600</f>
        <v>0</v>
      </c>
      <c r="AA885" s="26">
        <f>ABS(Z885-Q885)/Q885</f>
        <v>1</v>
      </c>
      <c r="AB885" s="26"/>
      <c r="AC885" s="14">
        <f>P885</f>
        <v>49.060591681200002</v>
      </c>
      <c r="AD885" s="14">
        <f>Q885</f>
        <v>2.1308741342799999</v>
      </c>
    </row>
    <row r="886" spans="1:30" s="14" customFormat="1">
      <c r="A886" s="12">
        <v>40</v>
      </c>
      <c r="B886" s="12" t="s">
        <v>653</v>
      </c>
      <c r="C886" s="14" t="str">
        <f>VLOOKUP(B886,weights!A:B,2,FALSE)</f>
        <v>M</v>
      </c>
      <c r="D886" s="13">
        <v>884</v>
      </c>
      <c r="E886" s="14" t="s">
        <v>1026</v>
      </c>
      <c r="G886" s="15"/>
      <c r="H886" s="18"/>
      <c r="I886" s="18"/>
      <c r="J886" s="14">
        <v>885</v>
      </c>
      <c r="K886" s="14">
        <f>VLOOKUP(B886,weights!A:G,5,FALSE)</f>
        <v>3.15</v>
      </c>
      <c r="L886" s="14">
        <f>VLOOKUP(B886,weights!A:G,6,FALSE)</f>
        <v>7</v>
      </c>
      <c r="M886" s="14">
        <f>VLOOKUP(B886,weights!A:G,7,FALSE)</f>
        <v>10</v>
      </c>
      <c r="N886" t="s">
        <v>3585</v>
      </c>
      <c r="O886">
        <v>673</v>
      </c>
      <c r="P886">
        <v>49.069314135500001</v>
      </c>
      <c r="Q886">
        <v>2.1416969341500001</v>
      </c>
      <c r="R886" s="22"/>
      <c r="S886" s="22"/>
      <c r="T886" s="22"/>
      <c r="U886" s="24">
        <f>R886+S886/60+T886/3600</f>
        <v>0</v>
      </c>
      <c r="V886" s="28">
        <f>ABS(U886-P886)/P886</f>
        <v>1</v>
      </c>
      <c r="W886" s="22"/>
      <c r="X886" s="22"/>
      <c r="Y886" s="22"/>
      <c r="Z886" s="14">
        <f>W886+X886/60+Y886/3600</f>
        <v>0</v>
      </c>
      <c r="AA886" s="26">
        <f>ABS(Z886-Q886)/Q886</f>
        <v>1</v>
      </c>
      <c r="AB886" s="26"/>
      <c r="AC886" s="14">
        <f>P886</f>
        <v>49.069314135500001</v>
      </c>
      <c r="AD886" s="14">
        <f>Q886</f>
        <v>2.1416969341500001</v>
      </c>
    </row>
    <row r="887" spans="1:30" s="14" customFormat="1">
      <c r="A887" s="12">
        <v>41</v>
      </c>
      <c r="B887" s="12" t="s">
        <v>653</v>
      </c>
      <c r="C887" s="14" t="str">
        <f>VLOOKUP(B887,weights!A:B,2,FALSE)</f>
        <v>M</v>
      </c>
      <c r="D887" s="13">
        <v>885</v>
      </c>
      <c r="E887" s="14" t="s">
        <v>1027</v>
      </c>
      <c r="G887" s="15"/>
      <c r="H887" s="18"/>
      <c r="I887" s="18"/>
      <c r="J887" s="14">
        <v>874</v>
      </c>
      <c r="K887" s="14">
        <f>VLOOKUP(B887,weights!A:G,5,FALSE)</f>
        <v>3.15</v>
      </c>
      <c r="L887" s="14">
        <f>VLOOKUP(B887,weights!A:G,6,FALSE)</f>
        <v>7</v>
      </c>
      <c r="M887" s="14">
        <f>VLOOKUP(B887,weights!A:G,7,FALSE)</f>
        <v>10</v>
      </c>
      <c r="N887" t="s">
        <v>3240</v>
      </c>
      <c r="O887">
        <v>674</v>
      </c>
      <c r="P887">
        <v>49.070462362500002</v>
      </c>
      <c r="Q887">
        <v>2.1753042058599998</v>
      </c>
      <c r="R887" s="22"/>
      <c r="S887" s="22"/>
      <c r="T887" s="22"/>
      <c r="U887" s="24">
        <f>R887+S887/60+T887/3600</f>
        <v>0</v>
      </c>
      <c r="V887" s="28">
        <f>ABS(U887-P887)/P887</f>
        <v>1</v>
      </c>
      <c r="W887" s="22"/>
      <c r="X887" s="22"/>
      <c r="Y887" s="22"/>
      <c r="Z887" s="14">
        <f>W887+X887/60+Y887/3600</f>
        <v>0</v>
      </c>
      <c r="AA887" s="26">
        <f>ABS(Z887-Q887)/Q887</f>
        <v>1</v>
      </c>
      <c r="AB887" s="26"/>
      <c r="AC887" s="14">
        <f>P887</f>
        <v>49.070462362500002</v>
      </c>
      <c r="AD887" s="14">
        <f>Q887</f>
        <v>2.1753042058599998</v>
      </c>
    </row>
    <row r="888" spans="1:30" s="14" customFormat="1">
      <c r="A888" s="12">
        <v>42</v>
      </c>
      <c r="B888" s="12" t="s">
        <v>653</v>
      </c>
      <c r="C888" s="14" t="str">
        <f>VLOOKUP(B888,weights!A:B,2,FALSE)</f>
        <v>M</v>
      </c>
      <c r="D888" s="13">
        <v>886</v>
      </c>
      <c r="E888" s="14" t="s">
        <v>1021</v>
      </c>
      <c r="G888" s="15"/>
      <c r="H888" s="18"/>
      <c r="I888" s="18"/>
      <c r="J888" s="14">
        <v>890</v>
      </c>
      <c r="K888" s="14">
        <f>VLOOKUP(B888,weights!A:G,5,FALSE)</f>
        <v>3.15</v>
      </c>
      <c r="L888" s="14">
        <f>VLOOKUP(B888,weights!A:G,6,FALSE)</f>
        <v>7</v>
      </c>
      <c r="M888" s="14">
        <f>VLOOKUP(B888,weights!A:G,7,FALSE)</f>
        <v>10</v>
      </c>
      <c r="N888" t="s">
        <v>4360</v>
      </c>
      <c r="O888">
        <v>789</v>
      </c>
      <c r="P888">
        <v>49.114783971000001</v>
      </c>
      <c r="Q888">
        <v>2.2100198692799999</v>
      </c>
      <c r="R888" s="22"/>
      <c r="S888" s="22"/>
      <c r="T888" s="22"/>
      <c r="U888" s="24">
        <f>R888+S888/60+T888/3600</f>
        <v>0</v>
      </c>
      <c r="V888" s="28">
        <f>ABS(U888-P888)/P888</f>
        <v>1</v>
      </c>
      <c r="W888" s="22"/>
      <c r="X888" s="22"/>
      <c r="Y888" s="22"/>
      <c r="Z888" s="14">
        <f>W888+X888/60+Y888/3600</f>
        <v>0</v>
      </c>
      <c r="AA888" s="26">
        <f>ABS(Z888-Q888)/Q888</f>
        <v>1</v>
      </c>
      <c r="AB888" s="26"/>
      <c r="AC888" s="14">
        <f>P888</f>
        <v>49.114783971000001</v>
      </c>
      <c r="AD888" s="14">
        <f>Q888</f>
        <v>2.2100198692799999</v>
      </c>
    </row>
    <row r="889" spans="1:30" s="14" customFormat="1">
      <c r="A889" s="12">
        <v>43</v>
      </c>
      <c r="B889" s="12" t="s">
        <v>653</v>
      </c>
      <c r="C889" s="14" t="str">
        <f>VLOOKUP(B889,weights!A:B,2,FALSE)</f>
        <v>M</v>
      </c>
      <c r="D889" s="13">
        <v>887</v>
      </c>
      <c r="E889" s="14" t="s">
        <v>1028</v>
      </c>
      <c r="G889" s="15"/>
      <c r="H889" s="18"/>
      <c r="I889" s="18"/>
      <c r="J889" s="14">
        <v>891</v>
      </c>
      <c r="K889" s="14">
        <f>VLOOKUP(B889,weights!A:G,5,FALSE)</f>
        <v>3.15</v>
      </c>
      <c r="L889" s="14">
        <f>VLOOKUP(B889,weights!A:G,6,FALSE)</f>
        <v>7</v>
      </c>
      <c r="M889" s="14">
        <f>VLOOKUP(B889,weights!A:G,7,FALSE)</f>
        <v>10</v>
      </c>
      <c r="N889" t="s">
        <v>3556</v>
      </c>
      <c r="O889">
        <v>612</v>
      </c>
      <c r="P889">
        <v>49.136000564600003</v>
      </c>
      <c r="Q889">
        <v>2.2426777767799999</v>
      </c>
      <c r="R889" s="22"/>
      <c r="S889" s="22"/>
      <c r="T889" s="22"/>
      <c r="U889" s="24">
        <f>R889+S889/60+T889/3600</f>
        <v>0</v>
      </c>
      <c r="V889" s="28">
        <f>ABS(U889-P889)/P889</f>
        <v>1</v>
      </c>
      <c r="W889" s="22"/>
      <c r="X889" s="22"/>
      <c r="Y889" s="22"/>
      <c r="Z889" s="14">
        <f>W889+X889/60+Y889/3600</f>
        <v>0</v>
      </c>
      <c r="AA889" s="26">
        <f>ABS(Z889-Q889)/Q889</f>
        <v>1</v>
      </c>
      <c r="AB889" s="26"/>
      <c r="AC889" s="14">
        <f>P889</f>
        <v>49.136000564600003</v>
      </c>
      <c r="AD889" s="14">
        <f>Q889</f>
        <v>2.2426777767799999</v>
      </c>
    </row>
    <row r="890" spans="1:30" s="14" customFormat="1">
      <c r="A890" s="12">
        <v>44</v>
      </c>
      <c r="B890" s="12" t="s">
        <v>653</v>
      </c>
      <c r="C890" s="14" t="str">
        <f>VLOOKUP(B890,weights!A:B,2,FALSE)</f>
        <v>M</v>
      </c>
      <c r="D890" s="13">
        <v>888</v>
      </c>
      <c r="E890" s="14" t="s">
        <v>1029</v>
      </c>
      <c r="G890" s="15"/>
      <c r="H890" s="18"/>
      <c r="I890" s="18"/>
      <c r="J890" s="14">
        <v>889</v>
      </c>
      <c r="K890" s="14">
        <f>VLOOKUP(B890,weights!A:G,5,FALSE)</f>
        <v>3.15</v>
      </c>
      <c r="L890" s="14">
        <f>VLOOKUP(B890,weights!A:G,6,FALSE)</f>
        <v>7</v>
      </c>
      <c r="M890" s="14">
        <f>VLOOKUP(B890,weights!A:G,7,FALSE)</f>
        <v>10</v>
      </c>
      <c r="N890" t="s">
        <v>5150</v>
      </c>
      <c r="O890">
        <v>520</v>
      </c>
      <c r="P890">
        <v>49.147719507399998</v>
      </c>
      <c r="Q890">
        <v>2.2778231947199998</v>
      </c>
      <c r="R890" s="22"/>
      <c r="S890" s="22"/>
      <c r="T890" s="22"/>
      <c r="U890" s="24">
        <f>R890+S890/60+T890/3600</f>
        <v>0</v>
      </c>
      <c r="V890" s="28">
        <f>ABS(U890-P890)/P890</f>
        <v>1</v>
      </c>
      <c r="W890" s="22"/>
      <c r="X890" s="22"/>
      <c r="Y890" s="22"/>
      <c r="Z890" s="14">
        <f>W890+X890/60+Y890/3600</f>
        <v>0</v>
      </c>
      <c r="AA890" s="26">
        <f>ABS(Z890-Q890)/Q890</f>
        <v>1</v>
      </c>
      <c r="AB890" s="26"/>
      <c r="AC890" s="14">
        <f>P890</f>
        <v>49.147719507399998</v>
      </c>
      <c r="AD890" s="14">
        <f>Q890</f>
        <v>2.2778231947199998</v>
      </c>
    </row>
    <row r="891" spans="1:30" s="14" customFormat="1">
      <c r="A891" s="12">
        <v>45</v>
      </c>
      <c r="B891" s="12" t="s">
        <v>653</v>
      </c>
      <c r="C891" s="14" t="str">
        <f>VLOOKUP(B891,weights!A:B,2,FALSE)</f>
        <v>M</v>
      </c>
      <c r="D891" s="13">
        <v>889</v>
      </c>
      <c r="E891" s="14" t="s">
        <v>1030</v>
      </c>
      <c r="G891" s="15"/>
      <c r="H891" s="18"/>
      <c r="I891" s="18"/>
      <c r="J891" s="14">
        <v>890</v>
      </c>
      <c r="K891" s="14">
        <f>VLOOKUP(B891,weights!A:G,5,FALSE)</f>
        <v>3.15</v>
      </c>
      <c r="L891" s="14">
        <f>VLOOKUP(B891,weights!A:G,6,FALSE)</f>
        <v>7</v>
      </c>
      <c r="M891" s="14">
        <f>VLOOKUP(B891,weights!A:G,7,FALSE)</f>
        <v>10</v>
      </c>
      <c r="N891" t="s">
        <v>3468</v>
      </c>
      <c r="O891">
        <v>788</v>
      </c>
      <c r="P891">
        <v>49.155189858999996</v>
      </c>
      <c r="Q891">
        <v>2.3257539948799999</v>
      </c>
      <c r="R891" s="22"/>
      <c r="S891" s="22"/>
      <c r="T891" s="22"/>
      <c r="U891" s="24">
        <f>R891+S891/60+T891/3600</f>
        <v>0</v>
      </c>
      <c r="V891" s="28">
        <f>ABS(U891-P891)/P891</f>
        <v>1</v>
      </c>
      <c r="W891" s="22"/>
      <c r="X891" s="22"/>
      <c r="Y891" s="22"/>
      <c r="Z891" s="14">
        <f>W891+X891/60+Y891/3600</f>
        <v>0</v>
      </c>
      <c r="AA891" s="26">
        <f>ABS(Z891-Q891)/Q891</f>
        <v>1</v>
      </c>
      <c r="AB891" s="26"/>
      <c r="AC891" s="14">
        <f>P891</f>
        <v>49.155189858999996</v>
      </c>
      <c r="AD891" s="14">
        <f>Q891</f>
        <v>2.3257539948799999</v>
      </c>
    </row>
    <row r="892" spans="1:30" s="14" customFormat="1">
      <c r="A892" s="12">
        <v>46</v>
      </c>
      <c r="B892" s="12" t="s">
        <v>653</v>
      </c>
      <c r="C892" s="14" t="str">
        <f>VLOOKUP(B892,weights!A:B,2,FALSE)</f>
        <v>M</v>
      </c>
      <c r="D892" s="13">
        <v>890</v>
      </c>
      <c r="E892" s="14" t="s">
        <v>1031</v>
      </c>
      <c r="G892" s="15"/>
      <c r="H892" s="18"/>
      <c r="I892" s="18"/>
      <c r="J892" s="14">
        <v>891</v>
      </c>
      <c r="K892" s="14">
        <f>VLOOKUP(B892,weights!A:G,5,FALSE)</f>
        <v>3.15</v>
      </c>
      <c r="L892" s="14">
        <f>VLOOKUP(B892,weights!A:G,6,FALSE)</f>
        <v>7</v>
      </c>
      <c r="M892" s="14">
        <f>VLOOKUP(B892,weights!A:G,7,FALSE)</f>
        <v>10</v>
      </c>
      <c r="N892" t="s">
        <v>3399</v>
      </c>
      <c r="O892">
        <v>543</v>
      </c>
      <c r="P892">
        <v>49.166775039800001</v>
      </c>
      <c r="Q892">
        <v>2.36230352857</v>
      </c>
      <c r="R892" s="22"/>
      <c r="S892" s="22"/>
      <c r="T892" s="22"/>
      <c r="U892" s="24">
        <f>R892+S892/60+T892/3600</f>
        <v>0</v>
      </c>
      <c r="V892" s="28">
        <f>ABS(U892-P892)/P892</f>
        <v>1</v>
      </c>
      <c r="W892" s="22"/>
      <c r="X892" s="22"/>
      <c r="Y892" s="22"/>
      <c r="Z892" s="14">
        <f>W892+X892/60+Y892/3600</f>
        <v>0</v>
      </c>
      <c r="AA892" s="26">
        <f>ABS(Z892-Q892)/Q892</f>
        <v>1</v>
      </c>
      <c r="AB892" s="26"/>
      <c r="AC892" s="14">
        <f>P892</f>
        <v>49.166775039800001</v>
      </c>
      <c r="AD892" s="14">
        <f>Q892</f>
        <v>2.36230352857</v>
      </c>
    </row>
    <row r="893" spans="1:30" s="14" customFormat="1">
      <c r="A893" s="12">
        <v>47</v>
      </c>
      <c r="B893" s="12" t="s">
        <v>653</v>
      </c>
      <c r="C893" s="14" t="str">
        <f>VLOOKUP(B893,weights!A:B,2,FALSE)</f>
        <v>M</v>
      </c>
      <c r="D893" s="13">
        <v>891</v>
      </c>
      <c r="E893" s="14" t="s">
        <v>1032</v>
      </c>
      <c r="G893" s="15"/>
      <c r="H893" s="18"/>
      <c r="I893" s="18"/>
      <c r="J893" s="14">
        <v>892</v>
      </c>
      <c r="K893" s="14">
        <f>VLOOKUP(B893,weights!A:G,5,FALSE)</f>
        <v>3.15</v>
      </c>
      <c r="L893" s="14">
        <f>VLOOKUP(B893,weights!A:G,6,FALSE)</f>
        <v>7</v>
      </c>
      <c r="M893" s="14">
        <f>VLOOKUP(B893,weights!A:G,7,FALSE)</f>
        <v>10</v>
      </c>
      <c r="N893" t="s">
        <v>5384</v>
      </c>
      <c r="O893">
        <v>804</v>
      </c>
      <c r="P893">
        <v>49.203265733499997</v>
      </c>
      <c r="Q893">
        <v>2.37660117732</v>
      </c>
      <c r="R893" s="22"/>
      <c r="S893" s="22"/>
      <c r="T893" s="22"/>
      <c r="U893" s="24">
        <f>R893+S893/60+T893/3600</f>
        <v>0</v>
      </c>
      <c r="V893" s="28">
        <f>ABS(U893-P893)/P893</f>
        <v>1</v>
      </c>
      <c r="W893" s="22"/>
      <c r="X893" s="22"/>
      <c r="Y893" s="22"/>
      <c r="Z893" s="14">
        <f>W893+X893/60+Y893/3600</f>
        <v>0</v>
      </c>
      <c r="AA893" s="26">
        <f>ABS(Z893-Q893)/Q893</f>
        <v>1</v>
      </c>
      <c r="AB893" s="26"/>
      <c r="AC893" s="14">
        <f>P893</f>
        <v>49.203265733499997</v>
      </c>
      <c r="AD893" s="14">
        <f>Q893</f>
        <v>2.37660117732</v>
      </c>
    </row>
    <row r="894" spans="1:30" s="14" customFormat="1">
      <c r="A894" s="12">
        <v>48</v>
      </c>
      <c r="B894" s="12" t="s">
        <v>653</v>
      </c>
      <c r="C894" s="14" t="str">
        <f>VLOOKUP(B894,weights!A:B,2,FALSE)</f>
        <v>M</v>
      </c>
      <c r="D894" s="13">
        <v>892</v>
      </c>
      <c r="E894" s="14" t="s">
        <v>1033</v>
      </c>
      <c r="G894" s="15"/>
      <c r="H894" s="18"/>
      <c r="I894" s="18"/>
      <c r="J894" s="14">
        <v>893</v>
      </c>
      <c r="K894" s="14">
        <f>VLOOKUP(B894,weights!A:G,5,FALSE)</f>
        <v>3.15</v>
      </c>
      <c r="L894" s="14">
        <f>VLOOKUP(B894,weights!A:G,6,FALSE)</f>
        <v>7</v>
      </c>
      <c r="M894" s="14">
        <f>VLOOKUP(B894,weights!A:G,7,FALSE)</f>
        <v>10</v>
      </c>
      <c r="N894" t="s">
        <v>5576</v>
      </c>
      <c r="O894">
        <v>805</v>
      </c>
      <c r="P894">
        <v>49.213856324799998</v>
      </c>
      <c r="Q894">
        <v>2.4173693910499998</v>
      </c>
      <c r="R894" s="22"/>
      <c r="S894" s="22"/>
      <c r="T894" s="22"/>
      <c r="U894" s="24">
        <f>R894+S894/60+T894/3600</f>
        <v>0</v>
      </c>
      <c r="V894" s="28">
        <f>ABS(U894-P894)/P894</f>
        <v>1</v>
      </c>
      <c r="W894" s="22"/>
      <c r="X894" s="22"/>
      <c r="Y894" s="22"/>
      <c r="Z894" s="14">
        <f>W894+X894/60+Y894/3600</f>
        <v>0</v>
      </c>
      <c r="AA894" s="26">
        <f>ABS(Z894-Q894)/Q894</f>
        <v>1</v>
      </c>
      <c r="AB894" s="26"/>
      <c r="AC894" s="14">
        <f>P894</f>
        <v>49.213856324799998</v>
      </c>
      <c r="AD894" s="14">
        <f>Q894</f>
        <v>2.4173693910499998</v>
      </c>
    </row>
    <row r="895" spans="1:30" s="14" customFormat="1">
      <c r="A895" s="12">
        <v>49</v>
      </c>
      <c r="B895" s="12" t="s">
        <v>653</v>
      </c>
      <c r="C895" s="14" t="str">
        <f>VLOOKUP(B895,weights!A:B,2,FALSE)</f>
        <v>M</v>
      </c>
      <c r="D895" s="13">
        <v>893</v>
      </c>
      <c r="E895" s="14" t="s">
        <v>667</v>
      </c>
      <c r="G895" s="15"/>
      <c r="H895" s="18"/>
      <c r="I895" s="18"/>
      <c r="K895" s="14">
        <f>VLOOKUP(B895,weights!A:G,5,FALSE)</f>
        <v>3.15</v>
      </c>
      <c r="L895" s="14">
        <f>VLOOKUP(B895,weights!A:G,6,FALSE)</f>
        <v>7</v>
      </c>
      <c r="M895" s="14">
        <f>VLOOKUP(B895,weights!A:G,7,FALSE)</f>
        <v>10</v>
      </c>
      <c r="N895" t="s">
        <v>3796</v>
      </c>
      <c r="O895">
        <v>619</v>
      </c>
      <c r="P895">
        <v>49.263944144500002</v>
      </c>
      <c r="Q895">
        <v>2.46891411535</v>
      </c>
      <c r="R895" s="22"/>
      <c r="S895" s="22"/>
      <c r="T895" s="22"/>
      <c r="U895" s="24">
        <f>R895+S895/60+T895/3600</f>
        <v>0</v>
      </c>
      <c r="V895" s="28">
        <f>ABS(U895-P895)/P895</f>
        <v>1</v>
      </c>
      <c r="W895" s="22"/>
      <c r="X895" s="22"/>
      <c r="Y895" s="22"/>
      <c r="Z895" s="14">
        <f>W895+X895/60+Y895/3600</f>
        <v>0</v>
      </c>
      <c r="AA895" s="26">
        <f>ABS(Z895-Q895)/Q895</f>
        <v>1</v>
      </c>
      <c r="AB895" s="26"/>
      <c r="AC895" s="14">
        <f>P895</f>
        <v>49.263944144500002</v>
      </c>
      <c r="AD895" s="14">
        <f>Q895</f>
        <v>2.46891411535</v>
      </c>
    </row>
    <row r="896" spans="1:30" s="14" customFormat="1">
      <c r="A896" s="12">
        <v>0</v>
      </c>
      <c r="B896" s="12" t="s">
        <v>547</v>
      </c>
      <c r="C896" s="14" t="str">
        <f>VLOOKUP(B896,weights!A:B,2,FALSE)</f>
        <v>M</v>
      </c>
      <c r="D896" s="13">
        <v>894</v>
      </c>
      <c r="E896" s="14" t="s">
        <v>1035</v>
      </c>
      <c r="G896" s="15" t="s">
        <v>246</v>
      </c>
      <c r="H896" s="18" t="s">
        <v>1941</v>
      </c>
      <c r="I896" s="18"/>
      <c r="J896" s="14">
        <v>895</v>
      </c>
      <c r="K896" s="14">
        <f>VLOOKUP(B896,weights!A:G,5,FALSE)</f>
        <v>4.16</v>
      </c>
      <c r="L896" s="14">
        <f>VLOOKUP(B896,weights!A:G,6,FALSE)</f>
        <v>7</v>
      </c>
      <c r="M896" s="14">
        <f>VLOOKUP(B896,weights!A:G,7,FALSE)</f>
        <v>10</v>
      </c>
      <c r="N896" t="s">
        <v>4762</v>
      </c>
      <c r="O896">
        <v>263</v>
      </c>
      <c r="P896">
        <v>48.989502507099999</v>
      </c>
      <c r="Q896">
        <v>1.7030161341900001</v>
      </c>
      <c r="R896" s="22"/>
      <c r="S896" s="22"/>
      <c r="T896" s="22"/>
      <c r="U896" s="24">
        <f>R896+S896/60+T896/3600</f>
        <v>0</v>
      </c>
      <c r="V896" s="28">
        <f>ABS(U896-P896)/P896</f>
        <v>1</v>
      </c>
      <c r="W896" s="22"/>
      <c r="X896" s="22"/>
      <c r="Y896" s="22"/>
      <c r="Z896" s="14">
        <f>W896+X896/60+Y896/3600</f>
        <v>0</v>
      </c>
      <c r="AA896" s="26">
        <f>ABS(Z896-Q896)/Q896</f>
        <v>1</v>
      </c>
      <c r="AB896" s="26"/>
      <c r="AC896" s="14">
        <f>P896</f>
        <v>48.989502507099999</v>
      </c>
      <c r="AD896" s="14">
        <f>Q896</f>
        <v>1.7030161341900001</v>
      </c>
    </row>
    <row r="897" spans="1:30" s="14" customFormat="1">
      <c r="A897" s="12">
        <v>1</v>
      </c>
      <c r="B897" s="12" t="s">
        <v>547</v>
      </c>
      <c r="C897" s="14" t="str">
        <f>VLOOKUP(B897,weights!A:B,2,FALSE)</f>
        <v>M</v>
      </c>
      <c r="D897" s="13">
        <v>895</v>
      </c>
      <c r="E897" s="14" t="s">
        <v>1036</v>
      </c>
      <c r="G897" s="15"/>
      <c r="H897" s="18"/>
      <c r="I897" s="18"/>
      <c r="J897" s="14">
        <v>896.94</v>
      </c>
      <c r="K897" s="14">
        <f>VLOOKUP(B897,weights!A:G,5,FALSE)</f>
        <v>4.16</v>
      </c>
      <c r="L897" s="14">
        <f>VLOOKUP(B897,weights!A:G,6,FALSE)</f>
        <v>7</v>
      </c>
      <c r="M897" s="14">
        <f>VLOOKUP(B897,weights!A:G,7,FALSE)</f>
        <v>10</v>
      </c>
      <c r="N897" t="s">
        <v>4765</v>
      </c>
      <c r="O897">
        <v>899</v>
      </c>
      <c r="P897">
        <v>48.983654507499999</v>
      </c>
      <c r="Q897">
        <v>1.71521098645</v>
      </c>
      <c r="R897" s="22"/>
      <c r="S897" s="22"/>
      <c r="T897" s="22"/>
      <c r="U897" s="24">
        <f>R897+S897/60+T897/3600</f>
        <v>0</v>
      </c>
      <c r="V897" s="28">
        <f>ABS(U897-P897)/P897</f>
        <v>1</v>
      </c>
      <c r="W897" s="22"/>
      <c r="X897" s="22"/>
      <c r="Y897" s="22"/>
      <c r="Z897" s="14">
        <f>W897+X897/60+Y897/3600</f>
        <v>0</v>
      </c>
      <c r="AA897" s="26">
        <f>ABS(Z897-Q897)/Q897</f>
        <v>1</v>
      </c>
      <c r="AB897" s="26"/>
      <c r="AC897" s="14">
        <f>P897</f>
        <v>48.983654507499999</v>
      </c>
      <c r="AD897" s="14">
        <f>Q897</f>
        <v>1.71521098645</v>
      </c>
    </row>
    <row r="898" spans="1:30" s="14" customFormat="1">
      <c r="A898" s="12">
        <v>2</v>
      </c>
      <c r="B898" s="12" t="s">
        <v>547</v>
      </c>
      <c r="C898" s="14" t="str">
        <f>VLOOKUP(B898,weights!A:B,2,FALSE)</f>
        <v>M</v>
      </c>
      <c r="D898" s="13">
        <v>896</v>
      </c>
      <c r="E898" s="14" t="s">
        <v>1037</v>
      </c>
      <c r="G898" s="15"/>
      <c r="H898" s="18"/>
      <c r="I898" s="18"/>
      <c r="J898" s="14">
        <v>897</v>
      </c>
      <c r="K898" s="14">
        <f>VLOOKUP(B898,weights!A:G,5,FALSE)</f>
        <v>4.16</v>
      </c>
      <c r="L898" s="14">
        <f>VLOOKUP(B898,weights!A:G,6,FALSE)</f>
        <v>7</v>
      </c>
      <c r="M898" s="14">
        <f>VLOOKUP(B898,weights!A:G,7,FALSE)</f>
        <v>10</v>
      </c>
      <c r="N898" t="s">
        <v>4635</v>
      </c>
      <c r="O898">
        <v>395</v>
      </c>
      <c r="P898">
        <v>48.984172755300001</v>
      </c>
      <c r="Q898">
        <v>1.7477861829100001</v>
      </c>
      <c r="R898" s="22"/>
      <c r="S898" s="22"/>
      <c r="T898" s="22"/>
      <c r="U898" s="24">
        <f>R898+S898/60+T898/3600</f>
        <v>0</v>
      </c>
      <c r="V898" s="28">
        <f>ABS(U898-P898)/P898</f>
        <v>1</v>
      </c>
      <c r="W898" s="22"/>
      <c r="X898" s="22"/>
      <c r="Y898" s="22"/>
      <c r="Z898" s="14">
        <f>W898+X898/60+Y898/3600</f>
        <v>0</v>
      </c>
      <c r="AA898" s="26">
        <f>ABS(Z898-Q898)/Q898</f>
        <v>1</v>
      </c>
      <c r="AB898" s="26"/>
      <c r="AC898" s="14">
        <f>P898</f>
        <v>48.984172755300001</v>
      </c>
      <c r="AD898" s="14">
        <f>Q898</f>
        <v>1.7477861829100001</v>
      </c>
    </row>
    <row r="899" spans="1:30" s="14" customFormat="1">
      <c r="A899" s="12">
        <v>3</v>
      </c>
      <c r="B899" s="12" t="s">
        <v>547</v>
      </c>
      <c r="C899" s="14" t="str">
        <f>VLOOKUP(B899,weights!A:B,2,FALSE)</f>
        <v>M</v>
      </c>
      <c r="D899" s="13">
        <v>897</v>
      </c>
      <c r="E899" s="14" t="s">
        <v>1038</v>
      </c>
      <c r="G899" s="15"/>
      <c r="H899" s="18"/>
      <c r="I899" s="18"/>
      <c r="J899" s="14">
        <v>898</v>
      </c>
      <c r="K899" s="14">
        <f>VLOOKUP(B899,weights!A:G,5,FALSE)</f>
        <v>4.16</v>
      </c>
      <c r="L899" s="14">
        <f>VLOOKUP(B899,weights!A:G,6,FALSE)</f>
        <v>7</v>
      </c>
      <c r="M899" s="14">
        <f>VLOOKUP(B899,weights!A:G,7,FALSE)</f>
        <v>10</v>
      </c>
      <c r="N899" t="s">
        <v>4271</v>
      </c>
      <c r="O899">
        <v>264</v>
      </c>
      <c r="P899">
        <v>48.9792922476</v>
      </c>
      <c r="Q899">
        <v>1.78397340775</v>
      </c>
      <c r="R899" s="22"/>
      <c r="S899" s="22"/>
      <c r="T899" s="22"/>
      <c r="U899" s="24">
        <f>R899+S899/60+T899/3600</f>
        <v>0</v>
      </c>
      <c r="V899" s="28">
        <f>ABS(U899-P899)/P899</f>
        <v>1</v>
      </c>
      <c r="W899" s="22"/>
      <c r="X899" s="22"/>
      <c r="Y899" s="22"/>
      <c r="Z899" s="14">
        <f>W899+X899/60+Y899/3600</f>
        <v>0</v>
      </c>
      <c r="AA899" s="26">
        <f>ABS(Z899-Q899)/Q899</f>
        <v>1</v>
      </c>
      <c r="AB899" s="26"/>
      <c r="AC899" s="14">
        <f>P899</f>
        <v>48.9792922476</v>
      </c>
      <c r="AD899" s="14">
        <f>Q899</f>
        <v>1.78397340775</v>
      </c>
    </row>
    <row r="900" spans="1:30" s="14" customFormat="1">
      <c r="A900" s="12">
        <v>4</v>
      </c>
      <c r="B900" s="12" t="s">
        <v>547</v>
      </c>
      <c r="C900" s="14" t="str">
        <f>VLOOKUP(B900,weights!A:B,2,FALSE)</f>
        <v>M</v>
      </c>
      <c r="D900" s="13">
        <v>898</v>
      </c>
      <c r="E900" s="14" t="s">
        <v>1039</v>
      </c>
      <c r="G900" s="15"/>
      <c r="H900" s="18"/>
      <c r="I900" s="18"/>
      <c r="J900" s="14">
        <v>899</v>
      </c>
      <c r="K900" s="14">
        <f>VLOOKUP(B900,weights!A:G,5,FALSE)</f>
        <v>4.16</v>
      </c>
      <c r="L900" s="14">
        <f>VLOOKUP(B900,weights!A:G,6,FALSE)</f>
        <v>7</v>
      </c>
      <c r="M900" s="14">
        <f>VLOOKUP(B900,weights!A:G,7,FALSE)</f>
        <v>10</v>
      </c>
      <c r="N900" t="s">
        <v>4116</v>
      </c>
      <c r="O900">
        <v>900</v>
      </c>
      <c r="P900">
        <v>48.982979763199999</v>
      </c>
      <c r="Q900">
        <v>1.80890782598</v>
      </c>
      <c r="R900" s="22"/>
      <c r="S900" s="22"/>
      <c r="T900" s="22"/>
      <c r="U900" s="24">
        <f>R900+S900/60+T900/3600</f>
        <v>0</v>
      </c>
      <c r="V900" s="28">
        <f>ABS(U900-P900)/P900</f>
        <v>1</v>
      </c>
      <c r="W900" s="22"/>
      <c r="X900" s="22"/>
      <c r="Y900" s="22"/>
      <c r="Z900" s="14">
        <f>W900+X900/60+Y900/3600</f>
        <v>0</v>
      </c>
      <c r="AA900" s="26">
        <f>ABS(Z900-Q900)/Q900</f>
        <v>1</v>
      </c>
      <c r="AB900" s="26"/>
      <c r="AC900" s="14">
        <f>P900</f>
        <v>48.982979763199999</v>
      </c>
      <c r="AD900" s="14">
        <f>Q900</f>
        <v>1.80890782598</v>
      </c>
    </row>
    <row r="901" spans="1:30" s="14" customFormat="1">
      <c r="A901" s="12">
        <v>5</v>
      </c>
      <c r="B901" s="12" t="s">
        <v>547</v>
      </c>
      <c r="C901" s="14" t="str">
        <f>VLOOKUP(B901,weights!A:B,2,FALSE)</f>
        <v>M</v>
      </c>
      <c r="D901" s="13">
        <v>899</v>
      </c>
      <c r="E901" s="14" t="s">
        <v>1040</v>
      </c>
      <c r="G901" s="15"/>
      <c r="H901" s="18"/>
      <c r="I901" s="18"/>
      <c r="J901" s="14">
        <v>900</v>
      </c>
      <c r="K901" s="14">
        <f>VLOOKUP(B901,weights!A:G,5,FALSE)</f>
        <v>4.16</v>
      </c>
      <c r="L901" s="14">
        <f>VLOOKUP(B901,weights!A:G,6,FALSE)</f>
        <v>7</v>
      </c>
      <c r="M901" s="14">
        <f>VLOOKUP(B901,weights!A:G,7,FALSE)</f>
        <v>10</v>
      </c>
      <c r="N901" t="s">
        <v>4345</v>
      </c>
      <c r="O901">
        <v>396</v>
      </c>
      <c r="P901">
        <v>48.992241281299997</v>
      </c>
      <c r="Q901">
        <v>1.84513444487</v>
      </c>
      <c r="R901" s="22"/>
      <c r="S901" s="22"/>
      <c r="T901" s="22"/>
      <c r="U901" s="24">
        <f>R901+S901/60+T901/3600</f>
        <v>0</v>
      </c>
      <c r="V901" s="28">
        <f>ABS(U901-P901)/P901</f>
        <v>1</v>
      </c>
      <c r="W901" s="22"/>
      <c r="X901" s="22"/>
      <c r="Y901" s="22"/>
      <c r="Z901" s="14">
        <f>W901+X901/60+Y901/3600</f>
        <v>0</v>
      </c>
      <c r="AA901" s="26">
        <f>ABS(Z901-Q901)/Q901</f>
        <v>1</v>
      </c>
      <c r="AB901" s="26"/>
      <c r="AC901" s="14">
        <f>P901</f>
        <v>48.992241281299997</v>
      </c>
      <c r="AD901" s="14">
        <f>Q901</f>
        <v>1.84513444487</v>
      </c>
    </row>
    <row r="902" spans="1:30" s="14" customFormat="1">
      <c r="A902" s="12">
        <v>6</v>
      </c>
      <c r="B902" s="12" t="s">
        <v>547</v>
      </c>
      <c r="C902" s="14" t="str">
        <f>VLOOKUP(B902,weights!A:B,2,FALSE)</f>
        <v>M</v>
      </c>
      <c r="D902" s="13">
        <v>900</v>
      </c>
      <c r="E902" s="14" t="s">
        <v>1041</v>
      </c>
      <c r="G902" s="15"/>
      <c r="H902" s="18"/>
      <c r="I902" s="18"/>
      <c r="J902" s="14">
        <v>901</v>
      </c>
      <c r="K902" s="14">
        <f>VLOOKUP(B902,weights!A:G,5,FALSE)</f>
        <v>4.16</v>
      </c>
      <c r="L902" s="14">
        <f>VLOOKUP(B902,weights!A:G,6,FALSE)</f>
        <v>7</v>
      </c>
      <c r="M902" s="14">
        <f>VLOOKUP(B902,weights!A:G,7,FALSE)</f>
        <v>10</v>
      </c>
      <c r="N902" t="s">
        <v>4862</v>
      </c>
      <c r="O902">
        <v>901</v>
      </c>
      <c r="P902">
        <v>49.005762536799999</v>
      </c>
      <c r="Q902">
        <v>1.9017819785800001</v>
      </c>
      <c r="R902" s="22"/>
      <c r="S902" s="22"/>
      <c r="T902" s="22"/>
      <c r="U902" s="24">
        <f>R902+S902/60+T902/3600</f>
        <v>0</v>
      </c>
      <c r="V902" s="28">
        <f>ABS(U902-P902)/P902</f>
        <v>1</v>
      </c>
      <c r="W902" s="22"/>
      <c r="X902" s="22"/>
      <c r="Y902" s="22"/>
      <c r="Z902" s="14">
        <f>W902+X902/60+Y902/3600</f>
        <v>0</v>
      </c>
      <c r="AA902" s="26">
        <f>ABS(Z902-Q902)/Q902</f>
        <v>1</v>
      </c>
      <c r="AB902" s="26"/>
      <c r="AC902" s="14">
        <f>P902</f>
        <v>49.005762536799999</v>
      </c>
      <c r="AD902" s="14">
        <f>Q902</f>
        <v>1.9017819785800001</v>
      </c>
    </row>
    <row r="903" spans="1:30" s="14" customFormat="1">
      <c r="A903" s="12">
        <v>7</v>
      </c>
      <c r="B903" s="12" t="s">
        <v>547</v>
      </c>
      <c r="C903" s="14" t="str">
        <f>VLOOKUP(B903,weights!A:B,2,FALSE)</f>
        <v>M</v>
      </c>
      <c r="D903" s="13">
        <v>901</v>
      </c>
      <c r="E903" s="14" t="s">
        <v>1042</v>
      </c>
      <c r="G903" s="15"/>
      <c r="H903" s="18"/>
      <c r="I903" s="18"/>
      <c r="J903" s="14">
        <v>902</v>
      </c>
      <c r="K903" s="14">
        <f>VLOOKUP(B903,weights!A:G,5,FALSE)</f>
        <v>4.16</v>
      </c>
      <c r="L903" s="14">
        <f>VLOOKUP(B903,weights!A:G,6,FALSE)</f>
        <v>7</v>
      </c>
      <c r="M903" s="14">
        <f>VLOOKUP(B903,weights!A:G,7,FALSE)</f>
        <v>10</v>
      </c>
      <c r="N903" t="s">
        <v>5793</v>
      </c>
      <c r="O903">
        <v>902</v>
      </c>
      <c r="P903">
        <v>49.006700276799997</v>
      </c>
      <c r="Q903">
        <v>1.91923711175</v>
      </c>
      <c r="R903" s="22"/>
      <c r="S903" s="22"/>
      <c r="T903" s="22"/>
      <c r="U903" s="24">
        <f>R903+S903/60+T903/3600</f>
        <v>0</v>
      </c>
      <c r="V903" s="28">
        <f>ABS(U903-P903)/P903</f>
        <v>1</v>
      </c>
      <c r="W903" s="22"/>
      <c r="X903" s="22"/>
      <c r="Y903" s="22"/>
      <c r="Z903" s="14">
        <f>W903+X903/60+Y903/3600</f>
        <v>0</v>
      </c>
      <c r="AA903" s="26">
        <f>ABS(Z903-Q903)/Q903</f>
        <v>1</v>
      </c>
      <c r="AB903" s="26"/>
      <c r="AC903" s="14">
        <f>P903</f>
        <v>49.006700276799997</v>
      </c>
      <c r="AD903" s="14">
        <f>Q903</f>
        <v>1.91923711175</v>
      </c>
    </row>
    <row r="904" spans="1:30" s="14" customFormat="1">
      <c r="A904" s="12">
        <v>8</v>
      </c>
      <c r="B904" s="12" t="s">
        <v>547</v>
      </c>
      <c r="C904" s="14" t="str">
        <f>VLOOKUP(B904,weights!A:B,2,FALSE)</f>
        <v>M</v>
      </c>
      <c r="D904" s="13">
        <v>902</v>
      </c>
      <c r="E904" s="14" t="s">
        <v>1043</v>
      </c>
      <c r="G904" s="15"/>
      <c r="H904" s="18"/>
      <c r="I904" s="18"/>
      <c r="J904" s="14">
        <v>903</v>
      </c>
      <c r="K904" s="14">
        <f>VLOOKUP(B904,weights!A:G,5,FALSE)</f>
        <v>4.16</v>
      </c>
      <c r="L904" s="14">
        <f>VLOOKUP(B904,weights!A:G,6,FALSE)</f>
        <v>7</v>
      </c>
      <c r="M904" s="14">
        <f>VLOOKUP(B904,weights!A:G,7,FALSE)</f>
        <v>10</v>
      </c>
      <c r="N904" t="s">
        <v>5873</v>
      </c>
      <c r="O904">
        <v>397</v>
      </c>
      <c r="P904">
        <v>49.007127246300001</v>
      </c>
      <c r="Q904">
        <v>1.9635517716599999</v>
      </c>
      <c r="R904" s="22"/>
      <c r="S904" s="22"/>
      <c r="T904" s="22"/>
      <c r="U904" s="24">
        <f>R904+S904/60+T904/3600</f>
        <v>0</v>
      </c>
      <c r="V904" s="28">
        <f>ABS(U904-P904)/P904</f>
        <v>1</v>
      </c>
      <c r="W904" s="22"/>
      <c r="X904" s="22"/>
      <c r="Y904" s="22"/>
      <c r="Z904" s="14">
        <f>W904+X904/60+Y904/3600</f>
        <v>0</v>
      </c>
      <c r="AA904" s="26">
        <f>ABS(Z904-Q904)/Q904</f>
        <v>1</v>
      </c>
      <c r="AB904" s="26"/>
      <c r="AC904" s="14">
        <f>P904</f>
        <v>49.007127246300001</v>
      </c>
      <c r="AD904" s="14">
        <f>Q904</f>
        <v>1.9635517716599999</v>
      </c>
    </row>
    <row r="905" spans="1:30" s="14" customFormat="1">
      <c r="A905" s="12">
        <v>9</v>
      </c>
      <c r="B905" s="12" t="s">
        <v>547</v>
      </c>
      <c r="C905" s="14" t="str">
        <f>VLOOKUP(B905,weights!A:B,2,FALSE)</f>
        <v>M</v>
      </c>
      <c r="D905" s="13">
        <v>903</v>
      </c>
      <c r="E905" s="14" t="s">
        <v>1044</v>
      </c>
      <c r="G905" s="15"/>
      <c r="H905" s="18"/>
      <c r="I905" s="18"/>
      <c r="J905" s="14">
        <v>904</v>
      </c>
      <c r="K905" s="14">
        <f>VLOOKUP(B905,weights!A:G,5,FALSE)</f>
        <v>4.16</v>
      </c>
      <c r="L905" s="14">
        <f>VLOOKUP(B905,weights!A:G,6,FALSE)</f>
        <v>7</v>
      </c>
      <c r="M905" s="14">
        <f>VLOOKUP(B905,weights!A:G,7,FALSE)</f>
        <v>10</v>
      </c>
      <c r="N905" t="s">
        <v>5814</v>
      </c>
      <c r="O905">
        <v>903</v>
      </c>
      <c r="P905">
        <v>48.981071911000001</v>
      </c>
      <c r="Q905">
        <v>2.0059308916899998</v>
      </c>
      <c r="R905" s="22"/>
      <c r="S905" s="22"/>
      <c r="T905" s="22"/>
      <c r="U905" s="24">
        <f>R905+S905/60+T905/3600</f>
        <v>0</v>
      </c>
      <c r="V905" s="28">
        <f>ABS(U905-P905)/P905</f>
        <v>1</v>
      </c>
      <c r="W905" s="22"/>
      <c r="X905" s="22"/>
      <c r="Y905" s="22"/>
      <c r="Z905" s="14">
        <f>W905+X905/60+Y905/3600</f>
        <v>0</v>
      </c>
      <c r="AA905" s="26">
        <f>ABS(Z905-Q905)/Q905</f>
        <v>1</v>
      </c>
      <c r="AB905" s="26"/>
      <c r="AC905" s="14">
        <f>P905</f>
        <v>48.981071911000001</v>
      </c>
      <c r="AD905" s="14">
        <f>Q905</f>
        <v>2.0059308916899998</v>
      </c>
    </row>
    <row r="906" spans="1:30" s="14" customFormat="1">
      <c r="A906" s="12">
        <v>10</v>
      </c>
      <c r="B906" s="12" t="s">
        <v>547</v>
      </c>
      <c r="C906" s="14" t="str">
        <f>VLOOKUP(B906,weights!A:B,2,FALSE)</f>
        <v>M</v>
      </c>
      <c r="D906" s="13">
        <v>904</v>
      </c>
      <c r="E906" s="14" t="s">
        <v>1045</v>
      </c>
      <c r="G906" s="15"/>
      <c r="H906" s="18"/>
      <c r="I906" s="18"/>
      <c r="J906" s="14">
        <v>905</v>
      </c>
      <c r="K906" s="14">
        <f>VLOOKUP(B906,weights!A:G,5,FALSE)</f>
        <v>4.16</v>
      </c>
      <c r="L906" s="14">
        <f>VLOOKUP(B906,weights!A:G,6,FALSE)</f>
        <v>7</v>
      </c>
      <c r="M906" s="14">
        <f>VLOOKUP(B906,weights!A:G,7,FALSE)</f>
        <v>10</v>
      </c>
      <c r="N906" t="s">
        <v>3579</v>
      </c>
      <c r="O906">
        <v>168</v>
      </c>
      <c r="P906">
        <v>48.970366933100003</v>
      </c>
      <c r="Q906">
        <v>2.0275187756899999</v>
      </c>
      <c r="R906" s="22"/>
      <c r="S906" s="22"/>
      <c r="T906" s="22"/>
      <c r="U906" s="24">
        <f>R906+S906/60+T906/3600</f>
        <v>0</v>
      </c>
      <c r="V906" s="28">
        <f>ABS(U906-P906)/P906</f>
        <v>1</v>
      </c>
      <c r="W906" s="22"/>
      <c r="X906" s="22"/>
      <c r="Y906" s="22"/>
      <c r="Z906" s="14">
        <f>W906+X906/60+Y906/3600</f>
        <v>0</v>
      </c>
      <c r="AA906" s="26">
        <f>ABS(Z906-Q906)/Q906</f>
        <v>1</v>
      </c>
      <c r="AB906" s="26"/>
      <c r="AC906" s="14">
        <f>P906</f>
        <v>48.970366933100003</v>
      </c>
      <c r="AD906" s="14">
        <f>Q906</f>
        <v>2.0275187756899999</v>
      </c>
    </row>
    <row r="907" spans="1:30" s="14" customFormat="1">
      <c r="A907" s="12">
        <v>11</v>
      </c>
      <c r="B907" s="12" t="s">
        <v>547</v>
      </c>
      <c r="C907" s="14" t="str">
        <f>VLOOKUP(B907,weights!A:B,2,FALSE)</f>
        <v>M</v>
      </c>
      <c r="D907" s="13">
        <v>905</v>
      </c>
      <c r="E907" s="14" t="s">
        <v>1046</v>
      </c>
      <c r="G907" s="15"/>
      <c r="H907" s="18"/>
      <c r="I907" s="18"/>
      <c r="J907" s="14">
        <v>906</v>
      </c>
      <c r="K907" s="14">
        <f>VLOOKUP(B907,weights!A:G,5,FALSE)</f>
        <v>4.16</v>
      </c>
      <c r="L907" s="14">
        <f>VLOOKUP(B907,weights!A:G,6,FALSE)</f>
        <v>7</v>
      </c>
      <c r="M907" s="14">
        <f>VLOOKUP(B907,weights!A:G,7,FALSE)</f>
        <v>10</v>
      </c>
      <c r="N907" t="s">
        <v>3171</v>
      </c>
      <c r="O907">
        <v>78</v>
      </c>
      <c r="P907">
        <v>48.974820864599998</v>
      </c>
      <c r="Q907">
        <v>2.0490831214899998</v>
      </c>
      <c r="R907" s="22"/>
      <c r="S907" s="22"/>
      <c r="T907" s="22"/>
      <c r="U907" s="24">
        <f>R907+S907/60+T907/3600</f>
        <v>0</v>
      </c>
      <c r="V907" s="28">
        <f>ABS(U907-P907)/P907</f>
        <v>1</v>
      </c>
      <c r="W907" s="22"/>
      <c r="X907" s="22"/>
      <c r="Y907" s="22"/>
      <c r="Z907" s="14">
        <f>W907+X907/60+Y907/3600</f>
        <v>0</v>
      </c>
      <c r="AA907" s="26">
        <f>ABS(Z907-Q907)/Q907</f>
        <v>1</v>
      </c>
      <c r="AB907" s="26"/>
      <c r="AC907" s="14">
        <f>P907</f>
        <v>48.974820864599998</v>
      </c>
      <c r="AD907" s="14">
        <f>Q907</f>
        <v>2.0490831214899998</v>
      </c>
    </row>
    <row r="908" spans="1:30" s="14" customFormat="1">
      <c r="A908" s="12">
        <v>12</v>
      </c>
      <c r="B908" s="12" t="s">
        <v>547</v>
      </c>
      <c r="C908" s="14" t="str">
        <f>VLOOKUP(B908,weights!A:B,2,FALSE)</f>
        <v>M</v>
      </c>
      <c r="D908" s="13">
        <v>906</v>
      </c>
      <c r="E908" s="14" t="s">
        <v>1047</v>
      </c>
      <c r="G908" s="15"/>
      <c r="H908" s="18"/>
      <c r="I908" s="18"/>
      <c r="J908" s="14">
        <v>907</v>
      </c>
      <c r="K908" s="14">
        <f>VLOOKUP(B908,weights!A:G,5,FALSE)</f>
        <v>4.16</v>
      </c>
      <c r="L908" s="14">
        <f>VLOOKUP(B908,weights!A:G,6,FALSE)</f>
        <v>7</v>
      </c>
      <c r="M908" s="14">
        <f>VLOOKUP(B908,weights!A:G,7,FALSE)</f>
        <v>10</v>
      </c>
      <c r="N908" t="s">
        <v>4825</v>
      </c>
      <c r="O908">
        <v>904</v>
      </c>
      <c r="P908">
        <v>48.9870565461</v>
      </c>
      <c r="Q908">
        <v>2.05978782668</v>
      </c>
      <c r="R908" s="22"/>
      <c r="S908" s="22"/>
      <c r="T908" s="22"/>
      <c r="U908" s="24">
        <f>R908+S908/60+T908/3600</f>
        <v>0</v>
      </c>
      <c r="V908" s="28">
        <f>ABS(U908-P908)/P908</f>
        <v>1</v>
      </c>
      <c r="W908" s="22"/>
      <c r="X908" s="22"/>
      <c r="Y908" s="22"/>
      <c r="Z908" s="14">
        <f>W908+X908/60+Y908/3600</f>
        <v>0</v>
      </c>
      <c r="AA908" s="26">
        <f>ABS(Z908-Q908)/Q908</f>
        <v>1</v>
      </c>
      <c r="AB908" s="26"/>
      <c r="AC908" s="14">
        <f>P908</f>
        <v>48.9870565461</v>
      </c>
      <c r="AD908" s="14">
        <f>Q908</f>
        <v>2.05978782668</v>
      </c>
    </row>
    <row r="909" spans="1:30" s="14" customFormat="1">
      <c r="A909" s="12">
        <v>13</v>
      </c>
      <c r="B909" s="12" t="s">
        <v>547</v>
      </c>
      <c r="C909" s="14" t="str">
        <f>VLOOKUP(B909,weights!A:B,2,FALSE)</f>
        <v>M</v>
      </c>
      <c r="D909" s="13">
        <v>907</v>
      </c>
      <c r="E909" s="14" t="s">
        <v>1048</v>
      </c>
      <c r="G909" s="15" t="s">
        <v>1072</v>
      </c>
      <c r="H909" s="18" t="s">
        <v>1943</v>
      </c>
      <c r="I909" s="18" t="s">
        <v>1942</v>
      </c>
      <c r="J909" s="14">
        <v>922</v>
      </c>
      <c r="K909" s="14">
        <f>VLOOKUP(B909,weights!A:G,5,FALSE)</f>
        <v>4.16</v>
      </c>
      <c r="L909" s="14">
        <f>VLOOKUP(B909,weights!A:G,6,FALSE)</f>
        <v>7</v>
      </c>
      <c r="M909" s="14">
        <f>VLOOKUP(B909,weights!A:G,7,FALSE)</f>
        <v>10</v>
      </c>
      <c r="N909" t="s">
        <v>3744</v>
      </c>
      <c r="O909">
        <v>486</v>
      </c>
      <c r="P909">
        <v>48.991898372400001</v>
      </c>
      <c r="Q909">
        <v>2.0736206204699998</v>
      </c>
      <c r="R909" s="22"/>
      <c r="S909" s="22"/>
      <c r="T909" s="22"/>
      <c r="U909" s="24">
        <f>R909+S909/60+T909/3600</f>
        <v>0</v>
      </c>
      <c r="V909" s="28">
        <f>ABS(U909-P909)/P909</f>
        <v>1</v>
      </c>
      <c r="W909" s="22"/>
      <c r="X909" s="22"/>
      <c r="Y909" s="22"/>
      <c r="Z909" s="14">
        <f>W909+X909/60+Y909/3600</f>
        <v>0</v>
      </c>
      <c r="AA909" s="26">
        <f>ABS(Z909-Q909)/Q909</f>
        <v>1</v>
      </c>
      <c r="AB909" s="26"/>
      <c r="AC909" s="14">
        <f>P909</f>
        <v>48.991898372400001</v>
      </c>
      <c r="AD909" s="14">
        <f>Q909</f>
        <v>2.0736206204699998</v>
      </c>
    </row>
    <row r="910" spans="1:30" s="14" customFormat="1">
      <c r="A910" s="12">
        <v>14</v>
      </c>
      <c r="B910" s="12" t="s">
        <v>547</v>
      </c>
      <c r="C910" s="14" t="str">
        <f>VLOOKUP(B910,weights!A:B,2,FALSE)</f>
        <v>M</v>
      </c>
      <c r="D910" s="13">
        <v>908</v>
      </c>
      <c r="E910" s="14" t="s">
        <v>1050</v>
      </c>
      <c r="G910" s="15"/>
      <c r="H910" s="18"/>
      <c r="I910" s="18"/>
      <c r="J910" s="14">
        <v>909</v>
      </c>
      <c r="K910" s="14">
        <f>VLOOKUP(B910,weights!A:G,5,FALSE)</f>
        <v>4.16</v>
      </c>
      <c r="L910" s="14">
        <f>VLOOKUP(B910,weights!A:G,6,FALSE)</f>
        <v>7</v>
      </c>
      <c r="M910" s="14">
        <f>VLOOKUP(B910,weights!A:G,7,FALSE)</f>
        <v>10</v>
      </c>
      <c r="N910" t="s">
        <v>4160</v>
      </c>
      <c r="O910">
        <v>806</v>
      </c>
      <c r="P910">
        <v>49.285263524100003</v>
      </c>
      <c r="Q910">
        <v>1.7850662234800001</v>
      </c>
      <c r="R910" s="22"/>
      <c r="S910" s="22"/>
      <c r="T910" s="22"/>
      <c r="U910" s="24">
        <f>R910+S910/60+T910/3600</f>
        <v>0</v>
      </c>
      <c r="V910" s="28">
        <f>ABS(U910-P910)/P910</f>
        <v>1</v>
      </c>
      <c r="W910" s="22"/>
      <c r="X910" s="22"/>
      <c r="Y910" s="22"/>
      <c r="Z910" s="14">
        <f>W910+X910/60+Y910/3600</f>
        <v>0</v>
      </c>
      <c r="AA910" s="26">
        <f>ABS(Z910-Q910)/Q910</f>
        <v>1</v>
      </c>
      <c r="AB910" s="26"/>
      <c r="AC910" s="14">
        <f>P910</f>
        <v>49.285263524100003</v>
      </c>
      <c r="AD910" s="14">
        <f>Q910</f>
        <v>1.7850662234800001</v>
      </c>
    </row>
    <row r="911" spans="1:30" s="14" customFormat="1">
      <c r="A911" s="12">
        <v>15</v>
      </c>
      <c r="B911" s="12" t="s">
        <v>547</v>
      </c>
      <c r="C911" s="14" t="str">
        <f>VLOOKUP(B911,weights!A:B,2,FALSE)</f>
        <v>M</v>
      </c>
      <c r="D911" s="13">
        <v>909</v>
      </c>
      <c r="E911" s="14" t="s">
        <v>1051</v>
      </c>
      <c r="G911" s="15"/>
      <c r="H911" s="18"/>
      <c r="I911" s="18"/>
      <c r="J911" s="14">
        <v>910</v>
      </c>
      <c r="K911" s="14">
        <f>VLOOKUP(B911,weights!A:G,5,FALSE)</f>
        <v>4.16</v>
      </c>
      <c r="L911" s="14">
        <f>VLOOKUP(B911,weights!A:G,6,FALSE)</f>
        <v>7</v>
      </c>
      <c r="M911" s="14">
        <f>VLOOKUP(B911,weights!A:G,7,FALSE)</f>
        <v>10</v>
      </c>
      <c r="N911" t="s">
        <v>5811</v>
      </c>
      <c r="O911">
        <v>807</v>
      </c>
      <c r="P911">
        <v>49.2825897349</v>
      </c>
      <c r="Q911">
        <v>1.8180823825100001</v>
      </c>
      <c r="R911" s="22"/>
      <c r="S911" s="22"/>
      <c r="T911" s="22"/>
      <c r="U911" s="24">
        <f>R911+S911/60+T911/3600</f>
        <v>0</v>
      </c>
      <c r="V911" s="28">
        <f>ABS(U911-P911)/P911</f>
        <v>1</v>
      </c>
      <c r="W911" s="22"/>
      <c r="X911" s="22"/>
      <c r="Y911" s="22"/>
      <c r="Z911" s="14">
        <f>W911+X911/60+Y911/3600</f>
        <v>0</v>
      </c>
      <c r="AA911" s="26">
        <f>ABS(Z911-Q911)/Q911</f>
        <v>1</v>
      </c>
      <c r="AB911" s="26"/>
      <c r="AC911" s="14">
        <f>P911</f>
        <v>49.2825897349</v>
      </c>
      <c r="AD911" s="14">
        <f>Q911</f>
        <v>1.8180823825100001</v>
      </c>
    </row>
    <row r="912" spans="1:30" s="14" customFormat="1">
      <c r="A912" s="12">
        <v>16</v>
      </c>
      <c r="B912" s="12" t="s">
        <v>547</v>
      </c>
      <c r="C912" s="14" t="str">
        <f>VLOOKUP(B912,weights!A:B,2,FALSE)</f>
        <v>M</v>
      </c>
      <c r="D912" s="13">
        <v>910</v>
      </c>
      <c r="E912" s="14" t="s">
        <v>1052</v>
      </c>
      <c r="G912" s="15"/>
      <c r="H912" s="18"/>
      <c r="I912" s="18"/>
      <c r="J912" s="14">
        <v>911</v>
      </c>
      <c r="K912" s="14">
        <f>VLOOKUP(B912,weights!A:G,5,FALSE)</f>
        <v>4.16</v>
      </c>
      <c r="L912" s="14">
        <f>VLOOKUP(B912,weights!A:G,6,FALSE)</f>
        <v>7</v>
      </c>
      <c r="M912" s="14">
        <f>VLOOKUP(B912,weights!A:G,7,FALSE)</f>
        <v>10</v>
      </c>
      <c r="N912" t="s">
        <v>3649</v>
      </c>
      <c r="O912">
        <v>808</v>
      </c>
      <c r="P912">
        <v>49.261322298099998</v>
      </c>
      <c r="Q912">
        <v>1.8725894678499999</v>
      </c>
      <c r="R912" s="22"/>
      <c r="S912" s="22"/>
      <c r="T912" s="22"/>
      <c r="U912" s="24">
        <f>R912+S912/60+T912/3600</f>
        <v>0</v>
      </c>
      <c r="V912" s="28">
        <f>ABS(U912-P912)/P912</f>
        <v>1</v>
      </c>
      <c r="W912" s="22"/>
      <c r="X912" s="22"/>
      <c r="Y912" s="22"/>
      <c r="Z912" s="14">
        <f>W912+X912/60+Y912/3600</f>
        <v>0</v>
      </c>
      <c r="AA912" s="26">
        <f>ABS(Z912-Q912)/Q912</f>
        <v>1</v>
      </c>
      <c r="AB912" s="26"/>
      <c r="AC912" s="14">
        <f>P912</f>
        <v>49.261322298099998</v>
      </c>
      <c r="AD912" s="14">
        <f>Q912</f>
        <v>1.8725894678499999</v>
      </c>
    </row>
    <row r="913" spans="1:30" s="14" customFormat="1">
      <c r="A913" s="12">
        <v>17</v>
      </c>
      <c r="B913" s="12" t="s">
        <v>547</v>
      </c>
      <c r="C913" s="14" t="str">
        <f>VLOOKUP(B913,weights!A:B,2,FALSE)</f>
        <v>M</v>
      </c>
      <c r="D913" s="13">
        <v>911</v>
      </c>
      <c r="E913" s="14" t="s">
        <v>1053</v>
      </c>
      <c r="G913" s="15"/>
      <c r="H913" s="18"/>
      <c r="I913" s="18"/>
      <c r="J913" s="14">
        <v>912</v>
      </c>
      <c r="K913" s="14">
        <f>VLOOKUP(B913,weights!A:G,5,FALSE)</f>
        <v>4.16</v>
      </c>
      <c r="L913" s="14">
        <f>VLOOKUP(B913,weights!A:G,6,FALSE)</f>
        <v>7</v>
      </c>
      <c r="M913" s="14">
        <f>VLOOKUP(B913,weights!A:G,7,FALSE)</f>
        <v>10</v>
      </c>
      <c r="N913" t="s">
        <v>4620</v>
      </c>
      <c r="O913">
        <v>620</v>
      </c>
      <c r="P913">
        <v>49.220807050600001</v>
      </c>
      <c r="Q913">
        <v>1.9052990618900001</v>
      </c>
      <c r="R913" s="22"/>
      <c r="S913" s="22"/>
      <c r="T913" s="22"/>
      <c r="U913" s="24">
        <f>R913+S913/60+T913/3600</f>
        <v>0</v>
      </c>
      <c r="V913" s="28">
        <f>ABS(U913-P913)/P913</f>
        <v>1</v>
      </c>
      <c r="W913" s="22"/>
      <c r="X913" s="22"/>
      <c r="Y913" s="22"/>
      <c r="Z913" s="14">
        <f>W913+X913/60+Y913/3600</f>
        <v>0</v>
      </c>
      <c r="AA913" s="26">
        <f>ABS(Z913-Q913)/Q913</f>
        <v>1</v>
      </c>
      <c r="AB913" s="26"/>
      <c r="AC913" s="14">
        <f>P913</f>
        <v>49.220807050600001</v>
      </c>
      <c r="AD913" s="14">
        <f>Q913</f>
        <v>1.9052990618900001</v>
      </c>
    </row>
    <row r="914" spans="1:30" s="14" customFormat="1">
      <c r="A914" s="12">
        <v>18</v>
      </c>
      <c r="B914" s="12" t="s">
        <v>547</v>
      </c>
      <c r="C914" s="14" t="str">
        <f>VLOOKUP(B914,weights!A:B,2,FALSE)</f>
        <v>M</v>
      </c>
      <c r="D914" s="13">
        <v>912</v>
      </c>
      <c r="E914" s="14" t="s">
        <v>1054</v>
      </c>
      <c r="G914" s="15"/>
      <c r="H914" s="18"/>
      <c r="I914" s="18"/>
      <c r="J914" s="14">
        <v>913</v>
      </c>
      <c r="K914" s="14">
        <f>VLOOKUP(B914,weights!A:G,5,FALSE)</f>
        <v>4.16</v>
      </c>
      <c r="L914" s="14">
        <f>VLOOKUP(B914,weights!A:G,6,FALSE)</f>
        <v>7</v>
      </c>
      <c r="M914" s="14">
        <f>VLOOKUP(B914,weights!A:G,7,FALSE)</f>
        <v>10</v>
      </c>
      <c r="N914" t="s">
        <v>4448</v>
      </c>
      <c r="O914">
        <v>544</v>
      </c>
      <c r="P914">
        <v>49.202693603</v>
      </c>
      <c r="Q914">
        <v>1.92054770607</v>
      </c>
      <c r="R914" s="22"/>
      <c r="S914" s="22"/>
      <c r="T914" s="22"/>
      <c r="U914" s="24">
        <f>R914+S914/60+T914/3600</f>
        <v>0</v>
      </c>
      <c r="V914" s="28">
        <f>ABS(U914-P914)/P914</f>
        <v>1</v>
      </c>
      <c r="W914" s="22"/>
      <c r="X914" s="22"/>
      <c r="Y914" s="22"/>
      <c r="Z914" s="14">
        <f>W914+X914/60+Y914/3600</f>
        <v>0</v>
      </c>
      <c r="AA914" s="26">
        <f>ABS(Z914-Q914)/Q914</f>
        <v>1</v>
      </c>
      <c r="AB914" s="26"/>
      <c r="AC914" s="14">
        <f>P914</f>
        <v>49.202693603</v>
      </c>
      <c r="AD914" s="14">
        <f>Q914</f>
        <v>1.92054770607</v>
      </c>
    </row>
    <row r="915" spans="1:30" s="14" customFormat="1">
      <c r="A915" s="12">
        <v>19</v>
      </c>
      <c r="B915" s="12" t="s">
        <v>547</v>
      </c>
      <c r="C915" s="14" t="str">
        <f>VLOOKUP(B915,weights!A:B,2,FALSE)</f>
        <v>M</v>
      </c>
      <c r="D915" s="13">
        <v>913</v>
      </c>
      <c r="E915" s="14" t="s">
        <v>1055</v>
      </c>
      <c r="G915" s="15"/>
      <c r="H915" s="18"/>
      <c r="I915" s="18"/>
      <c r="J915" s="14">
        <v>914</v>
      </c>
      <c r="K915" s="14">
        <f>VLOOKUP(B915,weights!A:G,5,FALSE)</f>
        <v>4.16</v>
      </c>
      <c r="L915" s="14">
        <f>VLOOKUP(B915,weights!A:G,6,FALSE)</f>
        <v>7</v>
      </c>
      <c r="M915" s="14">
        <f>VLOOKUP(B915,weights!A:G,7,FALSE)</f>
        <v>10</v>
      </c>
      <c r="N915" t="s">
        <v>3607</v>
      </c>
      <c r="O915">
        <v>791</v>
      </c>
      <c r="P915">
        <v>49.162670580799997</v>
      </c>
      <c r="Q915">
        <v>1.9369286344200001</v>
      </c>
      <c r="R915" s="22"/>
      <c r="S915" s="22"/>
      <c r="T915" s="22"/>
      <c r="U915" s="24">
        <f>R915+S915/60+T915/3600</f>
        <v>0</v>
      </c>
      <c r="V915" s="28">
        <f>ABS(U915-P915)/P915</f>
        <v>1</v>
      </c>
      <c r="W915" s="22"/>
      <c r="X915" s="22"/>
      <c r="Y915" s="22"/>
      <c r="Z915" s="14">
        <f>W915+X915/60+Y915/3600</f>
        <v>0</v>
      </c>
      <c r="AA915" s="26">
        <f>ABS(Z915-Q915)/Q915</f>
        <v>1</v>
      </c>
      <c r="AB915" s="26"/>
      <c r="AC915" s="14">
        <f>P915</f>
        <v>49.162670580799997</v>
      </c>
      <c r="AD915" s="14">
        <f>Q915</f>
        <v>1.9369286344200001</v>
      </c>
    </row>
    <row r="916" spans="1:30" s="14" customFormat="1">
      <c r="A916" s="12">
        <v>20</v>
      </c>
      <c r="B916" s="12" t="s">
        <v>547</v>
      </c>
      <c r="C916" s="14" t="str">
        <f>VLOOKUP(B916,weights!A:B,2,FALSE)</f>
        <v>M</v>
      </c>
      <c r="D916" s="13">
        <v>914</v>
      </c>
      <c r="E916" s="14" t="s">
        <v>1056</v>
      </c>
      <c r="G916" s="15"/>
      <c r="H916" s="18"/>
      <c r="I916" s="18"/>
      <c r="J916" s="14">
        <v>915</v>
      </c>
      <c r="K916" s="14">
        <f>VLOOKUP(B916,weights!A:G,5,FALSE)</f>
        <v>4.16</v>
      </c>
      <c r="L916" s="14">
        <f>VLOOKUP(B916,weights!A:G,6,FALSE)</f>
        <v>7</v>
      </c>
      <c r="M916" s="14">
        <f>VLOOKUP(B916,weights!A:G,7,FALSE)</f>
        <v>10</v>
      </c>
      <c r="N916" t="s">
        <v>5655</v>
      </c>
      <c r="O916">
        <v>428</v>
      </c>
      <c r="P916">
        <v>49.123451854099997</v>
      </c>
      <c r="Q916">
        <v>1.9493326816500001</v>
      </c>
      <c r="R916" s="22"/>
      <c r="S916" s="22"/>
      <c r="T916" s="22"/>
      <c r="U916" s="24">
        <f>R916+S916/60+T916/3600</f>
        <v>0</v>
      </c>
      <c r="V916" s="28">
        <f>ABS(U916-P916)/P916</f>
        <v>1</v>
      </c>
      <c r="W916" s="22"/>
      <c r="X916" s="22"/>
      <c r="Y916" s="22"/>
      <c r="Z916" s="14">
        <f>W916+X916/60+Y916/3600</f>
        <v>0</v>
      </c>
      <c r="AA916" s="26">
        <f>ABS(Z916-Q916)/Q916</f>
        <v>1</v>
      </c>
      <c r="AB916" s="26"/>
      <c r="AC916" s="14">
        <f>P916</f>
        <v>49.123451854099997</v>
      </c>
      <c r="AD916" s="14">
        <f>Q916</f>
        <v>1.9493326816500001</v>
      </c>
    </row>
    <row r="917" spans="1:30" s="14" customFormat="1">
      <c r="A917" s="12">
        <v>21</v>
      </c>
      <c r="B917" s="12" t="s">
        <v>547</v>
      </c>
      <c r="C917" s="14" t="str">
        <f>VLOOKUP(B917,weights!A:B,2,FALSE)</f>
        <v>M</v>
      </c>
      <c r="D917" s="13">
        <v>915</v>
      </c>
      <c r="E917" s="14" t="s">
        <v>1057</v>
      </c>
      <c r="G917" s="15"/>
      <c r="H917" s="18"/>
      <c r="I917" s="18"/>
      <c r="J917" s="14">
        <v>916</v>
      </c>
      <c r="K917" s="14">
        <f>VLOOKUP(B917,weights!A:G,5,FALSE)</f>
        <v>4.16</v>
      </c>
      <c r="L917" s="14">
        <f>VLOOKUP(B917,weights!A:G,6,FALSE)</f>
        <v>7</v>
      </c>
      <c r="M917" s="14">
        <f>VLOOKUP(B917,weights!A:G,7,FALSE)</f>
        <v>10</v>
      </c>
      <c r="N917" t="s">
        <v>5830</v>
      </c>
      <c r="O917">
        <v>676</v>
      </c>
      <c r="P917">
        <v>49.099650121700002</v>
      </c>
      <c r="Q917">
        <v>1.9705357236900001</v>
      </c>
      <c r="R917" s="22"/>
      <c r="S917" s="22"/>
      <c r="T917" s="22"/>
      <c r="U917" s="24">
        <f>R917+S917/60+T917/3600</f>
        <v>0</v>
      </c>
      <c r="V917" s="28">
        <f>ABS(U917-P917)/P917</f>
        <v>1</v>
      </c>
      <c r="W917" s="22"/>
      <c r="X917" s="22"/>
      <c r="Y917" s="22"/>
      <c r="Z917" s="14">
        <f>W917+X917/60+Y917/3600</f>
        <v>0</v>
      </c>
      <c r="AA917" s="26">
        <f>ABS(Z917-Q917)/Q917</f>
        <v>1</v>
      </c>
      <c r="AB917" s="26"/>
      <c r="AC917" s="14">
        <f>P917</f>
        <v>49.099650121700002</v>
      </c>
      <c r="AD917" s="14">
        <f>Q917</f>
        <v>1.9705357236900001</v>
      </c>
    </row>
    <row r="918" spans="1:30" s="14" customFormat="1">
      <c r="A918" s="12">
        <v>22</v>
      </c>
      <c r="B918" s="12" t="s">
        <v>547</v>
      </c>
      <c r="C918" s="14" t="str">
        <f>VLOOKUP(B918,weights!A:B,2,FALSE)</f>
        <v>M</v>
      </c>
      <c r="D918" s="13">
        <v>916</v>
      </c>
      <c r="E918" s="14" t="s">
        <v>1058</v>
      </c>
      <c r="G918" s="15"/>
      <c r="H918" s="18"/>
      <c r="I918" s="18"/>
      <c r="J918" s="14">
        <v>917</v>
      </c>
      <c r="K918" s="14">
        <f>VLOOKUP(B918,weights!A:G,5,FALSE)</f>
        <v>4.16</v>
      </c>
      <c r="L918" s="14">
        <f>VLOOKUP(B918,weights!A:G,6,FALSE)</f>
        <v>7</v>
      </c>
      <c r="M918" s="14">
        <f>VLOOKUP(B918,weights!A:G,7,FALSE)</f>
        <v>10</v>
      </c>
      <c r="N918" t="s">
        <v>4910</v>
      </c>
      <c r="O918">
        <v>790</v>
      </c>
      <c r="P918">
        <v>49.080493707899997</v>
      </c>
      <c r="Q918">
        <v>2.0037153716299998</v>
      </c>
      <c r="R918" s="22"/>
      <c r="S918" s="22"/>
      <c r="T918" s="22"/>
      <c r="U918" s="24">
        <f>R918+S918/60+T918/3600</f>
        <v>0</v>
      </c>
      <c r="V918" s="28">
        <f>ABS(U918-P918)/P918</f>
        <v>1</v>
      </c>
      <c r="W918" s="22"/>
      <c r="X918" s="22"/>
      <c r="Y918" s="22"/>
      <c r="Z918" s="14">
        <f>W918+X918/60+Y918/3600</f>
        <v>0</v>
      </c>
      <c r="AA918" s="26">
        <f>ABS(Z918-Q918)/Q918</f>
        <v>1</v>
      </c>
      <c r="AB918" s="26"/>
      <c r="AC918" s="14">
        <f>P918</f>
        <v>49.080493707899997</v>
      </c>
      <c r="AD918" s="14">
        <f>Q918</f>
        <v>2.0037153716299998</v>
      </c>
    </row>
    <row r="919" spans="1:30" s="14" customFormat="1">
      <c r="A919" s="12">
        <v>23</v>
      </c>
      <c r="B919" s="12" t="s">
        <v>547</v>
      </c>
      <c r="C919" s="14" t="str">
        <f>VLOOKUP(B919,weights!A:B,2,FALSE)</f>
        <v>M</v>
      </c>
      <c r="D919" s="13">
        <v>917</v>
      </c>
      <c r="E919" s="14" t="s">
        <v>1059</v>
      </c>
      <c r="G919" s="15"/>
      <c r="H919" s="18"/>
      <c r="I919" s="18"/>
      <c r="J919" s="14">
        <v>918</v>
      </c>
      <c r="K919" s="14">
        <f>VLOOKUP(B919,weights!A:G,5,FALSE)</f>
        <v>4.16</v>
      </c>
      <c r="L919" s="14">
        <f>VLOOKUP(B919,weights!A:G,6,FALSE)</f>
        <v>7</v>
      </c>
      <c r="M919" s="14">
        <f>VLOOKUP(B919,weights!A:G,7,FALSE)</f>
        <v>10</v>
      </c>
      <c r="N919" t="s">
        <v>3375</v>
      </c>
      <c r="O919">
        <v>523</v>
      </c>
      <c r="P919">
        <v>49.075842884799997</v>
      </c>
      <c r="Q919">
        <v>2.0249529313800001</v>
      </c>
      <c r="R919" s="22"/>
      <c r="S919" s="22"/>
      <c r="T919" s="22"/>
      <c r="U919" s="24">
        <f>R919+S919/60+T919/3600</f>
        <v>0</v>
      </c>
      <c r="V919" s="28">
        <f>ABS(U919-P919)/P919</f>
        <v>1</v>
      </c>
      <c r="W919" s="22"/>
      <c r="X919" s="22"/>
      <c r="Y919" s="22"/>
      <c r="Z919" s="14">
        <f>W919+X919/60+Y919/3600</f>
        <v>0</v>
      </c>
      <c r="AA919" s="26">
        <f>ABS(Z919-Q919)/Q919</f>
        <v>1</v>
      </c>
      <c r="AB919" s="26"/>
      <c r="AC919" s="14">
        <f>P919</f>
        <v>49.075842884799997</v>
      </c>
      <c r="AD919" s="14">
        <f>Q919</f>
        <v>2.0249529313800001</v>
      </c>
    </row>
    <row r="920" spans="1:30" s="14" customFormat="1">
      <c r="A920" s="12">
        <v>24</v>
      </c>
      <c r="B920" s="12" t="s">
        <v>547</v>
      </c>
      <c r="C920" s="14" t="str">
        <f>VLOOKUP(B920,weights!A:B,2,FALSE)</f>
        <v>M</v>
      </c>
      <c r="D920" s="13">
        <v>918</v>
      </c>
      <c r="E920" s="14" t="s">
        <v>1060</v>
      </c>
      <c r="G920" s="15"/>
      <c r="H920" s="18"/>
      <c r="I920" s="18"/>
      <c r="J920" s="14">
        <v>919</v>
      </c>
      <c r="K920" s="14">
        <f>VLOOKUP(B920,weights!A:G,5,FALSE)</f>
        <v>4.16</v>
      </c>
      <c r="L920" s="14">
        <f>VLOOKUP(B920,weights!A:G,6,FALSE)</f>
        <v>7</v>
      </c>
      <c r="M920" s="14">
        <f>VLOOKUP(B920,weights!A:G,7,FALSE)</f>
        <v>10</v>
      </c>
      <c r="N920" t="s">
        <v>5066</v>
      </c>
      <c r="O920">
        <v>675</v>
      </c>
      <c r="P920">
        <v>49.0629696795</v>
      </c>
      <c r="Q920">
        <v>2.0579029905100001</v>
      </c>
      <c r="R920" s="22"/>
      <c r="S920" s="22"/>
      <c r="T920" s="22"/>
      <c r="U920" s="24">
        <f>R920+S920/60+T920/3600</f>
        <v>0</v>
      </c>
      <c r="V920" s="28">
        <f>ABS(U920-P920)/P920</f>
        <v>1</v>
      </c>
      <c r="W920" s="22"/>
      <c r="X920" s="22"/>
      <c r="Y920" s="22"/>
      <c r="Z920" s="14">
        <f>W920+X920/60+Y920/3600</f>
        <v>0</v>
      </c>
      <c r="AA920" s="26">
        <f>ABS(Z920-Q920)/Q920</f>
        <v>1</v>
      </c>
      <c r="AB920" s="26"/>
      <c r="AC920" s="14">
        <f>P920</f>
        <v>49.0629696795</v>
      </c>
      <c r="AD920" s="14">
        <f>Q920</f>
        <v>2.0579029905100001</v>
      </c>
    </row>
    <row r="921" spans="1:30" s="14" customFormat="1">
      <c r="A921" s="12">
        <v>25</v>
      </c>
      <c r="B921" s="12" t="s">
        <v>547</v>
      </c>
      <c r="C921" s="14" t="str">
        <f>VLOOKUP(B921,weights!A:B,2,FALSE)</f>
        <v>M</v>
      </c>
      <c r="D921" s="13">
        <v>919</v>
      </c>
      <c r="E921" s="14" t="s">
        <v>572</v>
      </c>
      <c r="G921" s="15" t="s">
        <v>1073</v>
      </c>
      <c r="H921" s="18" t="s">
        <v>1806</v>
      </c>
      <c r="I921" s="18" t="s">
        <v>1939</v>
      </c>
      <c r="J921" s="14">
        <v>920</v>
      </c>
      <c r="K921" s="14">
        <f>VLOOKUP(B921,weights!A:G,5,FALSE)</f>
        <v>4.16</v>
      </c>
      <c r="L921" s="14">
        <f>VLOOKUP(B921,weights!A:G,6,FALSE)</f>
        <v>7</v>
      </c>
      <c r="M921" s="14">
        <f>VLOOKUP(B921,weights!A:G,7,FALSE)</f>
        <v>10</v>
      </c>
      <c r="N921" t="s">
        <v>5265</v>
      </c>
      <c r="O921">
        <v>724</v>
      </c>
      <c r="P921">
        <v>49.046645762600001</v>
      </c>
      <c r="Q921">
        <v>2.0951950672300002</v>
      </c>
      <c r="R921" s="22"/>
      <c r="S921" s="22"/>
      <c r="T921" s="22"/>
      <c r="U921" s="24">
        <f>R921+S921/60+T921/3600</f>
        <v>0</v>
      </c>
      <c r="V921" s="28">
        <f>ABS(U921-P921)/P921</f>
        <v>1</v>
      </c>
      <c r="W921" s="22"/>
      <c r="X921" s="22"/>
      <c r="Y921" s="22"/>
      <c r="Z921" s="14">
        <f>W921+X921/60+Y921/3600</f>
        <v>0</v>
      </c>
      <c r="AA921" s="26">
        <f>ABS(Z921-Q921)/Q921</f>
        <v>1</v>
      </c>
      <c r="AB921" s="26"/>
      <c r="AC921" s="14">
        <f>P921</f>
        <v>49.046645762600001</v>
      </c>
      <c r="AD921" s="14">
        <f>Q921</f>
        <v>2.0951950672300002</v>
      </c>
    </row>
    <row r="922" spans="1:30" s="14" customFormat="1">
      <c r="A922" s="12">
        <v>26</v>
      </c>
      <c r="B922" s="12" t="s">
        <v>547</v>
      </c>
      <c r="C922" s="14" t="str">
        <f>VLOOKUP(B922,weights!A:B,2,FALSE)</f>
        <v>M</v>
      </c>
      <c r="D922" s="13">
        <v>920</v>
      </c>
      <c r="E922" s="14" t="s">
        <v>1061</v>
      </c>
      <c r="G922" s="15"/>
      <c r="H922" s="18"/>
      <c r="I922" s="18"/>
      <c r="J922" s="14">
        <v>921</v>
      </c>
      <c r="K922" s="14">
        <f>VLOOKUP(B922,weights!A:G,5,FALSE)</f>
        <v>4.16</v>
      </c>
      <c r="L922" s="14">
        <f>VLOOKUP(B922,weights!A:G,6,FALSE)</f>
        <v>7</v>
      </c>
      <c r="M922" s="14">
        <f>VLOOKUP(B922,weights!A:G,7,FALSE)</f>
        <v>10</v>
      </c>
      <c r="N922" t="s">
        <v>5619</v>
      </c>
      <c r="O922">
        <v>723</v>
      </c>
      <c r="P922">
        <v>49.039981309300003</v>
      </c>
      <c r="Q922">
        <v>2.1038526964500002</v>
      </c>
      <c r="R922" s="22"/>
      <c r="S922" s="22"/>
      <c r="T922" s="22"/>
      <c r="U922" s="24">
        <f>R922+S922/60+T922/3600</f>
        <v>0</v>
      </c>
      <c r="V922" s="28">
        <f>ABS(U922-P922)/P922</f>
        <v>1</v>
      </c>
      <c r="W922" s="22"/>
      <c r="X922" s="22"/>
      <c r="Y922" s="22"/>
      <c r="Z922" s="14">
        <f>W922+X922/60+Y922/3600</f>
        <v>0</v>
      </c>
      <c r="AA922" s="26">
        <f>ABS(Z922-Q922)/Q922</f>
        <v>1</v>
      </c>
      <c r="AB922" s="26"/>
      <c r="AC922" s="14">
        <f>P922</f>
        <v>49.039981309300003</v>
      </c>
      <c r="AD922" s="14">
        <f>Q922</f>
        <v>2.1038526964500002</v>
      </c>
    </row>
    <row r="923" spans="1:30" s="14" customFormat="1">
      <c r="A923" s="12">
        <v>27</v>
      </c>
      <c r="B923" s="12" t="s">
        <v>547</v>
      </c>
      <c r="C923" s="14" t="str">
        <f>VLOOKUP(B923,weights!A:B,2,FALSE)</f>
        <v>M</v>
      </c>
      <c r="D923" s="13">
        <v>921</v>
      </c>
      <c r="E923" s="14" t="s">
        <v>1062</v>
      </c>
      <c r="G923" s="15"/>
      <c r="H923" s="18"/>
      <c r="I923" s="18"/>
      <c r="J923" s="14">
        <v>922</v>
      </c>
      <c r="K923" s="14">
        <f>VLOOKUP(B923,weights!A:G,5,FALSE)</f>
        <v>4.16</v>
      </c>
      <c r="L923" s="14">
        <f>VLOOKUP(B923,weights!A:G,6,FALSE)</f>
        <v>7</v>
      </c>
      <c r="M923" s="14">
        <f>VLOOKUP(B923,weights!A:G,7,FALSE)</f>
        <v>10</v>
      </c>
      <c r="N923" t="s">
        <v>3959</v>
      </c>
      <c r="O923">
        <v>178</v>
      </c>
      <c r="P923">
        <v>49.0183491636</v>
      </c>
      <c r="Q923">
        <v>2.0909060633499998</v>
      </c>
      <c r="R923" s="22"/>
      <c r="S923" s="22"/>
      <c r="T923" s="22"/>
      <c r="U923" s="24">
        <f>R923+S923/60+T923/3600</f>
        <v>0</v>
      </c>
      <c r="V923" s="28">
        <f>ABS(U923-P923)/P923</f>
        <v>1</v>
      </c>
      <c r="W923" s="22"/>
      <c r="X923" s="22"/>
      <c r="Y923" s="22"/>
      <c r="Z923" s="14">
        <f>W923+X923/60+Y923/3600</f>
        <v>0</v>
      </c>
      <c r="AA923" s="26">
        <f>ABS(Z923-Q923)/Q923</f>
        <v>1</v>
      </c>
      <c r="AB923" s="26"/>
      <c r="AC923" s="14">
        <f>P923</f>
        <v>49.0183491636</v>
      </c>
      <c r="AD923" s="14">
        <f>Q923</f>
        <v>2.0909060633499998</v>
      </c>
    </row>
    <row r="924" spans="1:30" s="14" customFormat="1">
      <c r="A924" s="12">
        <v>28</v>
      </c>
      <c r="B924" s="12" t="s">
        <v>547</v>
      </c>
      <c r="C924" s="14" t="str">
        <f>VLOOKUP(B924,weights!A:B,2,FALSE)</f>
        <v>M</v>
      </c>
      <c r="D924" s="13">
        <v>922</v>
      </c>
      <c r="E924" s="14" t="s">
        <v>1049</v>
      </c>
      <c r="G924" s="15"/>
      <c r="H924" s="18"/>
      <c r="I924" s="18"/>
      <c r="J924" s="14">
        <v>923</v>
      </c>
      <c r="K924" s="14">
        <f>VLOOKUP(B924,weights!A:G,5,FALSE)</f>
        <v>4.16</v>
      </c>
      <c r="L924" s="14">
        <f>VLOOKUP(B924,weights!A:G,6,FALSE)</f>
        <v>7</v>
      </c>
      <c r="M924" s="14">
        <f>VLOOKUP(B924,weights!A:G,7,FALSE)</f>
        <v>10</v>
      </c>
      <c r="N924" t="s">
        <v>3748</v>
      </c>
      <c r="O924">
        <v>278</v>
      </c>
      <c r="P924">
        <v>48.996630090700002</v>
      </c>
      <c r="Q924">
        <v>2.0977739884600002</v>
      </c>
      <c r="R924" s="22"/>
      <c r="S924" s="22"/>
      <c r="T924" s="22"/>
      <c r="U924" s="24">
        <f>R924+S924/60+T924/3600</f>
        <v>0</v>
      </c>
      <c r="V924" s="28">
        <f>ABS(U924-P924)/P924</f>
        <v>1</v>
      </c>
      <c r="W924" s="22"/>
      <c r="X924" s="22"/>
      <c r="Y924" s="22"/>
      <c r="Z924" s="14">
        <f>W924+X924/60+Y924/3600</f>
        <v>0</v>
      </c>
      <c r="AA924" s="26">
        <f>ABS(Z924-Q924)/Q924</f>
        <v>1</v>
      </c>
      <c r="AB924" s="26"/>
      <c r="AC924" s="14">
        <f>P924</f>
        <v>48.996630090700002</v>
      </c>
      <c r="AD924" s="14">
        <f>Q924</f>
        <v>2.0977739884600002</v>
      </c>
    </row>
    <row r="925" spans="1:30" s="14" customFormat="1">
      <c r="A925" s="12">
        <v>29</v>
      </c>
      <c r="B925" s="12" t="s">
        <v>547</v>
      </c>
      <c r="C925" s="14" t="str">
        <f>VLOOKUP(B925,weights!A:B,2,FALSE)</f>
        <v>M</v>
      </c>
      <c r="D925" s="13">
        <v>923</v>
      </c>
      <c r="E925" s="14" t="s">
        <v>1063</v>
      </c>
      <c r="G925" s="15"/>
      <c r="H925" s="18"/>
      <c r="I925" s="18"/>
      <c r="J925" s="14">
        <v>924</v>
      </c>
      <c r="K925" s="14">
        <f>VLOOKUP(B925,weights!A:G,5,FALSE)</f>
        <v>4.16</v>
      </c>
      <c r="L925" s="14">
        <f>VLOOKUP(B925,weights!A:G,6,FALSE)</f>
        <v>7</v>
      </c>
      <c r="M925" s="14">
        <f>VLOOKUP(B925,weights!A:G,7,FALSE)</f>
        <v>10</v>
      </c>
      <c r="N925" t="s">
        <v>4215</v>
      </c>
      <c r="O925">
        <v>171</v>
      </c>
      <c r="P925">
        <v>48.990289996400001</v>
      </c>
      <c r="Q925">
        <v>2.16190660559</v>
      </c>
      <c r="R925" s="22"/>
      <c r="S925" s="22"/>
      <c r="T925" s="22"/>
      <c r="U925" s="24">
        <f>R925+S925/60+T925/3600</f>
        <v>0</v>
      </c>
      <c r="V925" s="28">
        <f>ABS(U925-P925)/P925</f>
        <v>1</v>
      </c>
      <c r="W925" s="22"/>
      <c r="X925" s="22"/>
      <c r="Y925" s="22"/>
      <c r="Z925" s="14">
        <f>W925+X925/60+Y925/3600</f>
        <v>0</v>
      </c>
      <c r="AA925" s="26">
        <f>ABS(Z925-Q925)/Q925</f>
        <v>1</v>
      </c>
      <c r="AB925" s="26"/>
      <c r="AC925" s="14">
        <f>P925</f>
        <v>48.990289996400001</v>
      </c>
      <c r="AD925" s="14">
        <f>Q925</f>
        <v>2.16190660559</v>
      </c>
    </row>
    <row r="926" spans="1:30" s="14" customFormat="1">
      <c r="A926" s="12">
        <v>30</v>
      </c>
      <c r="B926" s="12" t="s">
        <v>547</v>
      </c>
      <c r="C926" s="14" t="str">
        <f>VLOOKUP(B926,weights!A:B,2,FALSE)</f>
        <v>M</v>
      </c>
      <c r="D926" s="13">
        <v>924</v>
      </c>
      <c r="E926" s="14" t="s">
        <v>1064</v>
      </c>
      <c r="G926" s="15"/>
      <c r="H926" s="18"/>
      <c r="I926" s="18"/>
      <c r="J926" s="14">
        <v>925</v>
      </c>
      <c r="K926" s="14">
        <f>VLOOKUP(B926,weights!A:G,5,FALSE)</f>
        <v>4.16</v>
      </c>
      <c r="L926" s="14">
        <f>VLOOKUP(B926,weights!A:G,6,FALSE)</f>
        <v>7</v>
      </c>
      <c r="M926" s="14">
        <f>VLOOKUP(B926,weights!A:G,7,FALSE)</f>
        <v>10</v>
      </c>
      <c r="N926" t="s">
        <v>4407</v>
      </c>
      <c r="O926">
        <v>170</v>
      </c>
      <c r="P926">
        <v>48.980263520699999</v>
      </c>
      <c r="Q926">
        <v>2.18001238078</v>
      </c>
      <c r="R926" s="22"/>
      <c r="S926" s="22"/>
      <c r="T926" s="22"/>
      <c r="U926" s="24">
        <f>R926+S926/60+T926/3600</f>
        <v>0</v>
      </c>
      <c r="V926" s="28">
        <f>ABS(U926-P926)/P926</f>
        <v>1</v>
      </c>
      <c r="W926" s="22"/>
      <c r="X926" s="22"/>
      <c r="Y926" s="22"/>
      <c r="Z926" s="14">
        <f>W926+X926/60+Y926/3600</f>
        <v>0</v>
      </c>
      <c r="AA926" s="26">
        <f>ABS(Z926-Q926)/Q926</f>
        <v>1</v>
      </c>
      <c r="AB926" s="26"/>
      <c r="AC926" s="14">
        <f>P926</f>
        <v>48.980263520699999</v>
      </c>
      <c r="AD926" s="14">
        <f>Q926</f>
        <v>2.18001238078</v>
      </c>
    </row>
    <row r="927" spans="1:30" s="14" customFormat="1">
      <c r="A927" s="12">
        <v>31</v>
      </c>
      <c r="B927" s="12" t="s">
        <v>547</v>
      </c>
      <c r="C927" s="14" t="str">
        <f>VLOOKUP(B927,weights!A:B,2,FALSE)</f>
        <v>M</v>
      </c>
      <c r="D927" s="13">
        <v>925</v>
      </c>
      <c r="E927" s="14" t="s">
        <v>1065</v>
      </c>
      <c r="G927" s="15"/>
      <c r="H927" s="18"/>
      <c r="I927" s="18"/>
      <c r="J927" s="14">
        <v>926</v>
      </c>
      <c r="K927" s="14">
        <f>VLOOKUP(B927,weights!A:G,5,FALSE)</f>
        <v>4.16</v>
      </c>
      <c r="L927" s="14">
        <f>VLOOKUP(B927,weights!A:G,6,FALSE)</f>
        <v>7</v>
      </c>
      <c r="M927" s="14">
        <f>VLOOKUP(B927,weights!A:G,7,FALSE)</f>
        <v>10</v>
      </c>
      <c r="N927" t="s">
        <v>3763</v>
      </c>
      <c r="O927">
        <v>399</v>
      </c>
      <c r="P927">
        <v>48.968496267500001</v>
      </c>
      <c r="Q927">
        <v>2.19344286781</v>
      </c>
      <c r="R927" s="22"/>
      <c r="S927" s="22"/>
      <c r="T927" s="22"/>
      <c r="U927" s="24">
        <f>R927+S927/60+T927/3600</f>
        <v>0</v>
      </c>
      <c r="V927" s="28">
        <f>ABS(U927-P927)/P927</f>
        <v>1</v>
      </c>
      <c r="W927" s="22"/>
      <c r="X927" s="22"/>
      <c r="Y927" s="22"/>
      <c r="Z927" s="14">
        <f>W927+X927/60+Y927/3600</f>
        <v>0</v>
      </c>
      <c r="AA927" s="26">
        <f>ABS(Z927-Q927)/Q927</f>
        <v>1</v>
      </c>
      <c r="AB927" s="26"/>
      <c r="AC927" s="14">
        <f>P927</f>
        <v>48.968496267500001</v>
      </c>
      <c r="AD927" s="14">
        <f>Q927</f>
        <v>2.19344286781</v>
      </c>
    </row>
    <row r="928" spans="1:30" s="14" customFormat="1">
      <c r="A928" s="12">
        <v>32</v>
      </c>
      <c r="B928" s="12" t="s">
        <v>547</v>
      </c>
      <c r="C928" s="14" t="str">
        <f>VLOOKUP(B928,weights!A:B,2,FALSE)</f>
        <v>M</v>
      </c>
      <c r="D928" s="13">
        <v>926</v>
      </c>
      <c r="E928" s="14" t="s">
        <v>1066</v>
      </c>
      <c r="G928" s="15"/>
      <c r="H928" s="18"/>
      <c r="I928" s="18"/>
      <c r="J928" s="14">
        <v>929</v>
      </c>
      <c r="K928" s="14">
        <f>VLOOKUP(B928,weights!A:G,5,FALSE)</f>
        <v>4.16</v>
      </c>
      <c r="L928" s="14">
        <f>VLOOKUP(B928,weights!A:G,6,FALSE)</f>
        <v>7</v>
      </c>
      <c r="M928" s="14">
        <f>VLOOKUP(B928,weights!A:G,7,FALSE)</f>
        <v>10</v>
      </c>
      <c r="N928" t="s">
        <v>5836</v>
      </c>
      <c r="O928">
        <v>163</v>
      </c>
      <c r="P928">
        <v>48.950304353500002</v>
      </c>
      <c r="Q928">
        <v>2.2311100350099999</v>
      </c>
      <c r="R928" s="22"/>
      <c r="S928" s="22"/>
      <c r="T928" s="22"/>
      <c r="U928" s="24">
        <f>R928+S928/60+T928/3600</f>
        <v>0</v>
      </c>
      <c r="V928" s="28">
        <f>ABS(U928-P928)/P928</f>
        <v>1</v>
      </c>
      <c r="W928" s="22"/>
      <c r="X928" s="22"/>
      <c r="Y928" s="22"/>
      <c r="Z928" s="14">
        <f>W928+X928/60+Y928/3600</f>
        <v>0</v>
      </c>
      <c r="AA928" s="26">
        <f>ABS(Z928-Q928)/Q928</f>
        <v>1</v>
      </c>
      <c r="AB928" s="26"/>
      <c r="AC928" s="14">
        <f>P928</f>
        <v>48.950304353500002</v>
      </c>
      <c r="AD928" s="14">
        <f>Q928</f>
        <v>2.2311100350099999</v>
      </c>
    </row>
    <row r="929" spans="1:30" s="14" customFormat="1">
      <c r="A929" s="12">
        <v>33</v>
      </c>
      <c r="B929" s="12" t="s">
        <v>547</v>
      </c>
      <c r="C929" s="14" t="str">
        <f>VLOOKUP(B929,weights!A:B,2,FALSE)</f>
        <v>M</v>
      </c>
      <c r="D929" s="13">
        <v>927</v>
      </c>
      <c r="E929" s="14" t="s">
        <v>579</v>
      </c>
      <c r="G929" s="15" t="s">
        <v>1073</v>
      </c>
      <c r="H929" s="18" t="s">
        <v>1814</v>
      </c>
      <c r="I929" s="18" t="s">
        <v>1931</v>
      </c>
      <c r="J929" s="14">
        <v>928</v>
      </c>
      <c r="K929" s="14">
        <f>VLOOKUP(B929,weights!A:G,5,FALSE)</f>
        <v>4.16</v>
      </c>
      <c r="L929" s="14">
        <f>VLOOKUP(B929,weights!A:G,6,FALSE)</f>
        <v>7</v>
      </c>
      <c r="M929" s="14">
        <f>VLOOKUP(B929,weights!A:G,7,FALSE)</f>
        <v>10</v>
      </c>
      <c r="N929" t="s">
        <v>3962</v>
      </c>
      <c r="O929">
        <v>721</v>
      </c>
      <c r="P929">
        <v>48.980646100400001</v>
      </c>
      <c r="Q929">
        <v>2.27208477275</v>
      </c>
      <c r="R929" s="22"/>
      <c r="S929" s="22"/>
      <c r="T929" s="22"/>
      <c r="U929" s="24">
        <f>R929+S929/60+T929/3600</f>
        <v>0</v>
      </c>
      <c r="V929" s="28">
        <f>ABS(U929-P929)/P929</f>
        <v>1</v>
      </c>
      <c r="W929" s="22"/>
      <c r="X929" s="22"/>
      <c r="Y929" s="22"/>
      <c r="Z929" s="14">
        <f>W929+X929/60+Y929/3600</f>
        <v>0</v>
      </c>
      <c r="AA929" s="26">
        <f>ABS(Z929-Q929)/Q929</f>
        <v>1</v>
      </c>
      <c r="AB929" s="26"/>
      <c r="AC929" s="14">
        <f>P929</f>
        <v>48.980646100400001</v>
      </c>
      <c r="AD929" s="14">
        <f>Q929</f>
        <v>2.27208477275</v>
      </c>
    </row>
    <row r="930" spans="1:30" s="14" customFormat="1">
      <c r="A930" s="12">
        <v>34</v>
      </c>
      <c r="B930" s="12" t="s">
        <v>547</v>
      </c>
      <c r="C930" s="14" t="str">
        <f>VLOOKUP(B930,weights!A:B,2,FALSE)</f>
        <v>M</v>
      </c>
      <c r="D930" s="13">
        <v>928</v>
      </c>
      <c r="E930" s="14" t="s">
        <v>1068</v>
      </c>
      <c r="G930" s="15"/>
      <c r="H930" s="18"/>
      <c r="I930" s="18"/>
      <c r="J930" s="14">
        <v>929</v>
      </c>
      <c r="K930" s="14">
        <f>VLOOKUP(B930,weights!A:G,5,FALSE)</f>
        <v>4.16</v>
      </c>
      <c r="L930" s="14">
        <f>VLOOKUP(B930,weights!A:G,6,FALSE)</f>
        <v>7</v>
      </c>
      <c r="M930" s="14">
        <f>VLOOKUP(B930,weights!A:G,7,FALSE)</f>
        <v>10</v>
      </c>
      <c r="N930" t="s">
        <v>5652</v>
      </c>
      <c r="O930">
        <v>905</v>
      </c>
      <c r="P930">
        <v>48.970519922100003</v>
      </c>
      <c r="Q930">
        <v>2.2639249597900002</v>
      </c>
      <c r="R930" s="22"/>
      <c r="S930" s="22"/>
      <c r="T930" s="22"/>
      <c r="U930" s="24">
        <f>R930+S930/60+T930/3600</f>
        <v>0</v>
      </c>
      <c r="V930" s="28">
        <f>ABS(U930-P930)/P930</f>
        <v>1</v>
      </c>
      <c r="W930" s="22"/>
      <c r="X930" s="22"/>
      <c r="Y930" s="22"/>
      <c r="Z930" s="14">
        <f>W930+X930/60+Y930/3600</f>
        <v>0</v>
      </c>
      <c r="AA930" s="26">
        <f>ABS(Z930-Q930)/Q930</f>
        <v>1</v>
      </c>
      <c r="AB930" s="26"/>
      <c r="AC930" s="14">
        <f>P930</f>
        <v>48.970519922100003</v>
      </c>
      <c r="AD930" s="14">
        <f>Q930</f>
        <v>2.2639249597900002</v>
      </c>
    </row>
    <row r="931" spans="1:30" s="14" customFormat="1">
      <c r="A931" s="12">
        <v>35</v>
      </c>
      <c r="B931" s="12" t="s">
        <v>547</v>
      </c>
      <c r="C931" s="14" t="str">
        <f>VLOOKUP(B931,weights!A:B,2,FALSE)</f>
        <v>M</v>
      </c>
      <c r="D931" s="13">
        <v>929</v>
      </c>
      <c r="E931" s="14" t="s">
        <v>1067</v>
      </c>
      <c r="G931" s="15"/>
      <c r="H931" s="18"/>
      <c r="I931" s="18"/>
      <c r="J931" s="14">
        <v>930</v>
      </c>
      <c r="K931" s="14">
        <f>VLOOKUP(B931,weights!A:G,5,FALSE)</f>
        <v>4.16</v>
      </c>
      <c r="L931" s="14">
        <f>VLOOKUP(B931,weights!A:G,6,FALSE)</f>
        <v>7</v>
      </c>
      <c r="M931" s="14">
        <f>VLOOKUP(B931,weights!A:G,7,FALSE)</f>
        <v>10</v>
      </c>
      <c r="N931" t="s">
        <v>3192</v>
      </c>
      <c r="O931">
        <v>398</v>
      </c>
      <c r="P931">
        <v>48.946796942100001</v>
      </c>
      <c r="Q931">
        <v>2.2578974826599998</v>
      </c>
      <c r="R931" s="22"/>
      <c r="S931" s="22"/>
      <c r="T931" s="22"/>
      <c r="U931" s="24">
        <f>R931+S931/60+T931/3600</f>
        <v>0</v>
      </c>
      <c r="V931" s="28">
        <f>ABS(U931-P931)/P931</f>
        <v>1</v>
      </c>
      <c r="W931" s="22"/>
      <c r="X931" s="22"/>
      <c r="Y931" s="22"/>
      <c r="Z931" s="14">
        <f>W931+X931/60+Y931/3600</f>
        <v>0</v>
      </c>
      <c r="AA931" s="26">
        <f>ABS(Z931-Q931)/Q931</f>
        <v>1</v>
      </c>
      <c r="AB931" s="26"/>
      <c r="AC931" s="14">
        <f>P931</f>
        <v>48.946796942100001</v>
      </c>
      <c r="AD931" s="14">
        <f>Q931</f>
        <v>2.2578974826599998</v>
      </c>
    </row>
    <row r="932" spans="1:30" s="14" customFormat="1">
      <c r="A932" s="12">
        <v>36</v>
      </c>
      <c r="B932" s="12" t="s">
        <v>547</v>
      </c>
      <c r="C932" s="14" t="str">
        <f>VLOOKUP(B932,weights!A:B,2,FALSE)</f>
        <v>M</v>
      </c>
      <c r="D932" s="13">
        <v>930</v>
      </c>
      <c r="E932" s="14" t="s">
        <v>1069</v>
      </c>
      <c r="G932" s="15"/>
      <c r="H932" s="18"/>
      <c r="I932" s="18"/>
      <c r="J932" s="14">
        <v>931</v>
      </c>
      <c r="K932" s="14">
        <f>VLOOKUP(B932,weights!A:G,5,FALSE)</f>
        <v>4.16</v>
      </c>
      <c r="L932" s="14">
        <f>VLOOKUP(B932,weights!A:G,6,FALSE)</f>
        <v>7</v>
      </c>
      <c r="M932" s="14">
        <f>VLOOKUP(B932,weights!A:G,7,FALSE)</f>
        <v>10</v>
      </c>
      <c r="N932" t="s">
        <v>4521</v>
      </c>
      <c r="O932">
        <v>412</v>
      </c>
      <c r="P932">
        <v>48.931054227799997</v>
      </c>
      <c r="Q932">
        <v>2.2606023156099999</v>
      </c>
      <c r="R932" s="22"/>
      <c r="S932" s="22"/>
      <c r="T932" s="22"/>
      <c r="U932" s="24">
        <f>R932+S932/60+T932/3600</f>
        <v>0</v>
      </c>
      <c r="V932" s="28">
        <f>ABS(U932-P932)/P932</f>
        <v>1</v>
      </c>
      <c r="W932" s="22"/>
      <c r="X932" s="22"/>
      <c r="Y932" s="22"/>
      <c r="Z932" s="14">
        <f>W932+X932/60+Y932/3600</f>
        <v>0</v>
      </c>
      <c r="AA932" s="26">
        <f>ABS(Z932-Q932)/Q932</f>
        <v>1</v>
      </c>
      <c r="AB932" s="26"/>
      <c r="AC932" s="14">
        <f>P932</f>
        <v>48.931054227799997</v>
      </c>
      <c r="AD932" s="14">
        <f>Q932</f>
        <v>2.2606023156099999</v>
      </c>
    </row>
    <row r="933" spans="1:30" s="14" customFormat="1">
      <c r="A933" s="12">
        <v>37</v>
      </c>
      <c r="B933" s="12" t="s">
        <v>547</v>
      </c>
      <c r="C933" s="14" t="str">
        <f>VLOOKUP(B933,weights!A:B,2,FALSE)</f>
        <v>M</v>
      </c>
      <c r="D933" s="13">
        <v>931</v>
      </c>
      <c r="E933" s="14" t="s">
        <v>811</v>
      </c>
      <c r="G933" s="15"/>
      <c r="H933" s="18"/>
      <c r="I933" s="18"/>
      <c r="J933" s="14">
        <v>932</v>
      </c>
      <c r="K933" s="14">
        <f>VLOOKUP(B933,weights!A:G,5,FALSE)</f>
        <v>4.16</v>
      </c>
      <c r="L933" s="14">
        <f>VLOOKUP(B933,weights!A:G,6,FALSE)</f>
        <v>7</v>
      </c>
      <c r="M933" s="14">
        <f>VLOOKUP(B933,weights!A:G,7,FALSE)</f>
        <v>10</v>
      </c>
      <c r="N933" t="s">
        <v>3724</v>
      </c>
      <c r="O933">
        <v>770</v>
      </c>
      <c r="P933">
        <v>48.923918626599999</v>
      </c>
      <c r="Q933">
        <v>2.2593457030500002</v>
      </c>
      <c r="R933" s="22"/>
      <c r="S933" s="22"/>
      <c r="T933" s="22"/>
      <c r="U933" s="24">
        <f>R933+S933/60+T933/3600</f>
        <v>0</v>
      </c>
      <c r="V933" s="28">
        <f>ABS(U933-P933)/P933</f>
        <v>1</v>
      </c>
      <c r="W933" s="22"/>
      <c r="X933" s="22"/>
      <c r="Y933" s="22"/>
      <c r="Z933" s="14">
        <f>W933+X933/60+Y933/3600</f>
        <v>0</v>
      </c>
      <c r="AA933" s="26">
        <f>ABS(Z933-Q933)/Q933</f>
        <v>1</v>
      </c>
      <c r="AB933" s="26"/>
      <c r="AC933" s="14">
        <f>P933</f>
        <v>48.923918626599999</v>
      </c>
      <c r="AD933" s="14">
        <f>Q933</f>
        <v>2.2593457030500002</v>
      </c>
    </row>
    <row r="934" spans="1:30" s="14" customFormat="1">
      <c r="A934" s="12">
        <v>38</v>
      </c>
      <c r="B934" s="12" t="s">
        <v>547</v>
      </c>
      <c r="C934" s="14" t="str">
        <f>VLOOKUP(B934,weights!A:B,2,FALSE)</f>
        <v>M</v>
      </c>
      <c r="D934" s="13">
        <v>932</v>
      </c>
      <c r="E934" s="14" t="s">
        <v>1070</v>
      </c>
      <c r="G934" s="15"/>
      <c r="H934" s="18"/>
      <c r="I934" s="18"/>
      <c r="J934" s="14">
        <v>933</v>
      </c>
      <c r="K934" s="14">
        <f>VLOOKUP(B934,weights!A:G,5,FALSE)</f>
        <v>4.16</v>
      </c>
      <c r="L934" s="14">
        <f>VLOOKUP(B934,weights!A:G,6,FALSE)</f>
        <v>7</v>
      </c>
      <c r="M934" s="14">
        <f>VLOOKUP(B934,weights!A:G,7,FALSE)</f>
        <v>10</v>
      </c>
      <c r="N934" t="s">
        <v>3363</v>
      </c>
      <c r="O934">
        <v>299</v>
      </c>
      <c r="P934">
        <v>48.914246474300001</v>
      </c>
      <c r="Q934">
        <v>2.2715987503899999</v>
      </c>
      <c r="R934" s="22"/>
      <c r="S934" s="22"/>
      <c r="T934" s="22"/>
      <c r="U934" s="24">
        <f>R934+S934/60+T934/3600</f>
        <v>0</v>
      </c>
      <c r="V934" s="28">
        <f>ABS(U934-P934)/P934</f>
        <v>1</v>
      </c>
      <c r="W934" s="22"/>
      <c r="X934" s="22"/>
      <c r="Y934" s="22"/>
      <c r="Z934" s="14">
        <f>W934+X934/60+Y934/3600</f>
        <v>0</v>
      </c>
      <c r="AA934" s="26">
        <f>ABS(Z934-Q934)/Q934</f>
        <v>1</v>
      </c>
      <c r="AB934" s="26"/>
      <c r="AC934" s="14">
        <f>P934</f>
        <v>48.914246474300001</v>
      </c>
      <c r="AD934" s="14">
        <f>Q934</f>
        <v>2.2715987503899999</v>
      </c>
    </row>
    <row r="935" spans="1:30" s="14" customFormat="1">
      <c r="A935" s="12">
        <v>39</v>
      </c>
      <c r="B935" s="12" t="s">
        <v>547</v>
      </c>
      <c r="C935" s="14" t="str">
        <f>VLOOKUP(B935,weights!A:B,2,FALSE)</f>
        <v>M</v>
      </c>
      <c r="D935" s="13">
        <v>933</v>
      </c>
      <c r="E935" s="14" t="s">
        <v>773</v>
      </c>
      <c r="G935" s="15" t="s">
        <v>545</v>
      </c>
      <c r="H935" s="18" t="s">
        <v>1944</v>
      </c>
      <c r="I935" s="18"/>
      <c r="J935" s="14">
        <v>934</v>
      </c>
      <c r="K935" s="14">
        <f>VLOOKUP(B935,weights!A:G,5,FALSE)</f>
        <v>4.16</v>
      </c>
      <c r="L935" s="14">
        <f>VLOOKUP(B935,weights!A:G,6,FALSE)</f>
        <v>7</v>
      </c>
      <c r="M935" s="14">
        <f>VLOOKUP(B935,weights!A:G,7,FALSE)</f>
        <v>10</v>
      </c>
      <c r="N935" t="s">
        <v>3204</v>
      </c>
      <c r="O935">
        <v>23</v>
      </c>
      <c r="P935">
        <v>48.905663949100003</v>
      </c>
      <c r="Q935">
        <v>2.2835728099599999</v>
      </c>
      <c r="R935" s="22"/>
      <c r="S935" s="22"/>
      <c r="T935" s="22"/>
      <c r="U935" s="24">
        <f>R935+S935/60+T935/3600</f>
        <v>0</v>
      </c>
      <c r="V935" s="28">
        <f>ABS(U935-P935)/P935</f>
        <v>1</v>
      </c>
      <c r="W935" s="22"/>
      <c r="X935" s="22"/>
      <c r="Y935" s="22"/>
      <c r="Z935" s="14">
        <f>W935+X935/60+Y935/3600</f>
        <v>0</v>
      </c>
      <c r="AA935" s="26">
        <f>ABS(Z935-Q935)/Q935</f>
        <v>1</v>
      </c>
      <c r="AB935" s="26"/>
      <c r="AC935" s="14">
        <f>P935</f>
        <v>48.905663949100003</v>
      </c>
      <c r="AD935" s="14">
        <f>Q935</f>
        <v>2.2835728099599999</v>
      </c>
    </row>
    <row r="936" spans="1:30" s="14" customFormat="1">
      <c r="A936" s="12">
        <v>40</v>
      </c>
      <c r="B936" s="12" t="s">
        <v>547</v>
      </c>
      <c r="C936" s="14" t="str">
        <f>VLOOKUP(B936,weights!A:B,2,FALSE)</f>
        <v>M</v>
      </c>
      <c r="D936" s="13">
        <v>934</v>
      </c>
      <c r="E936" s="14" t="s">
        <v>1071</v>
      </c>
      <c r="G936" s="15" t="s">
        <v>1502</v>
      </c>
      <c r="H936" s="18" t="s">
        <v>1946</v>
      </c>
      <c r="I936" s="18" t="s">
        <v>1945</v>
      </c>
      <c r="K936" s="14">
        <f>VLOOKUP(B936,weights!A:G,5,FALSE)</f>
        <v>4.16</v>
      </c>
      <c r="L936" s="14">
        <f>VLOOKUP(B936,weights!A:G,6,FALSE)</f>
        <v>7</v>
      </c>
      <c r="M936" s="14">
        <f>VLOOKUP(B936,weights!A:G,7,FALSE)</f>
        <v>10</v>
      </c>
      <c r="N936" t="s">
        <v>5572</v>
      </c>
      <c r="O936">
        <v>818</v>
      </c>
      <c r="P936">
        <v>48.875933152400002</v>
      </c>
      <c r="Q936">
        <v>2.3257279613900002</v>
      </c>
      <c r="R936" s="22"/>
      <c r="S936" s="22"/>
      <c r="T936" s="22"/>
      <c r="U936" s="24">
        <f>R936+S936/60+T936/3600</f>
        <v>0</v>
      </c>
      <c r="V936" s="28">
        <f>ABS(U936-P936)/P936</f>
        <v>1</v>
      </c>
      <c r="W936" s="22"/>
      <c r="X936" s="22"/>
      <c r="Y936" s="22"/>
      <c r="Z936" s="14">
        <f>W936+X936/60+Y936/3600</f>
        <v>0</v>
      </c>
      <c r="AA936" s="26">
        <f>ABS(Z936-Q936)/Q936</f>
        <v>1</v>
      </c>
      <c r="AB936" s="26"/>
      <c r="AC936" s="14">
        <f>P936</f>
        <v>48.875933152400002</v>
      </c>
      <c r="AD936" s="14">
        <f>Q936</f>
        <v>2.3257279613900002</v>
      </c>
    </row>
    <row r="937" spans="1:30" s="14" customFormat="1">
      <c r="A937" s="38">
        <v>41</v>
      </c>
      <c r="B937" s="38" t="s">
        <v>547</v>
      </c>
      <c r="C937" s="39" t="str">
        <f>VLOOKUP(B937,weights!A:B,2,FALSE)</f>
        <v>M</v>
      </c>
      <c r="D937" s="40">
        <v>935</v>
      </c>
      <c r="E937" s="39" t="s">
        <v>1074</v>
      </c>
      <c r="F937" s="39" t="s">
        <v>6027</v>
      </c>
      <c r="G937" s="46"/>
      <c r="H937" s="41"/>
      <c r="I937" s="41"/>
      <c r="J937" s="39">
        <v>936</v>
      </c>
      <c r="K937" s="39">
        <f>VLOOKUP(B937,weights!A:G,5,FALSE)</f>
        <v>4.16</v>
      </c>
      <c r="L937" s="39">
        <f>VLOOKUP(B937,weights!A:G,6,FALSE)</f>
        <v>7</v>
      </c>
      <c r="M937" s="39">
        <f>VLOOKUP(B937,weights!A:G,7,FALSE)</f>
        <v>10</v>
      </c>
      <c r="N937" s="39"/>
      <c r="O937" s="39"/>
      <c r="P937" s="39"/>
      <c r="Q937" s="39"/>
      <c r="R937" s="42">
        <v>49</v>
      </c>
      <c r="S937" s="42">
        <v>5</v>
      </c>
      <c r="T937" s="42">
        <v>28</v>
      </c>
      <c r="U937" s="43">
        <f>R937+S937/60+T937/3600</f>
        <v>49.091111111111111</v>
      </c>
      <c r="V937" s="44" t="e">
        <f>ABS(U937-P937)/P937</f>
        <v>#DIV/0!</v>
      </c>
      <c r="W937" s="42">
        <v>1</v>
      </c>
      <c r="X937" s="42">
        <v>28</v>
      </c>
      <c r="Y937" s="42">
        <v>42</v>
      </c>
      <c r="Z937" s="39">
        <f>W937+X937/60+Y937/3600</f>
        <v>1.4783333333333335</v>
      </c>
      <c r="AA937" s="45" t="e">
        <f>ABS(Z937-Q937)/Q937</f>
        <v>#DIV/0!</v>
      </c>
      <c r="AB937" s="45"/>
      <c r="AC937" s="39">
        <f>IF(ISBLANK(F937),P937,U937)</f>
        <v>49.091111111111111</v>
      </c>
      <c r="AD937" s="39">
        <f>IF(ISBLANK(F937),Q937,Z937)</f>
        <v>1.4783333333333335</v>
      </c>
    </row>
    <row r="938" spans="1:30" s="14" customFormat="1">
      <c r="A938" s="38">
        <v>42</v>
      </c>
      <c r="B938" s="38" t="s">
        <v>547</v>
      </c>
      <c r="C938" s="39" t="str">
        <f>VLOOKUP(B938,weights!A:B,2,FALSE)</f>
        <v>M</v>
      </c>
      <c r="D938" s="40">
        <v>936</v>
      </c>
      <c r="E938" s="39" t="s">
        <v>1075</v>
      </c>
      <c r="F938" s="39" t="s">
        <v>6028</v>
      </c>
      <c r="G938" s="46"/>
      <c r="H938" s="41"/>
      <c r="I938" s="41"/>
      <c r="J938" s="39">
        <v>937</v>
      </c>
      <c r="K938" s="39">
        <f>VLOOKUP(B938,weights!A:G,5,FALSE)</f>
        <v>4.16</v>
      </c>
      <c r="L938" s="39">
        <f>VLOOKUP(B938,weights!A:G,6,FALSE)</f>
        <v>7</v>
      </c>
      <c r="M938" s="39">
        <f>VLOOKUP(B938,weights!A:G,7,FALSE)</f>
        <v>10</v>
      </c>
      <c r="N938" s="39"/>
      <c r="O938" s="39"/>
      <c r="P938" s="39"/>
      <c r="Q938" s="39"/>
      <c r="R938" s="42">
        <v>49</v>
      </c>
      <c r="S938" s="42">
        <v>2</v>
      </c>
      <c r="T938" s="42">
        <v>19</v>
      </c>
      <c r="U938" s="43">
        <f>R938+S938/60+T938/3600</f>
        <v>49.038611111111109</v>
      </c>
      <c r="V938" s="44" t="e">
        <f>ABS(U938-P938)/P938</f>
        <v>#DIV/0!</v>
      </c>
      <c r="W938" s="42">
        <v>1</v>
      </c>
      <c r="X938" s="42">
        <v>34</v>
      </c>
      <c r="Y938" s="42">
        <v>53</v>
      </c>
      <c r="Z938" s="39">
        <f>W938+X938/60+Y938/3600</f>
        <v>1.581388888888889</v>
      </c>
      <c r="AA938" s="45" t="e">
        <f>ABS(Z938-Q938)/Q938</f>
        <v>#DIV/0!</v>
      </c>
      <c r="AB938" s="45"/>
      <c r="AC938" s="39">
        <f>IF(ISBLANK(F938),P938,U938)</f>
        <v>49.038611111111109</v>
      </c>
      <c r="AD938" s="39">
        <f>IF(ISBLANK(F938),Q938,Z938)</f>
        <v>1.581388888888889</v>
      </c>
    </row>
    <row r="939" spans="1:30" s="14" customFormat="1">
      <c r="A939" s="38">
        <v>43</v>
      </c>
      <c r="B939" s="38" t="s">
        <v>547</v>
      </c>
      <c r="C939" s="39" t="str">
        <f>VLOOKUP(B939,weights!A:B,2,FALSE)</f>
        <v>M</v>
      </c>
      <c r="D939" s="40">
        <v>937</v>
      </c>
      <c r="E939" s="39" t="s">
        <v>1076</v>
      </c>
      <c r="F939" s="39" t="s">
        <v>6029</v>
      </c>
      <c r="G939" s="46"/>
      <c r="H939" s="41"/>
      <c r="I939" s="41"/>
      <c r="J939" s="39">
        <v>894</v>
      </c>
      <c r="K939" s="39">
        <f>VLOOKUP(B939,weights!A:G,5,FALSE)</f>
        <v>4.16</v>
      </c>
      <c r="L939" s="39">
        <f>VLOOKUP(B939,weights!A:G,6,FALSE)</f>
        <v>7</v>
      </c>
      <c r="M939" s="39">
        <f>VLOOKUP(B939,weights!A:G,7,FALSE)</f>
        <v>10</v>
      </c>
      <c r="N939" s="39"/>
      <c r="O939" s="39"/>
      <c r="P939" s="39"/>
      <c r="Q939" s="39"/>
      <c r="R939" s="42">
        <v>48</v>
      </c>
      <c r="S939" s="42">
        <v>59</v>
      </c>
      <c r="T939" s="42">
        <v>50</v>
      </c>
      <c r="U939" s="43">
        <f>R939+S939/60+T939/3600</f>
        <v>48.99722222222222</v>
      </c>
      <c r="V939" s="44" t="e">
        <f>ABS(U939-P939)/P939</f>
        <v>#DIV/0!</v>
      </c>
      <c r="W939" s="42">
        <v>1</v>
      </c>
      <c r="X939" s="42">
        <v>37</v>
      </c>
      <c r="Y939" s="42">
        <v>51</v>
      </c>
      <c r="Z939" s="39">
        <f>W939+X939/60+Y939/3600</f>
        <v>1.6308333333333334</v>
      </c>
      <c r="AA939" s="45" t="e">
        <f>ABS(Z939-Q939)/Q939</f>
        <v>#DIV/0!</v>
      </c>
      <c r="AB939" s="45"/>
      <c r="AC939" s="39">
        <f>IF(ISBLANK(F939),P939,U939)</f>
        <v>48.99722222222222</v>
      </c>
      <c r="AD939" s="39">
        <f>IF(ISBLANK(F939),Q939,Z939)</f>
        <v>1.6308333333333334</v>
      </c>
    </row>
    <row r="940" spans="1:30" s="14" customFormat="1">
      <c r="A940" s="12">
        <v>46</v>
      </c>
      <c r="B940" s="12" t="s">
        <v>547</v>
      </c>
      <c r="C940" s="14" t="str">
        <f>VLOOKUP(B940,weights!A:B,2,FALSE)</f>
        <v>M</v>
      </c>
      <c r="D940" s="13">
        <v>938</v>
      </c>
      <c r="E940" s="14" t="s">
        <v>1077</v>
      </c>
      <c r="G940" s="15" t="s">
        <v>246</v>
      </c>
      <c r="H940" s="18" t="s">
        <v>1947</v>
      </c>
      <c r="I940" s="18"/>
      <c r="J940" s="14">
        <v>941</v>
      </c>
      <c r="K940" s="14">
        <f>VLOOKUP(B940,weights!A:G,5,FALSE)</f>
        <v>4.16</v>
      </c>
      <c r="L940" s="14">
        <f>VLOOKUP(B940,weights!A:G,6,FALSE)</f>
        <v>7</v>
      </c>
      <c r="M940" s="14">
        <f>VLOOKUP(B940,weights!A:G,7,FALSE)</f>
        <v>10</v>
      </c>
      <c r="N940" t="s">
        <v>3955</v>
      </c>
      <c r="O940">
        <v>91</v>
      </c>
      <c r="P940">
        <v>48.963344112800002</v>
      </c>
      <c r="Q940">
        <v>1.8090945087700001</v>
      </c>
      <c r="R940" s="22"/>
      <c r="S940" s="22"/>
      <c r="T940" s="22"/>
      <c r="U940" s="24">
        <f>R940+S940/60+T940/3600</f>
        <v>0</v>
      </c>
      <c r="V940" s="28">
        <f>ABS(U940-P940)/P940</f>
        <v>1</v>
      </c>
      <c r="W940" s="22"/>
      <c r="X940" s="22"/>
      <c r="Y940" s="22"/>
      <c r="Z940" s="14">
        <f>W940+X940/60+Y940/3600</f>
        <v>0</v>
      </c>
      <c r="AA940" s="26">
        <f>ABS(Z940-Q940)/Q940</f>
        <v>1</v>
      </c>
      <c r="AB940" s="26"/>
      <c r="AC940" s="14">
        <f>P940</f>
        <v>48.963344112800002</v>
      </c>
      <c r="AD940" s="14">
        <f>Q940</f>
        <v>1.8090945087700001</v>
      </c>
    </row>
    <row r="941" spans="1:30" s="14" customFormat="1">
      <c r="A941" s="12">
        <v>47</v>
      </c>
      <c r="B941" s="12" t="s">
        <v>547</v>
      </c>
      <c r="C941" s="14" t="str">
        <f>VLOOKUP(B941,weights!A:B,2,FALSE)</f>
        <v>M</v>
      </c>
      <c r="D941" s="13">
        <v>939</v>
      </c>
      <c r="E941" s="14" t="s">
        <v>1078</v>
      </c>
      <c r="G941" s="15"/>
      <c r="H941" s="18"/>
      <c r="I941" s="18"/>
      <c r="J941" s="14">
        <v>942</v>
      </c>
      <c r="K941" s="14">
        <f>VLOOKUP(B941,weights!A:G,5,FALSE)</f>
        <v>4.16</v>
      </c>
      <c r="L941" s="14">
        <f>VLOOKUP(B941,weights!A:G,6,FALSE)</f>
        <v>7</v>
      </c>
      <c r="M941" s="14">
        <f>VLOOKUP(B941,weights!A:G,7,FALSE)</f>
        <v>10</v>
      </c>
      <c r="N941" t="s">
        <v>3217</v>
      </c>
      <c r="O941">
        <v>918</v>
      </c>
      <c r="P941">
        <v>48.972141676900002</v>
      </c>
      <c r="Q941">
        <v>1.8483488082799999</v>
      </c>
      <c r="R941" s="22"/>
      <c r="S941" s="22"/>
      <c r="T941" s="22"/>
      <c r="U941" s="24">
        <f>R941+S941/60+T941/3600</f>
        <v>0</v>
      </c>
      <c r="V941" s="28">
        <f>ABS(U941-P941)/P941</f>
        <v>1</v>
      </c>
      <c r="W941" s="22"/>
      <c r="X941" s="22"/>
      <c r="Y941" s="22"/>
      <c r="Z941" s="14">
        <f>W941+X941/60+Y941/3600</f>
        <v>0</v>
      </c>
      <c r="AA941" s="26">
        <f>ABS(Z941-Q941)/Q941</f>
        <v>1</v>
      </c>
      <c r="AB941" s="26"/>
      <c r="AC941" s="14">
        <f>P941</f>
        <v>48.972141676900002</v>
      </c>
      <c r="AD941" s="14">
        <f>Q941</f>
        <v>1.8483488082799999</v>
      </c>
    </row>
    <row r="942" spans="1:30" s="14" customFormat="1">
      <c r="A942" s="12">
        <v>48</v>
      </c>
      <c r="B942" s="12" t="s">
        <v>547</v>
      </c>
      <c r="C942" s="14" t="str">
        <f>VLOOKUP(B942,weights!A:B,2,FALSE)</f>
        <v>M</v>
      </c>
      <c r="D942" s="13">
        <v>940</v>
      </c>
      <c r="E942" s="14" t="s">
        <v>1079</v>
      </c>
      <c r="G942" s="15"/>
      <c r="H942" s="18"/>
      <c r="I942" s="18"/>
      <c r="J942" s="14">
        <v>943</v>
      </c>
      <c r="K942" s="14">
        <f>VLOOKUP(B942,weights!A:G,5,FALSE)</f>
        <v>4.16</v>
      </c>
      <c r="L942" s="14">
        <f>VLOOKUP(B942,weights!A:G,6,FALSE)</f>
        <v>7</v>
      </c>
      <c r="M942" s="14">
        <f>VLOOKUP(B942,weights!A:G,7,FALSE)</f>
        <v>10</v>
      </c>
      <c r="N942" t="s">
        <v>4596</v>
      </c>
      <c r="O942">
        <v>92</v>
      </c>
      <c r="P942">
        <v>48.992591955599998</v>
      </c>
      <c r="Q942">
        <v>1.9135305067099999</v>
      </c>
      <c r="R942" s="22"/>
      <c r="S942" s="22"/>
      <c r="T942" s="22"/>
      <c r="U942" s="24">
        <f>R942+S942/60+T942/3600</f>
        <v>0</v>
      </c>
      <c r="V942" s="28">
        <f>ABS(U942-P942)/P942</f>
        <v>1</v>
      </c>
      <c r="W942" s="22"/>
      <c r="X942" s="22"/>
      <c r="Y942" s="22"/>
      <c r="Z942" s="14">
        <f>W942+X942/60+Y942/3600</f>
        <v>0</v>
      </c>
      <c r="AA942" s="26">
        <f>ABS(Z942-Q942)/Q942</f>
        <v>1</v>
      </c>
      <c r="AB942" s="26"/>
      <c r="AC942" s="14">
        <f>P942</f>
        <v>48.992591955599998</v>
      </c>
      <c r="AD942" s="14">
        <f>Q942</f>
        <v>1.9135305067099999</v>
      </c>
    </row>
    <row r="943" spans="1:30" s="14" customFormat="1">
      <c r="A943" s="12">
        <v>49</v>
      </c>
      <c r="B943" s="12" t="s">
        <v>547</v>
      </c>
      <c r="C943" s="14" t="str">
        <f>VLOOKUP(B943,weights!A:B,2,FALSE)</f>
        <v>M</v>
      </c>
      <c r="D943" s="13">
        <v>941</v>
      </c>
      <c r="E943" s="14" t="s">
        <v>1080</v>
      </c>
      <c r="G943" s="15"/>
      <c r="H943" s="18"/>
      <c r="I943" s="18"/>
      <c r="J943" s="14">
        <v>944</v>
      </c>
      <c r="K943" s="14">
        <f>VLOOKUP(B943,weights!A:G,5,FALSE)</f>
        <v>4.16</v>
      </c>
      <c r="L943" s="14">
        <f>VLOOKUP(B943,weights!A:G,6,FALSE)</f>
        <v>7</v>
      </c>
      <c r="M943" s="14">
        <f>VLOOKUP(B943,weights!A:G,7,FALSE)</f>
        <v>10</v>
      </c>
      <c r="N943" t="s">
        <v>4557</v>
      </c>
      <c r="O943">
        <v>279</v>
      </c>
      <c r="P943">
        <v>48.992613881600001</v>
      </c>
      <c r="Q943">
        <v>1.95547924753</v>
      </c>
      <c r="R943" s="22"/>
      <c r="S943" s="22"/>
      <c r="T943" s="22"/>
      <c r="U943" s="24">
        <f>R943+S943/60+T943/3600</f>
        <v>0</v>
      </c>
      <c r="V943" s="28">
        <f>ABS(U943-P943)/P943</f>
        <v>1</v>
      </c>
      <c r="W943" s="22"/>
      <c r="X943" s="22"/>
      <c r="Y943" s="22"/>
      <c r="Z943" s="14">
        <f>W943+X943/60+Y943/3600</f>
        <v>0</v>
      </c>
      <c r="AA943" s="26">
        <f>ABS(Z943-Q943)/Q943</f>
        <v>1</v>
      </c>
      <c r="AB943" s="26"/>
      <c r="AC943" s="14">
        <f>P943</f>
        <v>48.992613881600001</v>
      </c>
      <c r="AD943" s="14">
        <f>Q943</f>
        <v>1.95547924753</v>
      </c>
    </row>
    <row r="944" spans="1:30" s="14" customFormat="1">
      <c r="A944" s="12">
        <v>50</v>
      </c>
      <c r="B944" s="12" t="s">
        <v>547</v>
      </c>
      <c r="C944" s="14" t="str">
        <f>VLOOKUP(B944,weights!A:B,2,FALSE)</f>
        <v>M</v>
      </c>
      <c r="D944" s="13">
        <v>942</v>
      </c>
      <c r="E944" s="14" t="s">
        <v>1081</v>
      </c>
      <c r="G944" s="15"/>
      <c r="H944" s="18"/>
      <c r="I944" s="18"/>
      <c r="J944" s="14">
        <v>945</v>
      </c>
      <c r="K944" s="14">
        <f>VLOOKUP(B944,weights!A:G,5,FALSE)</f>
        <v>4.16</v>
      </c>
      <c r="L944" s="14">
        <f>VLOOKUP(B944,weights!A:G,6,FALSE)</f>
        <v>7</v>
      </c>
      <c r="M944" s="14">
        <f>VLOOKUP(B944,weights!A:G,7,FALSE)</f>
        <v>10</v>
      </c>
      <c r="N944" t="s">
        <v>5891</v>
      </c>
      <c r="O944">
        <v>746</v>
      </c>
      <c r="P944">
        <v>48.981445969399999</v>
      </c>
      <c r="Q944">
        <v>1.9831433520899999</v>
      </c>
      <c r="R944" s="22"/>
      <c r="S944" s="22"/>
      <c r="T944" s="22"/>
      <c r="U944" s="24">
        <f>R944+S944/60+T944/3600</f>
        <v>0</v>
      </c>
      <c r="V944" s="28">
        <f>ABS(U944-P944)/P944</f>
        <v>1</v>
      </c>
      <c r="W944" s="22"/>
      <c r="X944" s="22"/>
      <c r="Y944" s="22"/>
      <c r="Z944" s="14">
        <f>W944+X944/60+Y944/3600</f>
        <v>0</v>
      </c>
      <c r="AA944" s="26">
        <f>ABS(Z944-Q944)/Q944</f>
        <v>1</v>
      </c>
      <c r="AB944" s="26"/>
      <c r="AC944" s="14">
        <f>P944</f>
        <v>48.981445969399999</v>
      </c>
      <c r="AD944" s="14">
        <f>Q944</f>
        <v>1.9831433520899999</v>
      </c>
    </row>
    <row r="945" spans="1:30" s="14" customFormat="1">
      <c r="A945" s="12">
        <v>51</v>
      </c>
      <c r="B945" s="12" t="s">
        <v>547</v>
      </c>
      <c r="C945" s="14" t="str">
        <f>VLOOKUP(B945,weights!A:B,2,FALSE)</f>
        <v>M</v>
      </c>
      <c r="D945" s="13">
        <v>943</v>
      </c>
      <c r="E945" s="14" t="s">
        <v>1082</v>
      </c>
      <c r="G945" s="15"/>
      <c r="H945" s="18"/>
      <c r="I945" s="18"/>
      <c r="J945" s="14">
        <v>946</v>
      </c>
      <c r="K945" s="14">
        <f>VLOOKUP(B945,weights!A:G,5,FALSE)</f>
        <v>4.16</v>
      </c>
      <c r="L945" s="14">
        <f>VLOOKUP(B945,weights!A:G,6,FALSE)</f>
        <v>7</v>
      </c>
      <c r="M945" s="14">
        <f>VLOOKUP(B945,weights!A:G,7,FALSE)</f>
        <v>10</v>
      </c>
      <c r="N945" t="s">
        <v>5949</v>
      </c>
      <c r="O945">
        <v>186</v>
      </c>
      <c r="P945">
        <v>48.939486810799998</v>
      </c>
      <c r="Q945">
        <v>1.9996036096600001</v>
      </c>
      <c r="R945" s="22"/>
      <c r="S945" s="22"/>
      <c r="T945" s="22"/>
      <c r="U945" s="24">
        <f>R945+S945/60+T945/3600</f>
        <v>0</v>
      </c>
      <c r="V945" s="28">
        <f>ABS(U945-P945)/P945</f>
        <v>1</v>
      </c>
      <c r="W945" s="22"/>
      <c r="X945" s="22"/>
      <c r="Y945" s="22"/>
      <c r="Z945" s="14">
        <f>W945+X945/60+Y945/3600</f>
        <v>0</v>
      </c>
      <c r="AA945" s="26">
        <f>ABS(Z945-Q945)/Q945</f>
        <v>1</v>
      </c>
      <c r="AB945" s="26"/>
      <c r="AC945" s="14">
        <f>P945</f>
        <v>48.939486810799998</v>
      </c>
      <c r="AD945" s="14">
        <f>Q945</f>
        <v>1.9996036096600001</v>
      </c>
    </row>
    <row r="946" spans="1:30" s="14" customFormat="1">
      <c r="A946" s="12">
        <v>52</v>
      </c>
      <c r="B946" s="12" t="s">
        <v>547</v>
      </c>
      <c r="C946" s="14" t="str">
        <f>VLOOKUP(B946,weights!A:B,2,FALSE)</f>
        <v>M</v>
      </c>
      <c r="D946" s="13">
        <v>944</v>
      </c>
      <c r="E946" s="14" t="s">
        <v>531</v>
      </c>
      <c r="G946" s="15" t="s">
        <v>557</v>
      </c>
      <c r="H946" s="18"/>
      <c r="I946" s="18" t="s">
        <v>1948</v>
      </c>
      <c r="J946" s="14">
        <v>947</v>
      </c>
      <c r="K946" s="14">
        <f>VLOOKUP(B946,weights!A:G,5,FALSE)</f>
        <v>4.16</v>
      </c>
      <c r="L946" s="14">
        <f>VLOOKUP(B946,weights!A:G,6,FALSE)</f>
        <v>7</v>
      </c>
      <c r="M946" s="14">
        <f>VLOOKUP(B946,weights!A:G,7,FALSE)</f>
        <v>10</v>
      </c>
      <c r="N946" t="s">
        <v>5218</v>
      </c>
      <c r="O946">
        <v>578</v>
      </c>
      <c r="P946">
        <v>48.933265406099999</v>
      </c>
      <c r="Q946">
        <v>2.0410722896800002</v>
      </c>
      <c r="R946" s="22"/>
      <c r="S946" s="22"/>
      <c r="T946" s="22"/>
      <c r="U946" s="24">
        <f>R946+S946/60+T946/3600</f>
        <v>0</v>
      </c>
      <c r="V946" s="28">
        <f>ABS(U946-P946)/P946</f>
        <v>1</v>
      </c>
      <c r="W946" s="22"/>
      <c r="X946" s="22"/>
      <c r="Y946" s="22"/>
      <c r="Z946" s="14">
        <f>W946+X946/60+Y946/3600</f>
        <v>0</v>
      </c>
      <c r="AA946" s="26">
        <f>ABS(Z946-Q946)/Q946</f>
        <v>1</v>
      </c>
      <c r="AB946" s="26"/>
      <c r="AC946" s="14">
        <f>P946</f>
        <v>48.933265406099999</v>
      </c>
      <c r="AD946" s="14">
        <f>Q946</f>
        <v>2.0410722896800002</v>
      </c>
    </row>
    <row r="947" spans="1:30" s="14" customFormat="1">
      <c r="A947" s="12">
        <v>53</v>
      </c>
      <c r="B947" s="12" t="s">
        <v>547</v>
      </c>
      <c r="C947" s="14" t="str">
        <f>VLOOKUP(B947,weights!A:B,2,FALSE)</f>
        <v>M</v>
      </c>
      <c r="D947" s="13">
        <v>945</v>
      </c>
      <c r="E947" s="14" t="s">
        <v>533</v>
      </c>
      <c r="G947" s="15" t="s">
        <v>1072</v>
      </c>
      <c r="H947" s="18" t="s">
        <v>1950</v>
      </c>
      <c r="I947" s="18" t="s">
        <v>1949</v>
      </c>
      <c r="J947" s="14">
        <v>934</v>
      </c>
      <c r="K947" s="14">
        <f>VLOOKUP(B947,weights!A:G,5,FALSE)</f>
        <v>4.16</v>
      </c>
      <c r="L947" s="14">
        <f>VLOOKUP(B947,weights!A:G,6,FALSE)</f>
        <v>7</v>
      </c>
      <c r="M947" s="14">
        <f>VLOOKUP(B947,weights!A:G,7,FALSE)</f>
        <v>10</v>
      </c>
      <c r="N947" t="s">
        <v>4252</v>
      </c>
      <c r="O947">
        <v>720</v>
      </c>
      <c r="P947">
        <v>48.9203793748</v>
      </c>
      <c r="Q947">
        <v>2.1853533762900001</v>
      </c>
      <c r="R947" s="22"/>
      <c r="S947" s="22"/>
      <c r="T947" s="22"/>
      <c r="U947" s="24">
        <f>R947+S947/60+T947/3600</f>
        <v>0</v>
      </c>
      <c r="V947" s="28">
        <f>ABS(U947-P947)/P947</f>
        <v>1</v>
      </c>
      <c r="W947" s="22"/>
      <c r="X947" s="22"/>
      <c r="Y947" s="22"/>
      <c r="Z947" s="14">
        <f>W947+X947/60+Y947/3600</f>
        <v>0</v>
      </c>
      <c r="AA947" s="26">
        <f>ABS(Z947-Q947)/Q947</f>
        <v>1</v>
      </c>
      <c r="AB947" s="26"/>
      <c r="AC947" s="14">
        <f>P947</f>
        <v>48.9203793748</v>
      </c>
      <c r="AD947" s="14">
        <f>Q947</f>
        <v>2.1853533762900001</v>
      </c>
    </row>
    <row r="948" spans="1:30" s="14" customFormat="1">
      <c r="A948" s="12">
        <v>0</v>
      </c>
      <c r="B948" s="12" t="s">
        <v>561</v>
      </c>
      <c r="C948" s="14" t="str">
        <f>VLOOKUP(B948,weights!A:B,2,FALSE)</f>
        <v>P</v>
      </c>
      <c r="D948" s="13">
        <v>946</v>
      </c>
      <c r="E948" s="14" t="s">
        <v>679</v>
      </c>
      <c r="G948" s="15" t="s">
        <v>1493</v>
      </c>
      <c r="H948" s="18" t="s">
        <v>1951</v>
      </c>
      <c r="I948" s="18" t="s">
        <v>1580</v>
      </c>
      <c r="K948" s="14">
        <f>VLOOKUP(B948,weights!A:G,5,FALSE)</f>
        <v>5.3</v>
      </c>
      <c r="L948" s="14">
        <f>VLOOKUP(B948,weights!A:G,6,FALSE)</f>
        <v>7</v>
      </c>
      <c r="M948" s="14">
        <f>VLOOKUP(B948,weights!A:G,7,FALSE)</f>
        <v>10</v>
      </c>
      <c r="N948" t="s">
        <v>4109</v>
      </c>
      <c r="O948">
        <v>817</v>
      </c>
      <c r="P948">
        <v>48.880922007599999</v>
      </c>
      <c r="Q948">
        <v>2.3563285436600001</v>
      </c>
      <c r="R948" s="22"/>
      <c r="S948" s="22"/>
      <c r="T948" s="22"/>
      <c r="U948" s="24">
        <f>R948+S948/60+T948/3600</f>
        <v>0</v>
      </c>
      <c r="V948" s="28">
        <f>ABS(U948-P948)/P948</f>
        <v>1</v>
      </c>
      <c r="W948" s="22"/>
      <c r="X948" s="22"/>
      <c r="Y948" s="22"/>
      <c r="Z948" s="14">
        <f>W948+X948/60+Y948/3600</f>
        <v>0</v>
      </c>
      <c r="AA948" s="26">
        <f>ABS(Z948-Q948)/Q948</f>
        <v>1</v>
      </c>
      <c r="AB948" s="26"/>
      <c r="AC948" s="14">
        <f>P948</f>
        <v>48.880922007599999</v>
      </c>
      <c r="AD948" s="14">
        <f>Q948</f>
        <v>2.3563285436600001</v>
      </c>
    </row>
    <row r="949" spans="1:30" s="14" customFormat="1">
      <c r="A949" s="12">
        <v>1</v>
      </c>
      <c r="B949" s="12" t="s">
        <v>561</v>
      </c>
      <c r="C949" s="14" t="str">
        <f>VLOOKUP(B949,weights!A:B,2,FALSE)</f>
        <v>P</v>
      </c>
      <c r="D949" s="13">
        <v>947</v>
      </c>
      <c r="E949" s="14" t="s">
        <v>909</v>
      </c>
      <c r="G949" s="15" t="s">
        <v>1091</v>
      </c>
      <c r="H949" s="18"/>
      <c r="I949" s="18" t="s">
        <v>1952</v>
      </c>
      <c r="K949" s="14">
        <f>VLOOKUP(B949,weights!A:G,5,FALSE)</f>
        <v>5.3</v>
      </c>
      <c r="L949" s="14">
        <f>VLOOKUP(B949,weights!A:G,6,FALSE)</f>
        <v>7</v>
      </c>
      <c r="M949" s="14">
        <f>VLOOKUP(B949,weights!A:G,7,FALSE)</f>
        <v>10</v>
      </c>
      <c r="N949" t="s">
        <v>3229</v>
      </c>
      <c r="O949">
        <v>585</v>
      </c>
      <c r="P949">
        <v>48.932196005100003</v>
      </c>
      <c r="Q949">
        <v>2.49551314123</v>
      </c>
      <c r="R949" s="22"/>
      <c r="S949" s="22"/>
      <c r="T949" s="22"/>
      <c r="U949" s="24">
        <f>R949+S949/60+T949/3600</f>
        <v>0</v>
      </c>
      <c r="V949" s="28">
        <f>ABS(U949-P949)/P949</f>
        <v>1</v>
      </c>
      <c r="W949" s="22"/>
      <c r="X949" s="22"/>
      <c r="Y949" s="22"/>
      <c r="Z949" s="14">
        <f>W949+X949/60+Y949/3600</f>
        <v>0</v>
      </c>
      <c r="AA949" s="26">
        <f>ABS(Z949-Q949)/Q949</f>
        <v>1</v>
      </c>
      <c r="AB949" s="26"/>
      <c r="AC949" s="14">
        <f>P949</f>
        <v>48.932196005100003</v>
      </c>
      <c r="AD949" s="14">
        <f>Q949</f>
        <v>2.49551314123</v>
      </c>
    </row>
    <row r="950" spans="1:30" s="14" customFormat="1">
      <c r="A950" s="12">
        <v>2</v>
      </c>
      <c r="B950" s="12" t="s">
        <v>561</v>
      </c>
      <c r="C950" s="14" t="str">
        <f>VLOOKUP(B950,weights!A:B,2,FALSE)</f>
        <v>P</v>
      </c>
      <c r="D950" s="13">
        <v>948</v>
      </c>
      <c r="E950" s="14" t="s">
        <v>1083</v>
      </c>
      <c r="G950" s="15" t="s">
        <v>571</v>
      </c>
      <c r="H950" s="18"/>
      <c r="I950" s="18" t="s">
        <v>1953</v>
      </c>
      <c r="K950" s="14">
        <f>VLOOKUP(B950,weights!A:G,5,FALSE)</f>
        <v>5.3</v>
      </c>
      <c r="L950" s="14">
        <f>VLOOKUP(B950,weights!A:G,6,FALSE)</f>
        <v>7</v>
      </c>
      <c r="M950" s="14">
        <f>VLOOKUP(B950,weights!A:G,7,FALSE)</f>
        <v>10</v>
      </c>
      <c r="N950" t="s">
        <v>4882</v>
      </c>
      <c r="O950">
        <v>644</v>
      </c>
      <c r="P950">
        <v>48.975858754000001</v>
      </c>
      <c r="Q950">
        <v>2.64240630231</v>
      </c>
      <c r="R950" s="22"/>
      <c r="S950" s="22"/>
      <c r="T950" s="22"/>
      <c r="U950" s="24">
        <f>R950+S950/60+T950/3600</f>
        <v>0</v>
      </c>
      <c r="V950" s="28">
        <f>ABS(U950-P950)/P950</f>
        <v>1</v>
      </c>
      <c r="W950" s="22"/>
      <c r="X950" s="22"/>
      <c r="Y950" s="22"/>
      <c r="Z950" s="14">
        <f>W950+X950/60+Y950/3600</f>
        <v>0</v>
      </c>
      <c r="AA950" s="26">
        <f>ABS(Z950-Q950)/Q950</f>
        <v>1</v>
      </c>
      <c r="AB950" s="26"/>
      <c r="AC950" s="14">
        <f>P950</f>
        <v>48.975858754000001</v>
      </c>
      <c r="AD950" s="14">
        <f>Q950</f>
        <v>2.64240630231</v>
      </c>
    </row>
    <row r="951" spans="1:30" s="14" customFormat="1">
      <c r="A951" s="12">
        <v>3</v>
      </c>
      <c r="B951" s="12" t="s">
        <v>561</v>
      </c>
      <c r="C951" s="14" t="str">
        <f>VLOOKUP(B951,weights!A:B,2,FALSE)</f>
        <v>P</v>
      </c>
      <c r="D951" s="13">
        <v>949</v>
      </c>
      <c r="E951" s="14" t="s">
        <v>1084</v>
      </c>
      <c r="G951" s="15"/>
      <c r="H951" s="18"/>
      <c r="I951" s="18"/>
      <c r="K951" s="14">
        <f>VLOOKUP(B951,weights!A:G,5,FALSE)</f>
        <v>5.3</v>
      </c>
      <c r="L951" s="14">
        <f>VLOOKUP(B951,weights!A:G,6,FALSE)</f>
        <v>7</v>
      </c>
      <c r="M951" s="14">
        <f>VLOOKUP(B951,weights!A:G,7,FALSE)</f>
        <v>10</v>
      </c>
      <c r="N951" t="s">
        <v>3736</v>
      </c>
      <c r="O951">
        <v>145</v>
      </c>
      <c r="P951">
        <v>48.9913914029</v>
      </c>
      <c r="Q951">
        <v>2.6650598693099998</v>
      </c>
      <c r="R951" s="22"/>
      <c r="S951" s="22"/>
      <c r="T951" s="22"/>
      <c r="U951" s="24">
        <f>R951+S951/60+T951/3600</f>
        <v>0</v>
      </c>
      <c r="V951" s="28">
        <f>ABS(U951-P951)/P951</f>
        <v>1</v>
      </c>
      <c r="W951" s="22"/>
      <c r="X951" s="22"/>
      <c r="Y951" s="22"/>
      <c r="Z951" s="14">
        <f>W951+X951/60+Y951/3600</f>
        <v>0</v>
      </c>
      <c r="AA951" s="26">
        <f>ABS(Z951-Q951)/Q951</f>
        <v>1</v>
      </c>
      <c r="AB951" s="26"/>
      <c r="AC951" s="14">
        <f>P951</f>
        <v>48.9913914029</v>
      </c>
      <c r="AD951" s="14">
        <f>Q951</f>
        <v>2.6650598693099998</v>
      </c>
    </row>
    <row r="952" spans="1:30" s="14" customFormat="1">
      <c r="A952" s="12">
        <v>4</v>
      </c>
      <c r="B952" s="12" t="s">
        <v>561</v>
      </c>
      <c r="C952" s="14" t="str">
        <f>VLOOKUP(B952,weights!A:B,2,FALSE)</f>
        <v>P</v>
      </c>
      <c r="D952" s="13">
        <v>950</v>
      </c>
      <c r="E952" s="14" t="s">
        <v>1085</v>
      </c>
      <c r="G952" s="15"/>
      <c r="H952" s="18"/>
      <c r="I952" s="18"/>
      <c r="K952" s="14">
        <f>VLOOKUP(B952,weights!A:G,5,FALSE)</f>
        <v>5.3</v>
      </c>
      <c r="L952" s="14">
        <f>VLOOKUP(B952,weights!A:G,6,FALSE)</f>
        <v>7</v>
      </c>
      <c r="M952" s="14">
        <f>VLOOKUP(B952,weights!A:G,7,FALSE)</f>
        <v>10</v>
      </c>
      <c r="N952" t="s">
        <v>5787</v>
      </c>
      <c r="O952">
        <v>875</v>
      </c>
      <c r="P952">
        <v>49.008114014999997</v>
      </c>
      <c r="Q952">
        <v>2.6802524546200002</v>
      </c>
      <c r="R952" s="22"/>
      <c r="S952" s="22"/>
      <c r="T952" s="22"/>
      <c r="U952" s="24">
        <f>R952+S952/60+T952/3600</f>
        <v>0</v>
      </c>
      <c r="V952" s="28">
        <f>ABS(U952-P952)/P952</f>
        <v>1</v>
      </c>
      <c r="W952" s="22"/>
      <c r="X952" s="22"/>
      <c r="Y952" s="22"/>
      <c r="Z952" s="14">
        <f>W952+X952/60+Y952/3600</f>
        <v>0</v>
      </c>
      <c r="AA952" s="26">
        <f>ABS(Z952-Q952)/Q952</f>
        <v>1</v>
      </c>
      <c r="AB952" s="26"/>
      <c r="AC952" s="14">
        <f>P952</f>
        <v>49.008114014999997</v>
      </c>
      <c r="AD952" s="14">
        <f>Q952</f>
        <v>2.6802524546200002</v>
      </c>
    </row>
    <row r="953" spans="1:30" s="14" customFormat="1">
      <c r="A953" s="12">
        <v>5</v>
      </c>
      <c r="B953" s="12" t="s">
        <v>561</v>
      </c>
      <c r="C953" s="14" t="str">
        <f>VLOOKUP(B953,weights!A:B,2,FALSE)</f>
        <v>P</v>
      </c>
      <c r="D953" s="13">
        <v>951</v>
      </c>
      <c r="E953" s="14" t="s">
        <v>1086</v>
      </c>
      <c r="G953" s="15"/>
      <c r="H953" s="18"/>
      <c r="I953" s="18"/>
      <c r="K953" s="14">
        <f>VLOOKUP(B953,weights!A:G,5,FALSE)</f>
        <v>5.3</v>
      </c>
      <c r="L953" s="14">
        <f>VLOOKUP(B953,weights!A:G,6,FALSE)</f>
        <v>7</v>
      </c>
      <c r="M953" s="14">
        <f>VLOOKUP(B953,weights!A:G,7,FALSE)</f>
        <v>10</v>
      </c>
      <c r="N953" t="s">
        <v>3827</v>
      </c>
      <c r="O953">
        <v>239</v>
      </c>
      <c r="P953">
        <v>49.032574090499999</v>
      </c>
      <c r="Q953">
        <v>2.6994530878199998</v>
      </c>
      <c r="R953" s="22"/>
      <c r="S953" s="22"/>
      <c r="T953" s="22"/>
      <c r="U953" s="24">
        <f>R953+S953/60+T953/3600</f>
        <v>0</v>
      </c>
      <c r="V953" s="28">
        <f>ABS(U953-P953)/P953</f>
        <v>1</v>
      </c>
      <c r="W953" s="22"/>
      <c r="X953" s="22"/>
      <c r="Y953" s="22"/>
      <c r="Z953" s="14">
        <f>W953+X953/60+Y953/3600</f>
        <v>0</v>
      </c>
      <c r="AA953" s="26">
        <f>ABS(Z953-Q953)/Q953</f>
        <v>1</v>
      </c>
      <c r="AB953" s="26"/>
      <c r="AC953" s="14">
        <f>P953</f>
        <v>49.032574090499999</v>
      </c>
      <c r="AD953" s="14">
        <f>Q953</f>
        <v>2.6994530878199998</v>
      </c>
    </row>
    <row r="954" spans="1:30" s="14" customFormat="1">
      <c r="A954" s="12">
        <v>6</v>
      </c>
      <c r="B954" s="12" t="s">
        <v>561</v>
      </c>
      <c r="C954" s="14" t="str">
        <f>VLOOKUP(B954,weights!A:B,2,FALSE)</f>
        <v>P</v>
      </c>
      <c r="D954" s="13">
        <v>952</v>
      </c>
      <c r="E954" s="14" t="s">
        <v>1087</v>
      </c>
      <c r="G954" s="15"/>
      <c r="H954" s="18"/>
      <c r="I954" s="18"/>
      <c r="K954" s="14">
        <f>VLOOKUP(B954,weights!A:G,5,FALSE)</f>
        <v>5.3</v>
      </c>
      <c r="L954" s="14">
        <f>VLOOKUP(B954,weights!A:G,6,FALSE)</f>
        <v>7</v>
      </c>
      <c r="M954" s="14">
        <f>VLOOKUP(B954,weights!A:G,7,FALSE)</f>
        <v>10</v>
      </c>
      <c r="N954" t="s">
        <v>4512</v>
      </c>
      <c r="O954">
        <v>447</v>
      </c>
      <c r="P954">
        <v>49.0961208107</v>
      </c>
      <c r="Q954">
        <v>2.74468620744</v>
      </c>
      <c r="R954" s="22"/>
      <c r="S954" s="22"/>
      <c r="T954" s="22"/>
      <c r="U954" s="24">
        <f>R954+S954/60+T954/3600</f>
        <v>0</v>
      </c>
      <c r="V954" s="28">
        <f>ABS(U954-P954)/P954</f>
        <v>1</v>
      </c>
      <c r="W954" s="22"/>
      <c r="X954" s="22"/>
      <c r="Y954" s="22"/>
      <c r="Z954" s="14">
        <f>W954+X954/60+Y954/3600</f>
        <v>0</v>
      </c>
      <c r="AA954" s="26">
        <f>ABS(Z954-Q954)/Q954</f>
        <v>1</v>
      </c>
      <c r="AB954" s="26"/>
      <c r="AC954" s="14">
        <f>P954</f>
        <v>49.0961208107</v>
      </c>
      <c r="AD954" s="14">
        <f>Q954</f>
        <v>2.74468620744</v>
      </c>
    </row>
    <row r="955" spans="1:30" s="14" customFormat="1">
      <c r="A955" s="12">
        <v>7</v>
      </c>
      <c r="B955" s="12" t="s">
        <v>561</v>
      </c>
      <c r="C955" s="14" t="str">
        <f>VLOOKUP(B955,weights!A:B,2,FALSE)</f>
        <v>P</v>
      </c>
      <c r="D955" s="13">
        <v>953</v>
      </c>
      <c r="E955" s="14" t="s">
        <v>1088</v>
      </c>
      <c r="G955" s="15"/>
      <c r="H955" s="18"/>
      <c r="I955" s="18"/>
      <c r="K955" s="14">
        <f>VLOOKUP(B955,weights!A:G,5,FALSE)</f>
        <v>5.3</v>
      </c>
      <c r="L955" s="14">
        <f>VLOOKUP(B955,weights!A:G,6,FALSE)</f>
        <v>7</v>
      </c>
      <c r="M955" s="14">
        <f>VLOOKUP(B955,weights!A:G,7,FALSE)</f>
        <v>10</v>
      </c>
      <c r="N955" t="s">
        <v>4974</v>
      </c>
      <c r="O955">
        <v>621</v>
      </c>
      <c r="P955">
        <v>49.142884198300003</v>
      </c>
      <c r="Q955">
        <v>2.7944545501100002</v>
      </c>
      <c r="R955" s="22"/>
      <c r="S955" s="22"/>
      <c r="T955" s="22"/>
      <c r="U955" s="24">
        <f>R955+S955/60+T955/3600</f>
        <v>0</v>
      </c>
      <c r="V955" s="28">
        <f>ABS(U955-P955)/P955</f>
        <v>1</v>
      </c>
      <c r="W955" s="22"/>
      <c r="X955" s="22"/>
      <c r="Y955" s="22"/>
      <c r="Z955" s="14">
        <f>W955+X955/60+Y955/3600</f>
        <v>0</v>
      </c>
      <c r="AA955" s="26">
        <f>ABS(Z955-Q955)/Q955</f>
        <v>1</v>
      </c>
      <c r="AB955" s="26"/>
      <c r="AC955" s="14">
        <f>P955</f>
        <v>49.142884198300003</v>
      </c>
      <c r="AD955" s="14">
        <f>Q955</f>
        <v>2.7944545501100002</v>
      </c>
    </row>
    <row r="956" spans="1:30" s="14" customFormat="1">
      <c r="A956" s="12">
        <v>8</v>
      </c>
      <c r="B956" s="12" t="s">
        <v>561</v>
      </c>
      <c r="C956" s="14" t="str">
        <f>VLOOKUP(B956,weights!A:B,2,FALSE)</f>
        <v>P</v>
      </c>
      <c r="D956" s="13">
        <v>954</v>
      </c>
      <c r="E956" s="14" t="s">
        <v>1089</v>
      </c>
      <c r="G956" s="15"/>
      <c r="H956" s="18"/>
      <c r="I956" s="18"/>
      <c r="K956" s="14">
        <f>VLOOKUP(B956,weights!A:G,5,FALSE)</f>
        <v>5.3</v>
      </c>
      <c r="L956" s="14">
        <f>VLOOKUP(B956,weights!A:G,6,FALSE)</f>
        <v>7</v>
      </c>
      <c r="M956" s="14">
        <f>VLOOKUP(B956,weights!A:G,7,FALSE)</f>
        <v>10</v>
      </c>
      <c r="N956" t="s">
        <v>5057</v>
      </c>
      <c r="O956">
        <v>446</v>
      </c>
      <c r="P956">
        <v>49.200877079100003</v>
      </c>
      <c r="Q956">
        <v>2.8381084780400001</v>
      </c>
      <c r="R956" s="22"/>
      <c r="S956" s="22"/>
      <c r="T956" s="22"/>
      <c r="U956" s="24">
        <f>R956+S956/60+T956/3600</f>
        <v>0</v>
      </c>
      <c r="V956" s="28">
        <f>ABS(U956-P956)/P956</f>
        <v>1</v>
      </c>
      <c r="W956" s="22"/>
      <c r="X956" s="22"/>
      <c r="Y956" s="22"/>
      <c r="Z956" s="14">
        <f>W956+X956/60+Y956/3600</f>
        <v>0</v>
      </c>
      <c r="AA956" s="26">
        <f>ABS(Z956-Q956)/Q956</f>
        <v>1</v>
      </c>
      <c r="AB956" s="26"/>
      <c r="AC956" s="14">
        <f>P956</f>
        <v>49.200877079100003</v>
      </c>
      <c r="AD956" s="14">
        <f>Q956</f>
        <v>2.8381084780400001</v>
      </c>
    </row>
    <row r="957" spans="1:30" s="14" customFormat="1">
      <c r="A957" s="12">
        <v>9</v>
      </c>
      <c r="B957" s="12" t="s">
        <v>561</v>
      </c>
      <c r="C957" s="14" t="str">
        <f>VLOOKUP(B957,weights!A:B,2,FALSE)</f>
        <v>P</v>
      </c>
      <c r="D957" s="13">
        <v>955</v>
      </c>
      <c r="E957" s="14" t="s">
        <v>1090</v>
      </c>
      <c r="G957" s="15"/>
      <c r="H957" s="18"/>
      <c r="I957" s="18"/>
      <c r="K957" s="14">
        <f>VLOOKUP(B957,weights!A:G,5,FALSE)</f>
        <v>5.3</v>
      </c>
      <c r="L957" s="14">
        <f>VLOOKUP(B957,weights!A:G,6,FALSE)</f>
        <v>7</v>
      </c>
      <c r="M957" s="14">
        <f>VLOOKUP(B957,weights!A:G,7,FALSE)</f>
        <v>10</v>
      </c>
      <c r="N957" t="s">
        <v>3800</v>
      </c>
      <c r="O957">
        <v>695</v>
      </c>
      <c r="P957">
        <v>49.2310180602</v>
      </c>
      <c r="Q957">
        <v>2.8873667049799998</v>
      </c>
      <c r="R957" s="22"/>
      <c r="S957" s="22"/>
      <c r="T957" s="22"/>
      <c r="U957" s="24">
        <f>R957+S957/60+T957/3600</f>
        <v>0</v>
      </c>
      <c r="V957" s="28">
        <f>ABS(U957-P957)/P957</f>
        <v>1</v>
      </c>
      <c r="W957" s="22"/>
      <c r="X957" s="22"/>
      <c r="Y957" s="22"/>
      <c r="Z957" s="14">
        <f>W957+X957/60+Y957/3600</f>
        <v>0</v>
      </c>
      <c r="AA957" s="26">
        <f>ABS(Z957-Q957)/Q957</f>
        <v>1</v>
      </c>
      <c r="AB957" s="26"/>
      <c r="AC957" s="14">
        <f>P957</f>
        <v>49.2310180602</v>
      </c>
      <c r="AD957" s="14">
        <f>Q957</f>
        <v>2.8873667049799998</v>
      </c>
    </row>
    <row r="958" spans="1:30" s="14" customFormat="1">
      <c r="A958" s="12">
        <v>0</v>
      </c>
      <c r="B958" s="12" t="s">
        <v>545</v>
      </c>
      <c r="C958" s="14" t="str">
        <f>VLOOKUP(B958,weights!A:B,2,FALSE)</f>
        <v>M</v>
      </c>
      <c r="D958" s="13">
        <v>956</v>
      </c>
      <c r="E958" s="14" t="s">
        <v>1092</v>
      </c>
      <c r="G958" s="15" t="s">
        <v>557</v>
      </c>
      <c r="H958" s="18"/>
      <c r="I958" s="18" t="s">
        <v>1954</v>
      </c>
      <c r="J958" s="14">
        <v>957</v>
      </c>
      <c r="K958" s="14">
        <f>VLOOKUP(B958,weights!A:G,5,FALSE)</f>
        <v>3.21</v>
      </c>
      <c r="L958" s="14">
        <f>VLOOKUP(B958,weights!A:G,6,FALSE)</f>
        <v>7</v>
      </c>
      <c r="M958" s="14">
        <f>VLOOKUP(B958,weights!A:G,7,FALSE)</f>
        <v>10</v>
      </c>
      <c r="N958" t="s">
        <v>3525</v>
      </c>
      <c r="O958">
        <v>582</v>
      </c>
      <c r="P958">
        <v>49.047876203400001</v>
      </c>
      <c r="Q958">
        <v>2.0109997599999998</v>
      </c>
      <c r="R958" s="22"/>
      <c r="S958" s="22"/>
      <c r="T958" s="22"/>
      <c r="U958" s="24">
        <f>R958+S958/60+T958/3600</f>
        <v>0</v>
      </c>
      <c r="V958" s="28">
        <f>ABS(U958-P958)/P958</f>
        <v>1</v>
      </c>
      <c r="W958" s="22"/>
      <c r="X958" s="22"/>
      <c r="Y958" s="22"/>
      <c r="Z958" s="14">
        <f>W958+X958/60+Y958/3600</f>
        <v>0</v>
      </c>
      <c r="AA958" s="26">
        <f>ABS(Z958-Q958)/Q958</f>
        <v>1</v>
      </c>
      <c r="AB958" s="26"/>
      <c r="AC958" s="14">
        <f>P958</f>
        <v>49.047876203400001</v>
      </c>
      <c r="AD958" s="14">
        <f>Q958</f>
        <v>2.0109997599999998</v>
      </c>
    </row>
    <row r="959" spans="1:30" s="14" customFormat="1">
      <c r="A959" s="12">
        <v>1</v>
      </c>
      <c r="B959" s="12" t="s">
        <v>545</v>
      </c>
      <c r="C959" s="14" t="str">
        <f>VLOOKUP(B959,weights!A:B,2,FALSE)</f>
        <v>M</v>
      </c>
      <c r="D959" s="13">
        <v>957</v>
      </c>
      <c r="E959" s="14" t="s">
        <v>1093</v>
      </c>
      <c r="G959" s="15" t="s">
        <v>557</v>
      </c>
      <c r="H959" s="18"/>
      <c r="I959" s="18" t="s">
        <v>1955</v>
      </c>
      <c r="J959" s="14">
        <v>958</v>
      </c>
      <c r="K959" s="14">
        <f>VLOOKUP(B959,weights!A:G,5,FALSE)</f>
        <v>3.21</v>
      </c>
      <c r="L959" s="14">
        <f>VLOOKUP(B959,weights!A:G,6,FALSE)</f>
        <v>7</v>
      </c>
      <c r="M959" s="14">
        <f>VLOOKUP(B959,weights!A:G,7,FALSE)</f>
        <v>10</v>
      </c>
      <c r="N959" t="s">
        <v>3531</v>
      </c>
      <c r="O959">
        <v>722</v>
      </c>
      <c r="P959">
        <v>49.049647005300002</v>
      </c>
      <c r="Q959">
        <v>2.0342944632200002</v>
      </c>
      <c r="R959" s="22"/>
      <c r="S959" s="22"/>
      <c r="T959" s="22"/>
      <c r="U959" s="24">
        <f>R959+S959/60+T959/3600</f>
        <v>0</v>
      </c>
      <c r="V959" s="28">
        <f>ABS(U959-P959)/P959</f>
        <v>1</v>
      </c>
      <c r="W959" s="22"/>
      <c r="X959" s="22"/>
      <c r="Y959" s="22"/>
      <c r="Z959" s="14">
        <f>W959+X959/60+Y959/3600</f>
        <v>0</v>
      </c>
      <c r="AA959" s="26">
        <f>ABS(Z959-Q959)/Q959</f>
        <v>1</v>
      </c>
      <c r="AB959" s="26"/>
      <c r="AC959" s="14">
        <f>P959</f>
        <v>49.049647005300002</v>
      </c>
      <c r="AD959" s="14">
        <f>Q959</f>
        <v>2.0342944632200002</v>
      </c>
    </row>
    <row r="960" spans="1:30" s="14" customFormat="1">
      <c r="A960" s="12">
        <v>2</v>
      </c>
      <c r="B960" s="12" t="s">
        <v>545</v>
      </c>
      <c r="C960" s="14" t="str">
        <f>VLOOKUP(B960,weights!A:B,2,FALSE)</f>
        <v>M</v>
      </c>
      <c r="D960" s="13">
        <v>958</v>
      </c>
      <c r="E960" s="14" t="s">
        <v>1094</v>
      </c>
      <c r="G960" s="15" t="s">
        <v>557</v>
      </c>
      <c r="H960" s="18"/>
      <c r="I960" s="18" t="s">
        <v>1956</v>
      </c>
      <c r="J960" s="14">
        <v>959</v>
      </c>
      <c r="K960" s="14">
        <f>VLOOKUP(B960,weights!A:G,5,FALSE)</f>
        <v>3.21</v>
      </c>
      <c r="L960" s="14">
        <f>VLOOKUP(B960,weights!A:G,6,FALSE)</f>
        <v>7</v>
      </c>
      <c r="M960" s="14">
        <f>VLOOKUP(B960,weights!A:G,7,FALSE)</f>
        <v>10</v>
      </c>
      <c r="N960" t="s">
        <v>3528</v>
      </c>
      <c r="O960">
        <v>489</v>
      </c>
      <c r="P960">
        <v>49.036463979799997</v>
      </c>
      <c r="Q960">
        <v>2.0795349413799999</v>
      </c>
      <c r="R960" s="22"/>
      <c r="S960" s="22"/>
      <c r="T960" s="22"/>
      <c r="U960" s="24">
        <f>R960+S960/60+T960/3600</f>
        <v>0</v>
      </c>
      <c r="V960" s="28">
        <f>ABS(U960-P960)/P960</f>
        <v>1</v>
      </c>
      <c r="W960" s="22"/>
      <c r="X960" s="22"/>
      <c r="Y960" s="22"/>
      <c r="Z960" s="14">
        <f>W960+X960/60+Y960/3600</f>
        <v>0</v>
      </c>
      <c r="AA960" s="26">
        <f>ABS(Z960-Q960)/Q960</f>
        <v>1</v>
      </c>
      <c r="AB960" s="26"/>
      <c r="AC960" s="14">
        <f>P960</f>
        <v>49.036463979799997</v>
      </c>
      <c r="AD960" s="14">
        <f>Q960</f>
        <v>2.0795349413799999</v>
      </c>
    </row>
    <row r="961" spans="1:30" s="14" customFormat="1">
      <c r="A961" s="12">
        <v>3</v>
      </c>
      <c r="B961" s="12" t="s">
        <v>545</v>
      </c>
      <c r="C961" s="14" t="str">
        <f>VLOOKUP(B961,weights!A:B,2,FALSE)</f>
        <v>M</v>
      </c>
      <c r="D961" s="13">
        <v>959</v>
      </c>
      <c r="E961" s="14" t="s">
        <v>1095</v>
      </c>
      <c r="G961" s="15" t="s">
        <v>557</v>
      </c>
      <c r="H961" s="18"/>
      <c r="I961" s="18" t="s">
        <v>1957</v>
      </c>
      <c r="J961" s="14">
        <v>960</v>
      </c>
      <c r="K961" s="14">
        <f>VLOOKUP(B961,weights!A:G,5,FALSE)</f>
        <v>3.21</v>
      </c>
      <c r="L961" s="14">
        <f>VLOOKUP(B961,weights!A:G,6,FALSE)</f>
        <v>7</v>
      </c>
      <c r="M961" s="14">
        <f>VLOOKUP(B961,weights!A:G,7,FALSE)</f>
        <v>10</v>
      </c>
      <c r="N961" t="s">
        <v>4993</v>
      </c>
      <c r="O961">
        <v>581</v>
      </c>
      <c r="P961">
        <v>49.014133689499999</v>
      </c>
      <c r="Q961">
        <v>2.0783065913300001</v>
      </c>
      <c r="R961" s="22"/>
      <c r="S961" s="22"/>
      <c r="T961" s="22"/>
      <c r="U961" s="24">
        <f>R961+S961/60+T961/3600</f>
        <v>0</v>
      </c>
      <c r="V961" s="28">
        <f>ABS(U961-P961)/P961</f>
        <v>1</v>
      </c>
      <c r="W961" s="22"/>
      <c r="X961" s="22"/>
      <c r="Y961" s="22"/>
      <c r="Z961" s="14">
        <f>W961+X961/60+Y961/3600</f>
        <v>0</v>
      </c>
      <c r="AA961" s="26">
        <f>ABS(Z961-Q961)/Q961</f>
        <v>1</v>
      </c>
      <c r="AB961" s="26"/>
      <c r="AC961" s="14">
        <f>P961</f>
        <v>49.014133689499999</v>
      </c>
      <c r="AD961" s="14">
        <f>Q961</f>
        <v>2.0783065913300001</v>
      </c>
    </row>
    <row r="962" spans="1:30" s="14" customFormat="1">
      <c r="A962" s="12">
        <v>4</v>
      </c>
      <c r="B962" s="12" t="s">
        <v>545</v>
      </c>
      <c r="C962" s="14" t="str">
        <f>VLOOKUP(B962,weights!A:B,2,FALSE)</f>
        <v>M</v>
      </c>
      <c r="D962" s="13">
        <v>960</v>
      </c>
      <c r="E962" s="14" t="s">
        <v>1048</v>
      </c>
      <c r="G962" s="15" t="s">
        <v>1119</v>
      </c>
      <c r="H962" s="18" t="s">
        <v>1780</v>
      </c>
      <c r="I962" s="18" t="s">
        <v>1942</v>
      </c>
      <c r="J962" s="14">
        <v>961</v>
      </c>
      <c r="K962" s="14">
        <f>VLOOKUP(B962,weights!A:G,5,FALSE)</f>
        <v>3.21</v>
      </c>
      <c r="L962" s="14">
        <f>VLOOKUP(B962,weights!A:G,6,FALSE)</f>
        <v>7</v>
      </c>
      <c r="M962" s="14">
        <f>VLOOKUP(B962,weights!A:G,7,FALSE)</f>
        <v>10</v>
      </c>
      <c r="N962" t="s">
        <v>3744</v>
      </c>
      <c r="O962">
        <v>486</v>
      </c>
      <c r="P962">
        <v>48.991898372400001</v>
      </c>
      <c r="Q962">
        <v>2.0736206204699998</v>
      </c>
      <c r="R962" s="22"/>
      <c r="S962" s="22"/>
      <c r="T962" s="22"/>
      <c r="U962" s="24">
        <f>R962+S962/60+T962/3600</f>
        <v>0</v>
      </c>
      <c r="V962" s="28">
        <f>ABS(U962-P962)/P962</f>
        <v>1</v>
      </c>
      <c r="W962" s="22"/>
      <c r="X962" s="22"/>
      <c r="Y962" s="22"/>
      <c r="Z962" s="14">
        <f>W962+X962/60+Y962/3600</f>
        <v>0</v>
      </c>
      <c r="AA962" s="26">
        <f>ABS(Z962-Q962)/Q962</f>
        <v>1</v>
      </c>
      <c r="AB962" s="26"/>
      <c r="AC962" s="14">
        <f>P962</f>
        <v>48.991898372400001</v>
      </c>
      <c r="AD962" s="14">
        <f>Q962</f>
        <v>2.0736206204699998</v>
      </c>
    </row>
    <row r="963" spans="1:30" s="14" customFormat="1">
      <c r="A963" s="12">
        <v>5</v>
      </c>
      <c r="B963" s="12" t="s">
        <v>545</v>
      </c>
      <c r="C963" s="14" t="str">
        <f>VLOOKUP(B963,weights!A:B,2,FALSE)</f>
        <v>M</v>
      </c>
      <c r="D963" s="13">
        <v>961</v>
      </c>
      <c r="E963" s="14" t="s">
        <v>1096</v>
      </c>
      <c r="G963" s="15" t="s">
        <v>557</v>
      </c>
      <c r="H963" s="18"/>
      <c r="I963" s="18" t="s">
        <v>1958</v>
      </c>
      <c r="J963" s="14">
        <v>962</v>
      </c>
      <c r="K963" s="14">
        <f>VLOOKUP(B963,weights!A:G,5,FALSE)</f>
        <v>3.21</v>
      </c>
      <c r="L963" s="14">
        <f>VLOOKUP(B963,weights!A:G,6,FALSE)</f>
        <v>7</v>
      </c>
      <c r="M963" s="14">
        <f>VLOOKUP(B963,weights!A:G,7,FALSE)</f>
        <v>10</v>
      </c>
      <c r="N963" t="s">
        <v>3128</v>
      </c>
      <c r="O963">
        <v>579</v>
      </c>
      <c r="P963">
        <v>48.970665046500002</v>
      </c>
      <c r="Q963">
        <v>2.0777317659599999</v>
      </c>
      <c r="R963" s="22"/>
      <c r="S963" s="22"/>
      <c r="T963" s="22"/>
      <c r="U963" s="24">
        <f>R963+S963/60+T963/3600</f>
        <v>0</v>
      </c>
      <c r="V963" s="28">
        <f>ABS(U963-P963)/P963</f>
        <v>1</v>
      </c>
      <c r="W963" s="22"/>
      <c r="X963" s="22"/>
      <c r="Y963" s="22"/>
      <c r="Z963" s="14">
        <f>W963+X963/60+Y963/3600</f>
        <v>0</v>
      </c>
      <c r="AA963" s="26">
        <f>ABS(Z963-Q963)/Q963</f>
        <v>1</v>
      </c>
      <c r="AB963" s="26"/>
      <c r="AC963" s="14">
        <f>P963</f>
        <v>48.970665046500002</v>
      </c>
      <c r="AD963" s="14">
        <f>Q963</f>
        <v>2.0777317659599999</v>
      </c>
    </row>
    <row r="964" spans="1:30" s="14" customFormat="1">
      <c r="A964" s="12">
        <v>6</v>
      </c>
      <c r="B964" s="12" t="s">
        <v>545</v>
      </c>
      <c r="C964" s="14" t="str">
        <f>VLOOKUP(B964,weights!A:B,2,FALSE)</f>
        <v>M</v>
      </c>
      <c r="D964" s="13">
        <v>962</v>
      </c>
      <c r="E964" s="14" t="s">
        <v>1097</v>
      </c>
      <c r="G964" s="15" t="s">
        <v>557</v>
      </c>
      <c r="H964" s="18"/>
      <c r="I964" s="18" t="s">
        <v>1959</v>
      </c>
      <c r="J964" s="14">
        <v>963</v>
      </c>
      <c r="K964" s="14">
        <f>VLOOKUP(B964,weights!A:G,5,FALSE)</f>
        <v>3.21</v>
      </c>
      <c r="L964" s="14">
        <f>VLOOKUP(B964,weights!A:G,6,FALSE)</f>
        <v>7</v>
      </c>
      <c r="M964" s="14">
        <f>VLOOKUP(B964,weights!A:G,7,FALSE)</f>
        <v>10</v>
      </c>
      <c r="N964" t="s">
        <v>4745</v>
      </c>
      <c r="O964">
        <v>577</v>
      </c>
      <c r="P964">
        <v>48.945795934499998</v>
      </c>
      <c r="Q964">
        <v>2.1445587568</v>
      </c>
      <c r="R964" s="22"/>
      <c r="S964" s="22"/>
      <c r="T964" s="22"/>
      <c r="U964" s="24">
        <f>R964+S964/60+T964/3600</f>
        <v>0</v>
      </c>
      <c r="V964" s="28">
        <f>ABS(U964-P964)/P964</f>
        <v>1</v>
      </c>
      <c r="W964" s="22"/>
      <c r="X964" s="22"/>
      <c r="Y964" s="22"/>
      <c r="Z964" s="14">
        <f>W964+X964/60+Y964/3600</f>
        <v>0</v>
      </c>
      <c r="AA964" s="26">
        <f>ABS(Z964-Q964)/Q964</f>
        <v>1</v>
      </c>
      <c r="AB964" s="26"/>
      <c r="AC964" s="14">
        <f>P964</f>
        <v>48.945795934499998</v>
      </c>
      <c r="AD964" s="14">
        <f>Q964</f>
        <v>2.1445587568</v>
      </c>
    </row>
    <row r="965" spans="1:30" s="14" customFormat="1">
      <c r="A965" s="12">
        <v>7</v>
      </c>
      <c r="B965" s="12" t="s">
        <v>545</v>
      </c>
      <c r="C965" s="14" t="str">
        <f>VLOOKUP(B965,weights!A:B,2,FALSE)</f>
        <v>M</v>
      </c>
      <c r="D965" s="13">
        <v>963</v>
      </c>
      <c r="E965" s="14" t="s">
        <v>1098</v>
      </c>
      <c r="G965" s="15" t="s">
        <v>557</v>
      </c>
      <c r="H965" s="18"/>
      <c r="I965" s="18" t="s">
        <v>1960</v>
      </c>
      <c r="J965" s="14">
        <v>964</v>
      </c>
      <c r="K965" s="14">
        <f>VLOOKUP(B965,weights!A:G,5,FALSE)</f>
        <v>3.21</v>
      </c>
      <c r="L965" s="14">
        <f>VLOOKUP(B965,weights!A:G,6,FALSE)</f>
        <v>7</v>
      </c>
      <c r="M965" s="14">
        <f>VLOOKUP(B965,weights!A:G,7,FALSE)</f>
        <v>10</v>
      </c>
      <c r="N965" t="s">
        <v>5661</v>
      </c>
      <c r="O965">
        <v>576</v>
      </c>
      <c r="P965">
        <v>48.937736063400003</v>
      </c>
      <c r="Q965">
        <v>2.1570864951000002</v>
      </c>
      <c r="R965" s="22"/>
      <c r="S965" s="22"/>
      <c r="T965" s="22"/>
      <c r="U965" s="24">
        <f>R965+S965/60+T965/3600</f>
        <v>0</v>
      </c>
      <c r="V965" s="28">
        <f>ABS(U965-P965)/P965</f>
        <v>1</v>
      </c>
      <c r="W965" s="22"/>
      <c r="X965" s="22"/>
      <c r="Y965" s="22"/>
      <c r="Z965" s="14">
        <f>W965+X965/60+Y965/3600</f>
        <v>0</v>
      </c>
      <c r="AA965" s="26">
        <f>ABS(Z965-Q965)/Q965</f>
        <v>1</v>
      </c>
      <c r="AB965" s="26"/>
      <c r="AC965" s="14">
        <f>P965</f>
        <v>48.937736063400003</v>
      </c>
      <c r="AD965" s="14">
        <f>Q965</f>
        <v>2.1570864951000002</v>
      </c>
    </row>
    <row r="966" spans="1:30" s="14" customFormat="1">
      <c r="A966" s="12">
        <v>8</v>
      </c>
      <c r="B966" s="12" t="s">
        <v>545</v>
      </c>
      <c r="C966" s="14" t="str">
        <f>VLOOKUP(B966,weights!A:B,2,FALSE)</f>
        <v>M</v>
      </c>
      <c r="D966" s="13">
        <v>964</v>
      </c>
      <c r="E966" s="14" t="s">
        <v>533</v>
      </c>
      <c r="G966" s="15" t="s">
        <v>1119</v>
      </c>
      <c r="H966" s="18" t="s">
        <v>1786</v>
      </c>
      <c r="I966" s="18" t="s">
        <v>1949</v>
      </c>
      <c r="J966" s="14">
        <v>965</v>
      </c>
      <c r="K966" s="14">
        <f>VLOOKUP(B966,weights!A:G,5,FALSE)</f>
        <v>3.21</v>
      </c>
      <c r="L966" s="14">
        <f>VLOOKUP(B966,weights!A:G,6,FALSE)</f>
        <v>7</v>
      </c>
      <c r="M966" s="14">
        <f>VLOOKUP(B966,weights!A:G,7,FALSE)</f>
        <v>10</v>
      </c>
      <c r="N966" t="s">
        <v>4252</v>
      </c>
      <c r="O966">
        <v>720</v>
      </c>
      <c r="P966">
        <v>48.9203793748</v>
      </c>
      <c r="Q966">
        <v>2.1853533762900001</v>
      </c>
      <c r="R966" s="22"/>
      <c r="S966" s="22"/>
      <c r="T966" s="22"/>
      <c r="U966" s="24">
        <f>R966+S966/60+T966/3600</f>
        <v>0</v>
      </c>
      <c r="V966" s="28">
        <f>ABS(U966-P966)/P966</f>
        <v>1</v>
      </c>
      <c r="W966" s="22"/>
      <c r="X966" s="22"/>
      <c r="Y966" s="22"/>
      <c r="Z966" s="14">
        <f>W966+X966/60+Y966/3600</f>
        <v>0</v>
      </c>
      <c r="AA966" s="26">
        <f>ABS(Z966-Q966)/Q966</f>
        <v>1</v>
      </c>
      <c r="AB966" s="26"/>
      <c r="AC966" s="14">
        <f>P966</f>
        <v>48.9203793748</v>
      </c>
      <c r="AD966" s="14">
        <f>Q966</f>
        <v>2.1853533762900001</v>
      </c>
    </row>
    <row r="967" spans="1:30" s="14" customFormat="1">
      <c r="A967" s="12">
        <v>9</v>
      </c>
      <c r="B967" s="12" t="s">
        <v>545</v>
      </c>
      <c r="C967" s="14" t="str">
        <f>VLOOKUP(B967,weights!A:B,2,FALSE)</f>
        <v>M</v>
      </c>
      <c r="D967" s="13">
        <v>965</v>
      </c>
      <c r="E967" s="14" t="s">
        <v>1099</v>
      </c>
      <c r="G967" s="15" t="s">
        <v>557</v>
      </c>
      <c r="H967" s="18"/>
      <c r="I967" s="18" t="s">
        <v>1961</v>
      </c>
      <c r="J967" s="14">
        <v>966</v>
      </c>
      <c r="K967" s="14">
        <f>VLOOKUP(B967,weights!A:G,5,FALSE)</f>
        <v>3.21</v>
      </c>
      <c r="L967" s="14">
        <f>VLOOKUP(B967,weights!A:G,6,FALSE)</f>
        <v>7</v>
      </c>
      <c r="M967" s="14">
        <f>VLOOKUP(B967,weights!A:G,7,FALSE)</f>
        <v>10</v>
      </c>
      <c r="N967" t="s">
        <v>4968</v>
      </c>
      <c r="O967">
        <v>574</v>
      </c>
      <c r="P967">
        <v>48.901655065500002</v>
      </c>
      <c r="Q967">
        <v>2.2151558730300001</v>
      </c>
      <c r="R967" s="22"/>
      <c r="S967" s="22"/>
      <c r="T967" s="22"/>
      <c r="U967" s="24">
        <f>R967+S967/60+T967/3600</f>
        <v>0</v>
      </c>
      <c r="V967" s="28">
        <f>ABS(U967-P967)/P967</f>
        <v>1</v>
      </c>
      <c r="W967" s="22"/>
      <c r="X967" s="22"/>
      <c r="Y967" s="22"/>
      <c r="Z967" s="14">
        <f>W967+X967/60+Y967/3600</f>
        <v>0</v>
      </c>
      <c r="AA967" s="26">
        <f>ABS(Z967-Q967)/Q967</f>
        <v>1</v>
      </c>
      <c r="AB967" s="26"/>
      <c r="AC967" s="14">
        <f>P967</f>
        <v>48.901655065500002</v>
      </c>
      <c r="AD967" s="14">
        <f>Q967</f>
        <v>2.2151558730300001</v>
      </c>
    </row>
    <row r="968" spans="1:30" s="14" customFormat="1">
      <c r="A968" s="12">
        <v>10</v>
      </c>
      <c r="B968" s="12" t="s">
        <v>545</v>
      </c>
      <c r="C968" s="14" t="str">
        <f>VLOOKUP(B968,weights!A:B,2,FALSE)</f>
        <v>M</v>
      </c>
      <c r="D968" s="13">
        <v>966</v>
      </c>
      <c r="E968" s="14" t="s">
        <v>815</v>
      </c>
      <c r="G968" s="15" t="s">
        <v>1120</v>
      </c>
      <c r="H968" s="18"/>
      <c r="I968" s="18" t="s">
        <v>1962</v>
      </c>
      <c r="J968" s="14">
        <v>967</v>
      </c>
      <c r="K968" s="14">
        <f>VLOOKUP(B968,weights!A:G,5,FALSE)</f>
        <v>3.21</v>
      </c>
      <c r="L968" s="14">
        <f>VLOOKUP(B968,weights!A:G,6,FALSE)</f>
        <v>7</v>
      </c>
      <c r="M968" s="14">
        <f>VLOOKUP(B968,weights!A:G,7,FALSE)</f>
        <v>10</v>
      </c>
      <c r="N968" t="s">
        <v>4410</v>
      </c>
      <c r="O968">
        <v>509</v>
      </c>
      <c r="P968">
        <v>48.909632934000001</v>
      </c>
      <c r="Q968">
        <v>2.2396841171099999</v>
      </c>
      <c r="R968" s="22"/>
      <c r="S968" s="22"/>
      <c r="T968" s="22"/>
      <c r="U968" s="24">
        <f>R968+S968/60+T968/3600</f>
        <v>0</v>
      </c>
      <c r="V968" s="28">
        <f>ABS(U968-P968)/P968</f>
        <v>1</v>
      </c>
      <c r="W968" s="22"/>
      <c r="X968" s="22"/>
      <c r="Y968" s="22"/>
      <c r="Z968" s="14">
        <f>W968+X968/60+Y968/3600</f>
        <v>0</v>
      </c>
      <c r="AA968" s="26">
        <f>ABS(Z968-Q968)/Q968</f>
        <v>1</v>
      </c>
      <c r="AB968" s="26"/>
      <c r="AC968" s="14">
        <f>P968</f>
        <v>48.909632934000001</v>
      </c>
      <c r="AD968" s="14">
        <f>Q968</f>
        <v>2.2396841171099999</v>
      </c>
    </row>
    <row r="969" spans="1:30" s="14" customFormat="1">
      <c r="A969" s="12">
        <v>11</v>
      </c>
      <c r="B969" s="12" t="s">
        <v>545</v>
      </c>
      <c r="C969" s="14" t="str">
        <f>VLOOKUP(B969,weights!A:B,2,FALSE)</f>
        <v>M</v>
      </c>
      <c r="D969" s="13">
        <v>967</v>
      </c>
      <c r="E969" s="14" t="s">
        <v>1100</v>
      </c>
      <c r="G969" s="15"/>
      <c r="H969" s="18"/>
      <c r="I969" s="18"/>
      <c r="J969" s="14">
        <v>987</v>
      </c>
      <c r="K969" s="14">
        <f>VLOOKUP(B969,weights!A:G,5,FALSE)</f>
        <v>3.21</v>
      </c>
      <c r="L969" s="14">
        <f>VLOOKUP(B969,weights!A:G,6,FALSE)</f>
        <v>7</v>
      </c>
      <c r="M969" s="14">
        <f>VLOOKUP(B969,weights!A:G,7,FALSE)</f>
        <v>10</v>
      </c>
      <c r="N969" t="s">
        <v>4611</v>
      </c>
      <c r="O969">
        <v>199</v>
      </c>
      <c r="P969">
        <v>48.913636863900003</v>
      </c>
      <c r="Q969">
        <v>2.2573260142199998</v>
      </c>
      <c r="R969" s="22"/>
      <c r="S969" s="22"/>
      <c r="T969" s="22"/>
      <c r="U969" s="24">
        <f>R969+S969/60+T969/3600</f>
        <v>0</v>
      </c>
      <c r="V969" s="28">
        <f>ABS(U969-P969)/P969</f>
        <v>1</v>
      </c>
      <c r="W969" s="22"/>
      <c r="X969" s="22"/>
      <c r="Y969" s="22"/>
      <c r="Z969" s="14">
        <f>W969+X969/60+Y969/3600</f>
        <v>0</v>
      </c>
      <c r="AA969" s="26">
        <f>ABS(Z969-Q969)/Q969</f>
        <v>1</v>
      </c>
      <c r="AB969" s="26"/>
      <c r="AC969" s="14">
        <f>P969</f>
        <v>48.913636863900003</v>
      </c>
      <c r="AD969" s="14">
        <f>Q969</f>
        <v>2.2573260142199998</v>
      </c>
    </row>
    <row r="970" spans="1:30" s="14" customFormat="1">
      <c r="A970" s="12">
        <v>12</v>
      </c>
      <c r="B970" s="12" t="s">
        <v>545</v>
      </c>
      <c r="C970" s="14" t="str">
        <f>VLOOKUP(B970,weights!A:B,2,FALSE)</f>
        <v>M</v>
      </c>
      <c r="D970" s="13">
        <v>968</v>
      </c>
      <c r="E970" s="14" t="s">
        <v>1101</v>
      </c>
      <c r="G970" s="15"/>
      <c r="H970" s="18"/>
      <c r="I970" s="18"/>
      <c r="J970" s="14">
        <v>969</v>
      </c>
      <c r="K970" s="14">
        <f>VLOOKUP(B970,weights!A:G,5,FALSE)</f>
        <v>3.21</v>
      </c>
      <c r="L970" s="14">
        <f>VLOOKUP(B970,weights!A:G,6,FALSE)</f>
        <v>7</v>
      </c>
      <c r="M970" s="14">
        <f>VLOOKUP(B970,weights!A:G,7,FALSE)</f>
        <v>10</v>
      </c>
      <c r="N970" t="s">
        <v>5897</v>
      </c>
      <c r="O970">
        <v>281</v>
      </c>
      <c r="P970">
        <v>48.809482263</v>
      </c>
      <c r="Q970">
        <v>2.13508745661</v>
      </c>
      <c r="R970" s="22"/>
      <c r="S970" s="22"/>
      <c r="T970" s="22"/>
      <c r="U970" s="24">
        <f>R970+S970/60+T970/3600</f>
        <v>0</v>
      </c>
      <c r="V970" s="28">
        <f>ABS(U970-P970)/P970</f>
        <v>1</v>
      </c>
      <c r="W970" s="22"/>
      <c r="X970" s="22"/>
      <c r="Y970" s="22"/>
      <c r="Z970" s="14">
        <f>W970+X970/60+Y970/3600</f>
        <v>0</v>
      </c>
      <c r="AA970" s="26">
        <f>ABS(Z970-Q970)/Q970</f>
        <v>1</v>
      </c>
      <c r="AB970" s="26"/>
      <c r="AC970" s="14">
        <f>P970</f>
        <v>48.809482263</v>
      </c>
      <c r="AD970" s="14">
        <f>Q970</f>
        <v>2.13508745661</v>
      </c>
    </row>
    <row r="971" spans="1:30" s="14" customFormat="1">
      <c r="A971" s="12">
        <v>13</v>
      </c>
      <c r="B971" s="12" t="s">
        <v>545</v>
      </c>
      <c r="C971" s="14" t="str">
        <f>VLOOKUP(B971,weights!A:B,2,FALSE)</f>
        <v>M</v>
      </c>
      <c r="D971" s="13">
        <v>969</v>
      </c>
      <c r="E971" s="14" t="s">
        <v>1102</v>
      </c>
      <c r="G971" s="15"/>
      <c r="H971" s="18"/>
      <c r="I971" s="18"/>
      <c r="J971" s="14">
        <v>970</v>
      </c>
      <c r="K971" s="14">
        <f>VLOOKUP(B971,weights!A:G,5,FALSE)</f>
        <v>3.21</v>
      </c>
      <c r="L971" s="14">
        <f>VLOOKUP(B971,weights!A:G,6,FALSE)</f>
        <v>7</v>
      </c>
      <c r="M971" s="14">
        <f>VLOOKUP(B971,weights!A:G,7,FALSE)</f>
        <v>10</v>
      </c>
      <c r="N971" t="s">
        <v>4923</v>
      </c>
      <c r="O971">
        <v>282</v>
      </c>
      <c r="P971">
        <v>48.806377449000003</v>
      </c>
      <c r="Q971">
        <v>2.1515001146500001</v>
      </c>
      <c r="R971" s="22"/>
      <c r="S971" s="22"/>
      <c r="T971" s="22"/>
      <c r="U971" s="24">
        <f>R971+S971/60+T971/3600</f>
        <v>0</v>
      </c>
      <c r="V971" s="28">
        <f>ABS(U971-P971)/P971</f>
        <v>1</v>
      </c>
      <c r="W971" s="22"/>
      <c r="X971" s="22"/>
      <c r="Y971" s="22"/>
      <c r="Z971" s="14">
        <f>W971+X971/60+Y971/3600</f>
        <v>0</v>
      </c>
      <c r="AA971" s="26">
        <f>ABS(Z971-Q971)/Q971</f>
        <v>1</v>
      </c>
      <c r="AB971" s="26"/>
      <c r="AC971" s="14">
        <f>P971</f>
        <v>48.806377449000003</v>
      </c>
      <c r="AD971" s="14">
        <f>Q971</f>
        <v>2.1515001146500001</v>
      </c>
    </row>
    <row r="972" spans="1:30" s="14" customFormat="1">
      <c r="A972" s="12">
        <v>14</v>
      </c>
      <c r="B972" s="12" t="s">
        <v>545</v>
      </c>
      <c r="C972" s="14" t="str">
        <f>VLOOKUP(B972,weights!A:B,2,FALSE)</f>
        <v>M</v>
      </c>
      <c r="D972" s="13">
        <v>970</v>
      </c>
      <c r="E972" s="14" t="s">
        <v>1103</v>
      </c>
      <c r="G972" s="15" t="s">
        <v>521</v>
      </c>
      <c r="H972" s="18"/>
      <c r="I972" s="18" t="s">
        <v>1963</v>
      </c>
      <c r="J972" s="14">
        <v>971</v>
      </c>
      <c r="K972" s="14">
        <f>VLOOKUP(B972,weights!A:G,5,FALSE)</f>
        <v>3.21</v>
      </c>
      <c r="L972" s="14">
        <f>VLOOKUP(B972,weights!A:G,6,FALSE)</f>
        <v>7</v>
      </c>
      <c r="M972" s="14">
        <f>VLOOKUP(B972,weights!A:G,7,FALSE)</f>
        <v>10</v>
      </c>
      <c r="N972" t="s">
        <v>5983</v>
      </c>
      <c r="O972">
        <v>750</v>
      </c>
      <c r="P972">
        <v>48.805493033799998</v>
      </c>
      <c r="Q972">
        <v>2.16852039696</v>
      </c>
      <c r="R972" s="22"/>
      <c r="S972" s="22"/>
      <c r="T972" s="22"/>
      <c r="U972" s="24">
        <f>R972+S972/60+T972/3600</f>
        <v>0</v>
      </c>
      <c r="V972" s="28">
        <f>ABS(U972-P972)/P972</f>
        <v>1</v>
      </c>
      <c r="W972" s="22"/>
      <c r="X972" s="22"/>
      <c r="Y972" s="22"/>
      <c r="Z972" s="14">
        <f>W972+X972/60+Y972/3600</f>
        <v>0</v>
      </c>
      <c r="AA972" s="26">
        <f>ABS(Z972-Q972)/Q972</f>
        <v>1</v>
      </c>
      <c r="AB972" s="26"/>
      <c r="AC972" s="14">
        <f>P972</f>
        <v>48.805493033799998</v>
      </c>
      <c r="AD972" s="14">
        <f>Q972</f>
        <v>2.16852039696</v>
      </c>
    </row>
    <row r="973" spans="1:30" s="14" customFormat="1">
      <c r="A973" s="12">
        <v>15</v>
      </c>
      <c r="B973" s="12" t="s">
        <v>545</v>
      </c>
      <c r="C973" s="14" t="str">
        <f>VLOOKUP(B973,weights!A:B,2,FALSE)</f>
        <v>M</v>
      </c>
      <c r="D973" s="13">
        <v>971</v>
      </c>
      <c r="E973" s="14" t="s">
        <v>1104</v>
      </c>
      <c r="G973" s="15" t="s">
        <v>1121</v>
      </c>
      <c r="H973" s="18" t="s">
        <v>1964</v>
      </c>
      <c r="I973" s="18"/>
      <c r="J973" s="14">
        <v>972</v>
      </c>
      <c r="K973" s="14">
        <f>VLOOKUP(B973,weights!A:G,5,FALSE)</f>
        <v>3.21</v>
      </c>
      <c r="L973" s="14">
        <f>VLOOKUP(B973,weights!A:G,6,FALSE)</f>
        <v>7</v>
      </c>
      <c r="M973" s="14">
        <f>VLOOKUP(B973,weights!A:G,7,FALSE)</f>
        <v>10</v>
      </c>
      <c r="N973" t="s">
        <v>3656</v>
      </c>
      <c r="O973">
        <v>766</v>
      </c>
      <c r="P973">
        <v>48.812571716299999</v>
      </c>
      <c r="Q973">
        <v>2.1882598586499999</v>
      </c>
      <c r="R973" s="22"/>
      <c r="S973" s="22"/>
      <c r="T973" s="22"/>
      <c r="U973" s="24">
        <f>R973+S973/60+T973/3600</f>
        <v>0</v>
      </c>
      <c r="V973" s="28">
        <f>ABS(U973-P973)/P973</f>
        <v>1</v>
      </c>
      <c r="W973" s="22"/>
      <c r="X973" s="22"/>
      <c r="Y973" s="22"/>
      <c r="Z973" s="14">
        <f>W973+X973/60+Y973/3600</f>
        <v>0</v>
      </c>
      <c r="AA973" s="26">
        <f>ABS(Z973-Q973)/Q973</f>
        <v>1</v>
      </c>
      <c r="AB973" s="26"/>
      <c r="AC973" s="14">
        <f>P973</f>
        <v>48.812571716299999</v>
      </c>
      <c r="AD973" s="14">
        <f>Q973</f>
        <v>2.1882598586499999</v>
      </c>
    </row>
    <row r="974" spans="1:30" s="14" customFormat="1">
      <c r="A974" s="12">
        <v>16</v>
      </c>
      <c r="B974" s="12" t="s">
        <v>545</v>
      </c>
      <c r="C974" s="14" t="str">
        <f>VLOOKUP(B974,weights!A:B,2,FALSE)</f>
        <v>M</v>
      </c>
      <c r="D974" s="13">
        <v>972</v>
      </c>
      <c r="E974" s="14" t="s">
        <v>1105</v>
      </c>
      <c r="G974" s="15" t="s">
        <v>1121</v>
      </c>
      <c r="H974" s="18" t="s">
        <v>1965</v>
      </c>
      <c r="I974" s="18"/>
      <c r="J974" s="14">
        <v>981</v>
      </c>
      <c r="K974" s="14">
        <f>VLOOKUP(B974,weights!A:G,5,FALSE)</f>
        <v>3.21</v>
      </c>
      <c r="L974" s="14">
        <f>VLOOKUP(B974,weights!A:G,6,FALSE)</f>
        <v>7</v>
      </c>
      <c r="M974" s="14">
        <f>VLOOKUP(B974,weights!A:G,7,FALSE)</f>
        <v>10</v>
      </c>
      <c r="N974" t="s">
        <v>5707</v>
      </c>
      <c r="O974">
        <v>198</v>
      </c>
      <c r="P974">
        <v>48.827238772699999</v>
      </c>
      <c r="Q974">
        <v>2.2007212566300001</v>
      </c>
      <c r="R974" s="22"/>
      <c r="S974" s="22"/>
      <c r="T974" s="22"/>
      <c r="U974" s="24">
        <f>R974+S974/60+T974/3600</f>
        <v>0</v>
      </c>
      <c r="V974" s="28">
        <f>ABS(U974-P974)/P974</f>
        <v>1</v>
      </c>
      <c r="W974" s="22"/>
      <c r="X974" s="22"/>
      <c r="Y974" s="22"/>
      <c r="Z974" s="14">
        <f>W974+X974/60+Y974/3600</f>
        <v>0</v>
      </c>
      <c r="AA974" s="26">
        <f>ABS(Z974-Q974)/Q974</f>
        <v>1</v>
      </c>
      <c r="AB974" s="26"/>
      <c r="AC974" s="14">
        <f>P974</f>
        <v>48.827238772699999</v>
      </c>
      <c r="AD974" s="14">
        <f>Q974</f>
        <v>2.2007212566300001</v>
      </c>
    </row>
    <row r="975" spans="1:30" s="14" customFormat="1">
      <c r="A975" s="12">
        <v>17</v>
      </c>
      <c r="B975" s="12" t="s">
        <v>545</v>
      </c>
      <c r="C975" s="14" t="str">
        <f>VLOOKUP(B975,weights!A:B,2,FALSE)</f>
        <v>M</v>
      </c>
      <c r="D975" s="13">
        <v>973</v>
      </c>
      <c r="E975" s="14" t="s">
        <v>1106</v>
      </c>
      <c r="G975" s="15" t="s">
        <v>545</v>
      </c>
      <c r="H975" s="18" t="s">
        <v>1966</v>
      </c>
      <c r="I975" s="18"/>
      <c r="J975" s="14">
        <v>974.99300000000005</v>
      </c>
      <c r="K975" s="14">
        <f>VLOOKUP(B975,weights!A:G,5,FALSE)</f>
        <v>3.21</v>
      </c>
      <c r="L975" s="14">
        <f>VLOOKUP(B975,weights!A:G,6,FALSE)</f>
        <v>7</v>
      </c>
      <c r="M975" s="14">
        <f>VLOOKUP(B975,weights!A:G,7,FALSE)</f>
        <v>10</v>
      </c>
      <c r="N975" t="s">
        <v>5607</v>
      </c>
      <c r="O975">
        <v>83</v>
      </c>
      <c r="P975">
        <v>48.867792098599999</v>
      </c>
      <c r="Q975">
        <v>2.0507678453199998</v>
      </c>
      <c r="R975" s="22"/>
      <c r="S975" s="22"/>
      <c r="T975" s="22"/>
      <c r="U975" s="24">
        <f>R975+S975/60+T975/3600</f>
        <v>0</v>
      </c>
      <c r="V975" s="28">
        <f>ABS(U975-P975)/P975</f>
        <v>1</v>
      </c>
      <c r="W975" s="22"/>
      <c r="X975" s="22"/>
      <c r="Y975" s="22"/>
      <c r="Z975" s="14">
        <f>W975+X975/60+Y975/3600</f>
        <v>0</v>
      </c>
      <c r="AA975" s="26">
        <f>ABS(Z975-Q975)/Q975</f>
        <v>1</v>
      </c>
      <c r="AB975" s="26"/>
      <c r="AC975" s="14">
        <f>P975</f>
        <v>48.867792098599999</v>
      </c>
      <c r="AD975" s="14">
        <f>Q975</f>
        <v>2.0507678453199998</v>
      </c>
    </row>
    <row r="976" spans="1:30" s="14" customFormat="1">
      <c r="A976" s="12">
        <v>18</v>
      </c>
      <c r="B976" s="12" t="s">
        <v>545</v>
      </c>
      <c r="C976" s="14" t="str">
        <f>VLOOKUP(B976,weights!A:B,2,FALSE)</f>
        <v>M</v>
      </c>
      <c r="D976" s="13">
        <v>974</v>
      </c>
      <c r="E976" s="14" t="s">
        <v>1107</v>
      </c>
      <c r="G976" s="15"/>
      <c r="H976" s="18"/>
      <c r="I976" s="18"/>
      <c r="J976" s="14">
        <v>975</v>
      </c>
      <c r="K976" s="14">
        <f>VLOOKUP(B976,weights!A:G,5,FALSE)</f>
        <v>3.21</v>
      </c>
      <c r="L976" s="14">
        <f>VLOOKUP(B976,weights!A:G,6,FALSE)</f>
        <v>7</v>
      </c>
      <c r="M976" s="14">
        <f>VLOOKUP(B976,weights!A:G,7,FALSE)</f>
        <v>10</v>
      </c>
      <c r="N976" t="s">
        <v>4357</v>
      </c>
      <c r="O976">
        <v>747</v>
      </c>
      <c r="P976">
        <v>48.868064423200003</v>
      </c>
      <c r="Q976">
        <v>2.0767191026799998</v>
      </c>
      <c r="R976" s="22"/>
      <c r="S976" s="22"/>
      <c r="T976" s="22"/>
      <c r="U976" s="24">
        <f>R976+S976/60+T976/3600</f>
        <v>0</v>
      </c>
      <c r="V976" s="28">
        <f>ABS(U976-P976)/P976</f>
        <v>1</v>
      </c>
      <c r="W976" s="22"/>
      <c r="X976" s="22"/>
      <c r="Y976" s="22"/>
      <c r="Z976" s="14">
        <f>W976+X976/60+Y976/3600</f>
        <v>0</v>
      </c>
      <c r="AA976" s="26">
        <f>ABS(Z976-Q976)/Q976</f>
        <v>1</v>
      </c>
      <c r="AB976" s="26"/>
      <c r="AC976" s="14">
        <f>P976</f>
        <v>48.868064423200003</v>
      </c>
      <c r="AD976" s="14">
        <f>Q976</f>
        <v>2.0767191026799998</v>
      </c>
    </row>
    <row r="977" spans="1:30" s="14" customFormat="1">
      <c r="A977" s="12">
        <v>19</v>
      </c>
      <c r="B977" s="12" t="s">
        <v>545</v>
      </c>
      <c r="C977" s="14" t="str">
        <f>VLOOKUP(B977,weights!A:B,2,FALSE)</f>
        <v>M</v>
      </c>
      <c r="D977" s="13">
        <v>975</v>
      </c>
      <c r="E977" s="14" t="s">
        <v>1108</v>
      </c>
      <c r="G977" s="15"/>
      <c r="H977" s="18"/>
      <c r="I977" s="18"/>
      <c r="J977" s="14">
        <v>976</v>
      </c>
      <c r="K977" s="14">
        <f>VLOOKUP(B977,weights!A:G,5,FALSE)</f>
        <v>3.21</v>
      </c>
      <c r="L977" s="14">
        <f>VLOOKUP(B977,weights!A:G,6,FALSE)</f>
        <v>7</v>
      </c>
      <c r="M977" s="14">
        <f>VLOOKUP(B977,weights!A:G,7,FALSE)</f>
        <v>10</v>
      </c>
      <c r="N977" t="s">
        <v>4800</v>
      </c>
      <c r="O977">
        <v>748</v>
      </c>
      <c r="P977">
        <v>48.8715031037</v>
      </c>
      <c r="Q977">
        <v>2.0965482527599999</v>
      </c>
      <c r="R977" s="22"/>
      <c r="S977" s="22"/>
      <c r="T977" s="22"/>
      <c r="U977" s="24">
        <f>R977+S977/60+T977/3600</f>
        <v>0</v>
      </c>
      <c r="V977" s="28">
        <f>ABS(U977-P977)/P977</f>
        <v>1</v>
      </c>
      <c r="W977" s="22"/>
      <c r="X977" s="22"/>
      <c r="Y977" s="22"/>
      <c r="Z977" s="14">
        <f>W977+X977/60+Y977/3600</f>
        <v>0</v>
      </c>
      <c r="AA977" s="26">
        <f>ABS(Z977-Q977)/Q977</f>
        <v>1</v>
      </c>
      <c r="AB977" s="26"/>
      <c r="AC977" s="14">
        <f>P977</f>
        <v>48.8715031037</v>
      </c>
      <c r="AD977" s="14">
        <f>Q977</f>
        <v>2.0965482527599999</v>
      </c>
    </row>
    <row r="978" spans="1:30" s="14" customFormat="1">
      <c r="A978" s="12">
        <v>20</v>
      </c>
      <c r="B978" s="12" t="s">
        <v>545</v>
      </c>
      <c r="C978" s="14" t="str">
        <f>VLOOKUP(B978,weights!A:B,2,FALSE)</f>
        <v>M</v>
      </c>
      <c r="D978" s="13">
        <v>976</v>
      </c>
      <c r="E978" s="14" t="s">
        <v>1109</v>
      </c>
      <c r="G978" s="15"/>
      <c r="H978" s="18"/>
      <c r="I978" s="18"/>
      <c r="J978" s="14">
        <v>977</v>
      </c>
      <c r="K978" s="14">
        <f>VLOOKUP(B978,weights!A:G,5,FALSE)</f>
        <v>3.21</v>
      </c>
      <c r="L978" s="14">
        <f>VLOOKUP(B978,weights!A:G,6,FALSE)</f>
        <v>7</v>
      </c>
      <c r="M978" s="14">
        <f>VLOOKUP(B978,weights!A:G,7,FALSE)</f>
        <v>10</v>
      </c>
      <c r="N978" t="s">
        <v>4663</v>
      </c>
      <c r="O978">
        <v>187</v>
      </c>
      <c r="P978">
        <v>48.861214528600001</v>
      </c>
      <c r="Q978">
        <v>2.1231910959600002</v>
      </c>
      <c r="R978" s="22"/>
      <c r="S978" s="22"/>
      <c r="T978" s="22"/>
      <c r="U978" s="24">
        <f>R978+S978/60+T978/3600</f>
        <v>0</v>
      </c>
      <c r="V978" s="28">
        <f>ABS(U978-P978)/P978</f>
        <v>1</v>
      </c>
      <c r="W978" s="22"/>
      <c r="X978" s="22"/>
      <c r="Y978" s="22"/>
      <c r="Z978" s="14">
        <f>W978+X978/60+Y978/3600</f>
        <v>0</v>
      </c>
      <c r="AA978" s="26">
        <f>ABS(Z978-Q978)/Q978</f>
        <v>1</v>
      </c>
      <c r="AB978" s="26"/>
      <c r="AC978" s="14">
        <f>P978</f>
        <v>48.861214528600001</v>
      </c>
      <c r="AD978" s="14">
        <f>Q978</f>
        <v>2.1231910959600002</v>
      </c>
    </row>
    <row r="979" spans="1:30" s="14" customFormat="1">
      <c r="A979" s="12">
        <v>21</v>
      </c>
      <c r="B979" s="12" t="s">
        <v>545</v>
      </c>
      <c r="C979" s="14" t="str">
        <f>VLOOKUP(B979,weights!A:B,2,FALSE)</f>
        <v>M</v>
      </c>
      <c r="D979" s="13">
        <v>977</v>
      </c>
      <c r="E979" s="14" t="s">
        <v>1110</v>
      </c>
      <c r="G979" s="15"/>
      <c r="H979" s="18"/>
      <c r="I979" s="18"/>
      <c r="J979" s="14">
        <v>978</v>
      </c>
      <c r="K979" s="14">
        <f>VLOOKUP(B979,weights!A:G,5,FALSE)</f>
        <v>3.21</v>
      </c>
      <c r="L979" s="14">
        <f>VLOOKUP(B979,weights!A:G,6,FALSE)</f>
        <v>7</v>
      </c>
      <c r="M979" s="14">
        <f>VLOOKUP(B979,weights!A:G,7,FALSE)</f>
        <v>10</v>
      </c>
      <c r="N979" t="s">
        <v>3411</v>
      </c>
      <c r="O979">
        <v>93</v>
      </c>
      <c r="P979">
        <v>48.854251702600003</v>
      </c>
      <c r="Q979">
        <v>2.1321324452699999</v>
      </c>
      <c r="R979" s="22"/>
      <c r="S979" s="22"/>
      <c r="T979" s="22"/>
      <c r="U979" s="24">
        <f>R979+S979/60+T979/3600</f>
        <v>0</v>
      </c>
      <c r="V979" s="28">
        <f>ABS(U979-P979)/P979</f>
        <v>1</v>
      </c>
      <c r="W979" s="22"/>
      <c r="X979" s="22"/>
      <c r="Y979" s="22"/>
      <c r="Z979" s="14">
        <f>W979+X979/60+Y979/3600</f>
        <v>0</v>
      </c>
      <c r="AA979" s="26">
        <f>ABS(Z979-Q979)/Q979</f>
        <v>1</v>
      </c>
      <c r="AB979" s="26"/>
      <c r="AC979" s="14">
        <f>P979</f>
        <v>48.854251702600003</v>
      </c>
      <c r="AD979" s="14">
        <f>Q979</f>
        <v>2.1321324452699999</v>
      </c>
    </row>
    <row r="980" spans="1:30" s="14" customFormat="1">
      <c r="A980" s="12">
        <v>22</v>
      </c>
      <c r="B980" s="12" t="s">
        <v>545</v>
      </c>
      <c r="C980" s="14" t="str">
        <f>VLOOKUP(B980,weights!A:B,2,FALSE)</f>
        <v>M</v>
      </c>
      <c r="D980" s="13">
        <v>978</v>
      </c>
      <c r="E980" s="14" t="s">
        <v>1111</v>
      </c>
      <c r="G980" s="15"/>
      <c r="H980" s="18"/>
      <c r="I980" s="18"/>
      <c r="J980" s="14">
        <v>979</v>
      </c>
      <c r="K980" s="14">
        <f>VLOOKUP(B980,weights!A:G,5,FALSE)</f>
        <v>3.21</v>
      </c>
      <c r="L980" s="14">
        <f>VLOOKUP(B980,weights!A:G,6,FALSE)</f>
        <v>7</v>
      </c>
      <c r="M980" s="14">
        <f>VLOOKUP(B980,weights!A:G,7,FALSE)</f>
        <v>10</v>
      </c>
      <c r="N980" t="s">
        <v>4375</v>
      </c>
      <c r="O980">
        <v>749</v>
      </c>
      <c r="P980">
        <v>48.842719956099998</v>
      </c>
      <c r="Q980">
        <v>2.1381250573899999</v>
      </c>
      <c r="R980" s="22"/>
      <c r="S980" s="22"/>
      <c r="T980" s="22"/>
      <c r="U980" s="24">
        <f>R980+S980/60+T980/3600</f>
        <v>0</v>
      </c>
      <c r="V980" s="28">
        <f>ABS(U980-P980)/P980</f>
        <v>1</v>
      </c>
      <c r="W980" s="22"/>
      <c r="X980" s="22"/>
      <c r="Y980" s="22"/>
      <c r="Z980" s="14">
        <f>W980+X980/60+Y980/3600</f>
        <v>0</v>
      </c>
      <c r="AA980" s="26">
        <f>ABS(Z980-Q980)/Q980</f>
        <v>1</v>
      </c>
      <c r="AB980" s="26"/>
      <c r="AC980" s="14">
        <f>P980</f>
        <v>48.842719956099998</v>
      </c>
      <c r="AD980" s="14">
        <f>Q980</f>
        <v>2.1381250573899999</v>
      </c>
    </row>
    <row r="981" spans="1:30" s="14" customFormat="1">
      <c r="A981" s="12">
        <v>23</v>
      </c>
      <c r="B981" s="12" t="s">
        <v>545</v>
      </c>
      <c r="C981" s="14" t="str">
        <f>VLOOKUP(B981,weights!A:B,2,FALSE)</f>
        <v>M</v>
      </c>
      <c r="D981" s="13">
        <v>979</v>
      </c>
      <c r="E981" s="14" t="s">
        <v>1112</v>
      </c>
      <c r="G981" s="15"/>
      <c r="H981" s="18"/>
      <c r="I981" s="18"/>
      <c r="J981" s="14">
        <v>980</v>
      </c>
      <c r="K981" s="14">
        <f>VLOOKUP(B981,weights!A:G,5,FALSE)</f>
        <v>3.21</v>
      </c>
      <c r="L981" s="14">
        <f>VLOOKUP(B981,weights!A:G,6,FALSE)</f>
        <v>7</v>
      </c>
      <c r="M981" s="14">
        <f>VLOOKUP(B981,weights!A:G,7,FALSE)</f>
        <v>10</v>
      </c>
      <c r="N981" t="s">
        <v>5867</v>
      </c>
      <c r="O981">
        <v>767</v>
      </c>
      <c r="P981">
        <v>48.836643316299998</v>
      </c>
      <c r="Q981">
        <v>2.1526974030299999</v>
      </c>
      <c r="R981" s="22"/>
      <c r="S981" s="22"/>
      <c r="T981" s="22"/>
      <c r="U981" s="24">
        <f>R981+S981/60+T981/3600</f>
        <v>0</v>
      </c>
      <c r="V981" s="28">
        <f>ABS(U981-P981)/P981</f>
        <v>1</v>
      </c>
      <c r="W981" s="22"/>
      <c r="X981" s="22"/>
      <c r="Y981" s="22"/>
      <c r="Z981" s="14">
        <f>W981+X981/60+Y981/3600</f>
        <v>0</v>
      </c>
      <c r="AA981" s="26">
        <f>ABS(Z981-Q981)/Q981</f>
        <v>1</v>
      </c>
      <c r="AB981" s="26"/>
      <c r="AC981" s="14">
        <f>P981</f>
        <v>48.836643316299998</v>
      </c>
      <c r="AD981" s="14">
        <f>Q981</f>
        <v>2.1526974030299999</v>
      </c>
    </row>
    <row r="982" spans="1:30" s="14" customFormat="1">
      <c r="A982" s="12">
        <v>24</v>
      </c>
      <c r="B982" s="12" t="s">
        <v>545</v>
      </c>
      <c r="C982" s="14" t="str">
        <f>VLOOKUP(B982,weights!A:B,2,FALSE)</f>
        <v>M</v>
      </c>
      <c r="D982" s="13">
        <v>980</v>
      </c>
      <c r="E982" s="14" t="s">
        <v>1113</v>
      </c>
      <c r="G982" s="15"/>
      <c r="H982" s="18"/>
      <c r="I982" s="18"/>
      <c r="J982" s="14">
        <v>981</v>
      </c>
      <c r="K982" s="14">
        <f>VLOOKUP(B982,weights!A:G,5,FALSE)</f>
        <v>3.21</v>
      </c>
      <c r="L982" s="14">
        <f>VLOOKUP(B982,weights!A:G,6,FALSE)</f>
        <v>7</v>
      </c>
      <c r="M982" s="14">
        <f>VLOOKUP(B982,weights!A:G,7,FALSE)</f>
        <v>10</v>
      </c>
      <c r="N982" t="s">
        <v>4095</v>
      </c>
      <c r="O982">
        <v>409</v>
      </c>
      <c r="P982">
        <v>48.838282547799999</v>
      </c>
      <c r="Q982">
        <v>2.1871107137900001</v>
      </c>
      <c r="R982" s="22"/>
      <c r="S982" s="22"/>
      <c r="T982" s="22"/>
      <c r="U982" s="24">
        <f>R982+S982/60+T982/3600</f>
        <v>0</v>
      </c>
      <c r="V982" s="28">
        <f>ABS(U982-P982)/P982</f>
        <v>1</v>
      </c>
      <c r="W982" s="22"/>
      <c r="X982" s="22"/>
      <c r="Y982" s="22"/>
      <c r="Z982" s="14">
        <f>W982+X982/60+Y982/3600</f>
        <v>0</v>
      </c>
      <c r="AA982" s="26">
        <f>ABS(Z982-Q982)/Q982</f>
        <v>1</v>
      </c>
      <c r="AB982" s="26"/>
      <c r="AC982" s="14">
        <f>P982</f>
        <v>48.838282547799999</v>
      </c>
      <c r="AD982" s="14">
        <f>Q982</f>
        <v>2.1871107137900001</v>
      </c>
    </row>
    <row r="983" spans="1:30" s="14" customFormat="1">
      <c r="A983" s="12">
        <v>25</v>
      </c>
      <c r="B983" s="12" t="s">
        <v>545</v>
      </c>
      <c r="C983" s="14" t="str">
        <f>VLOOKUP(B983,weights!A:B,2,FALSE)</f>
        <v>M</v>
      </c>
      <c r="D983" s="13">
        <v>981</v>
      </c>
      <c r="E983" s="14" t="s">
        <v>825</v>
      </c>
      <c r="G983" s="15" t="s">
        <v>1122</v>
      </c>
      <c r="H983" s="18" t="s">
        <v>1967</v>
      </c>
      <c r="I983" s="18" t="s">
        <v>1968</v>
      </c>
      <c r="J983" s="14">
        <v>982</v>
      </c>
      <c r="K983" s="14">
        <f>VLOOKUP(B983,weights!A:G,5,FALSE)</f>
        <v>3.21</v>
      </c>
      <c r="L983" s="14">
        <f>VLOOKUP(B983,weights!A:G,6,FALSE)</f>
        <v>7</v>
      </c>
      <c r="M983" s="14">
        <f>VLOOKUP(B983,weights!A:G,7,FALSE)</f>
        <v>10</v>
      </c>
      <c r="N983" t="s">
        <v>5521</v>
      </c>
      <c r="O983">
        <v>297</v>
      </c>
      <c r="P983">
        <v>48.846102948599999</v>
      </c>
      <c r="Q983">
        <v>2.2176210808899999</v>
      </c>
      <c r="R983" s="22"/>
      <c r="S983" s="22"/>
      <c r="T983" s="22"/>
      <c r="U983" s="24">
        <f>R983+S983/60+T983/3600</f>
        <v>0</v>
      </c>
      <c r="V983" s="28">
        <f>ABS(U983-P983)/P983</f>
        <v>1</v>
      </c>
      <c r="W983" s="22"/>
      <c r="X983" s="22"/>
      <c r="Y983" s="22"/>
      <c r="Z983" s="14">
        <f>W983+X983/60+Y983/3600</f>
        <v>0</v>
      </c>
      <c r="AA983" s="26">
        <f>ABS(Z983-Q983)/Q983</f>
        <v>1</v>
      </c>
      <c r="AB983" s="26"/>
      <c r="AC983" s="14">
        <f>P983</f>
        <v>48.846102948599999</v>
      </c>
      <c r="AD983" s="14">
        <f>Q983</f>
        <v>2.2176210808899999</v>
      </c>
    </row>
    <row r="984" spans="1:30" s="14" customFormat="1">
      <c r="A984" s="12">
        <v>26</v>
      </c>
      <c r="B984" s="12" t="s">
        <v>545</v>
      </c>
      <c r="C984" s="14" t="str">
        <f>VLOOKUP(B984,weights!A:B,2,FALSE)</f>
        <v>M</v>
      </c>
      <c r="D984" s="13">
        <v>982</v>
      </c>
      <c r="E984" s="14" t="s">
        <v>1114</v>
      </c>
      <c r="G984" s="15" t="s">
        <v>1123</v>
      </c>
      <c r="H984" s="18"/>
      <c r="I984" s="18" t="s">
        <v>1969</v>
      </c>
      <c r="J984" s="14">
        <v>983</v>
      </c>
      <c r="K984" s="14">
        <f>VLOOKUP(B984,weights!A:G,5,FALSE)</f>
        <v>3.21</v>
      </c>
      <c r="L984" s="14">
        <f>VLOOKUP(B984,weights!A:G,6,FALSE)</f>
        <v>7</v>
      </c>
      <c r="M984" s="14">
        <f>VLOOKUP(B984,weights!A:G,7,FALSE)</f>
        <v>10</v>
      </c>
      <c r="N984" t="s">
        <v>4524</v>
      </c>
      <c r="O984">
        <v>507</v>
      </c>
      <c r="P984">
        <v>48.856419991400003</v>
      </c>
      <c r="Q984">
        <v>2.2165722377899999</v>
      </c>
      <c r="R984" s="22"/>
      <c r="S984" s="22"/>
      <c r="T984" s="22"/>
      <c r="U984" s="24">
        <f>R984+S984/60+T984/3600</f>
        <v>0</v>
      </c>
      <c r="V984" s="28">
        <f>ABS(U984-P984)/P984</f>
        <v>1</v>
      </c>
      <c r="W984" s="22"/>
      <c r="X984" s="22"/>
      <c r="Y984" s="22"/>
      <c r="Z984" s="14">
        <f>W984+X984/60+Y984/3600</f>
        <v>0</v>
      </c>
      <c r="AA984" s="26">
        <f>ABS(Z984-Q984)/Q984</f>
        <v>1</v>
      </c>
      <c r="AB984" s="26"/>
      <c r="AC984" s="14">
        <f>P984</f>
        <v>48.856419991400003</v>
      </c>
      <c r="AD984" s="14">
        <f>Q984</f>
        <v>2.2165722377899999</v>
      </c>
    </row>
    <row r="985" spans="1:30" s="14" customFormat="1">
      <c r="A985" s="12">
        <v>27</v>
      </c>
      <c r="B985" s="12" t="s">
        <v>545</v>
      </c>
      <c r="C985" s="14" t="str">
        <f>VLOOKUP(B985,weights!A:B,2,FALSE)</f>
        <v>M</v>
      </c>
      <c r="D985" s="13">
        <v>983</v>
      </c>
      <c r="E985" s="14" t="s">
        <v>1115</v>
      </c>
      <c r="G985" s="15" t="s">
        <v>1125</v>
      </c>
      <c r="H985" s="18" t="s">
        <v>1970</v>
      </c>
      <c r="I985" s="18" t="s">
        <v>1971</v>
      </c>
      <c r="J985" s="14">
        <v>984</v>
      </c>
      <c r="K985" s="14">
        <f>VLOOKUP(B985,weights!A:G,5,FALSE)</f>
        <v>3.21</v>
      </c>
      <c r="L985" s="14">
        <f>VLOOKUP(B985,weights!A:G,6,FALSE)</f>
        <v>7</v>
      </c>
      <c r="M985" s="14">
        <f>VLOOKUP(B985,weights!A:G,7,FALSE)</f>
        <v>10</v>
      </c>
      <c r="N985" t="s">
        <v>5754</v>
      </c>
      <c r="O985">
        <v>508</v>
      </c>
      <c r="P985">
        <v>48.871714186600002</v>
      </c>
      <c r="Q985">
        <v>2.2210295477700002</v>
      </c>
      <c r="R985" s="22"/>
      <c r="S985" s="22"/>
      <c r="T985" s="22"/>
      <c r="U985" s="24">
        <f>R985+S985/60+T985/3600</f>
        <v>0</v>
      </c>
      <c r="V985" s="28">
        <f>ABS(U985-P985)/P985</f>
        <v>1</v>
      </c>
      <c r="W985" s="22"/>
      <c r="X985" s="22"/>
      <c r="Y985" s="22"/>
      <c r="Z985" s="14">
        <f>W985+X985/60+Y985/3600</f>
        <v>0</v>
      </c>
      <c r="AA985" s="26">
        <f>ABS(Z985-Q985)/Q985</f>
        <v>1</v>
      </c>
      <c r="AB985" s="26"/>
      <c r="AC985" s="14">
        <f>P985</f>
        <v>48.871714186600002</v>
      </c>
      <c r="AD985" s="14">
        <f>Q985</f>
        <v>2.2210295477700002</v>
      </c>
    </row>
    <row r="986" spans="1:30" s="14" customFormat="1">
      <c r="A986" s="12">
        <v>28</v>
      </c>
      <c r="B986" s="12" t="s">
        <v>545</v>
      </c>
      <c r="C986" s="14" t="str">
        <f>VLOOKUP(B986,weights!A:B,2,FALSE)</f>
        <v>M</v>
      </c>
      <c r="D986" s="13">
        <v>984</v>
      </c>
      <c r="E986" s="14" t="s">
        <v>820</v>
      </c>
      <c r="G986" s="15" t="s">
        <v>1124</v>
      </c>
      <c r="H986" s="18" t="s">
        <v>1972</v>
      </c>
      <c r="I986" s="18" t="s">
        <v>1973</v>
      </c>
      <c r="J986" s="14">
        <v>985</v>
      </c>
      <c r="K986" s="14">
        <f>VLOOKUP(B986,weights!A:G,5,FALSE)</f>
        <v>3.21</v>
      </c>
      <c r="L986" s="14">
        <f>VLOOKUP(B986,weights!A:G,6,FALSE)</f>
        <v>7</v>
      </c>
      <c r="M986" s="14">
        <f>VLOOKUP(B986,weights!A:G,7,FALSE)</f>
        <v>10</v>
      </c>
      <c r="N986" t="s">
        <v>5393</v>
      </c>
      <c r="O986">
        <v>573</v>
      </c>
      <c r="P986">
        <v>48.883362341900003</v>
      </c>
      <c r="Q986">
        <v>2.2337816806499999</v>
      </c>
      <c r="R986" s="22"/>
      <c r="S986" s="22"/>
      <c r="T986" s="22"/>
      <c r="U986" s="24">
        <f>R986+S986/60+T986/3600</f>
        <v>0</v>
      </c>
      <c r="V986" s="28">
        <f>ABS(U986-P986)/P986</f>
        <v>1</v>
      </c>
      <c r="W986" s="22"/>
      <c r="X986" s="22"/>
      <c r="Y986" s="22"/>
      <c r="Z986" s="14">
        <f>W986+X986/60+Y986/3600</f>
        <v>0</v>
      </c>
      <c r="AA986" s="26">
        <f>ABS(Z986-Q986)/Q986</f>
        <v>1</v>
      </c>
      <c r="AB986" s="26"/>
      <c r="AC986" s="14">
        <f>P986</f>
        <v>48.883362341900003</v>
      </c>
      <c r="AD986" s="14">
        <f>Q986</f>
        <v>2.2337816806499999</v>
      </c>
    </row>
    <row r="987" spans="1:30" s="14" customFormat="1">
      <c r="A987" s="12">
        <v>29</v>
      </c>
      <c r="B987" s="12" t="s">
        <v>545</v>
      </c>
      <c r="C987" s="14" t="str">
        <f>VLOOKUP(B987,weights!A:B,2,FALSE)</f>
        <v>M</v>
      </c>
      <c r="D987" s="13">
        <v>985</v>
      </c>
      <c r="E987" s="14" t="s">
        <v>68</v>
      </c>
      <c r="G987" s="15" t="s">
        <v>1126</v>
      </c>
      <c r="H987" s="18" t="s">
        <v>1974</v>
      </c>
      <c r="I987" s="18" t="s">
        <v>1581</v>
      </c>
      <c r="J987" s="14">
        <v>986</v>
      </c>
      <c r="K987" s="14">
        <f>VLOOKUP(B987,weights!A:G,5,FALSE)</f>
        <v>3.21</v>
      </c>
      <c r="L987" s="14">
        <f>VLOOKUP(B987,weights!A:G,6,FALSE)</f>
        <v>7</v>
      </c>
      <c r="M987" s="14">
        <f>VLOOKUP(B987,weights!A:G,7,FALSE)</f>
        <v>10</v>
      </c>
      <c r="N987" t="s">
        <v>4391</v>
      </c>
      <c r="O987">
        <v>719</v>
      </c>
      <c r="P987">
        <v>48.892187076399999</v>
      </c>
      <c r="Q987">
        <v>2.2370180564000002</v>
      </c>
      <c r="R987" s="22"/>
      <c r="S987" s="22"/>
      <c r="T987" s="22"/>
      <c r="U987" s="24">
        <f>R987+S987/60+T987/3600</f>
        <v>0</v>
      </c>
      <c r="V987" s="28">
        <f>ABS(U987-P987)/P987</f>
        <v>1</v>
      </c>
      <c r="W987" s="22"/>
      <c r="X987" s="22"/>
      <c r="Y987" s="22"/>
      <c r="Z987" s="14">
        <f>W987+X987/60+Y987/3600</f>
        <v>0</v>
      </c>
      <c r="AA987" s="26">
        <f>ABS(Z987-Q987)/Q987</f>
        <v>1</v>
      </c>
      <c r="AB987" s="26"/>
      <c r="AC987" s="14">
        <f>P987</f>
        <v>48.892187076399999</v>
      </c>
      <c r="AD987" s="14">
        <f>Q987</f>
        <v>2.2370180564000002</v>
      </c>
    </row>
    <row r="988" spans="1:30" s="14" customFormat="1">
      <c r="A988" s="12">
        <v>30</v>
      </c>
      <c r="B988" s="12" t="s">
        <v>545</v>
      </c>
      <c r="C988" s="14" t="str">
        <f>VLOOKUP(B988,weights!A:B,2,FALSE)</f>
        <v>M</v>
      </c>
      <c r="D988" s="13">
        <v>986</v>
      </c>
      <c r="E988" s="14" t="s">
        <v>818</v>
      </c>
      <c r="G988" s="15"/>
      <c r="H988" s="18"/>
      <c r="I988" s="18"/>
      <c r="J988" s="14">
        <v>987</v>
      </c>
      <c r="K988" s="14">
        <f>VLOOKUP(B988,weights!A:G,5,FALSE)</f>
        <v>3.21</v>
      </c>
      <c r="L988" s="14">
        <f>VLOOKUP(B988,weights!A:G,6,FALSE)</f>
        <v>7</v>
      </c>
      <c r="M988" s="14">
        <f>VLOOKUP(B988,weights!A:G,7,FALSE)</f>
        <v>10</v>
      </c>
      <c r="N988" t="s">
        <v>3781</v>
      </c>
      <c r="O988">
        <v>769</v>
      </c>
      <c r="P988">
        <v>48.898118874799998</v>
      </c>
      <c r="Q988">
        <v>2.2479428442399998</v>
      </c>
      <c r="R988" s="22"/>
      <c r="S988" s="22"/>
      <c r="T988" s="22"/>
      <c r="U988" s="24">
        <f>R988+S988/60+T988/3600</f>
        <v>0</v>
      </c>
      <c r="V988" s="28">
        <f>ABS(U988-P988)/P988</f>
        <v>1</v>
      </c>
      <c r="W988" s="22"/>
      <c r="X988" s="22"/>
      <c r="Y988" s="22"/>
      <c r="Z988" s="14">
        <f>W988+X988/60+Y988/3600</f>
        <v>0</v>
      </c>
      <c r="AA988" s="26">
        <f>ABS(Z988-Q988)/Q988</f>
        <v>1</v>
      </c>
      <c r="AB988" s="26"/>
      <c r="AC988" s="14">
        <f>P988</f>
        <v>48.898118874799998</v>
      </c>
      <c r="AD988" s="14">
        <f>Q988</f>
        <v>2.2479428442399998</v>
      </c>
    </row>
    <row r="989" spans="1:30" s="14" customFormat="1">
      <c r="A989" s="12">
        <v>31</v>
      </c>
      <c r="B989" s="12" t="s">
        <v>545</v>
      </c>
      <c r="C989" s="14" t="str">
        <f>VLOOKUP(B989,weights!A:B,2,FALSE)</f>
        <v>M</v>
      </c>
      <c r="D989" s="13">
        <v>987</v>
      </c>
      <c r="E989" s="14" t="s">
        <v>1116</v>
      </c>
      <c r="G989" s="15"/>
      <c r="H989" s="18"/>
      <c r="I989" s="18"/>
      <c r="J989" s="14">
        <v>988</v>
      </c>
      <c r="K989" s="14">
        <f>VLOOKUP(B989,weights!A:G,5,FALSE)</f>
        <v>3.21</v>
      </c>
      <c r="L989" s="14">
        <f>VLOOKUP(B989,weights!A:G,6,FALSE)</f>
        <v>7</v>
      </c>
      <c r="M989" s="14">
        <f>VLOOKUP(B989,weights!A:G,7,FALSE)</f>
        <v>10</v>
      </c>
      <c r="N989" t="s">
        <v>3297</v>
      </c>
      <c r="O989">
        <v>411</v>
      </c>
      <c r="P989">
        <v>48.905762657099999</v>
      </c>
      <c r="Q989">
        <v>2.2699647791899999</v>
      </c>
      <c r="R989" s="22"/>
      <c r="S989" s="22"/>
      <c r="T989" s="22"/>
      <c r="U989" s="24">
        <f>R989+S989/60+T989/3600</f>
        <v>0</v>
      </c>
      <c r="V989" s="28">
        <f>ABS(U989-P989)/P989</f>
        <v>1</v>
      </c>
      <c r="W989" s="22"/>
      <c r="X989" s="22"/>
      <c r="Y989" s="22"/>
      <c r="Z989" s="14">
        <f>W989+X989/60+Y989/3600</f>
        <v>0</v>
      </c>
      <c r="AA989" s="26">
        <f>ABS(Z989-Q989)/Q989</f>
        <v>1</v>
      </c>
      <c r="AB989" s="26"/>
      <c r="AC989" s="14">
        <f>P989</f>
        <v>48.905762657099999</v>
      </c>
      <c r="AD989" s="14">
        <f>Q989</f>
        <v>2.2699647791899999</v>
      </c>
    </row>
    <row r="990" spans="1:30" s="14" customFormat="1">
      <c r="A990" s="12">
        <v>32</v>
      </c>
      <c r="B990" s="12" t="s">
        <v>545</v>
      </c>
      <c r="C990" s="14" t="str">
        <f>VLOOKUP(B990,weights!A:B,2,FALSE)</f>
        <v>M</v>
      </c>
      <c r="D990" s="13">
        <v>988</v>
      </c>
      <c r="E990" s="14" t="s">
        <v>773</v>
      </c>
      <c r="G990" s="15" t="s">
        <v>547</v>
      </c>
      <c r="H990" s="18" t="s">
        <v>1975</v>
      </c>
      <c r="I990" s="18"/>
      <c r="J990" s="14">
        <v>989</v>
      </c>
      <c r="K990" s="14">
        <f>VLOOKUP(B990,weights!A:G,5,FALSE)</f>
        <v>3.21</v>
      </c>
      <c r="L990" s="14">
        <f>VLOOKUP(B990,weights!A:G,6,FALSE)</f>
        <v>7</v>
      </c>
      <c r="M990" s="14">
        <f>VLOOKUP(B990,weights!A:G,7,FALSE)</f>
        <v>10</v>
      </c>
      <c r="N990" t="s">
        <v>3204</v>
      </c>
      <c r="O990">
        <v>23</v>
      </c>
      <c r="P990">
        <v>48.905663949100003</v>
      </c>
      <c r="Q990">
        <v>2.2835728099599999</v>
      </c>
      <c r="R990" s="22"/>
      <c r="S990" s="22"/>
      <c r="T990" s="22"/>
      <c r="U990" s="24">
        <f>R990+S990/60+T990/3600</f>
        <v>0</v>
      </c>
      <c r="V990" s="28">
        <f>ABS(U990-P990)/P990</f>
        <v>1</v>
      </c>
      <c r="W990" s="22"/>
      <c r="X990" s="22"/>
      <c r="Y990" s="22"/>
      <c r="Z990" s="14">
        <f>W990+X990/60+Y990/3600</f>
        <v>0</v>
      </c>
      <c r="AA990" s="26">
        <f>ABS(Z990-Q990)/Q990</f>
        <v>1</v>
      </c>
      <c r="AB990" s="26"/>
      <c r="AC990" s="14">
        <f>P990</f>
        <v>48.905663949100003</v>
      </c>
      <c r="AD990" s="14">
        <f>Q990</f>
        <v>2.2835728099599999</v>
      </c>
    </row>
    <row r="991" spans="1:30" s="14" customFormat="1">
      <c r="A991" s="12">
        <v>33</v>
      </c>
      <c r="B991" s="12" t="s">
        <v>545</v>
      </c>
      <c r="C991" s="14" t="str">
        <f>VLOOKUP(B991,weights!A:B,2,FALSE)</f>
        <v>M</v>
      </c>
      <c r="D991" s="13">
        <v>989</v>
      </c>
      <c r="E991" s="14" t="s">
        <v>1117</v>
      </c>
      <c r="G991" s="15"/>
      <c r="H991" s="18"/>
      <c r="I991" s="18"/>
      <c r="J991" s="14">
        <v>990</v>
      </c>
      <c r="K991" s="14">
        <f>VLOOKUP(B991,weights!A:G,5,FALSE)</f>
        <v>3.21</v>
      </c>
      <c r="L991" s="14">
        <f>VLOOKUP(B991,weights!A:G,6,FALSE)</f>
        <v>7</v>
      </c>
      <c r="M991" s="14">
        <f>VLOOKUP(B991,weights!A:G,7,FALSE)</f>
        <v>10</v>
      </c>
      <c r="N991" t="s">
        <v>3709</v>
      </c>
      <c r="O991">
        <v>771</v>
      </c>
      <c r="P991">
        <v>48.897637447900003</v>
      </c>
      <c r="Q991">
        <v>2.2974199481499999</v>
      </c>
      <c r="R991" s="22"/>
      <c r="S991" s="22"/>
      <c r="T991" s="22"/>
      <c r="U991" s="24">
        <f>R991+S991/60+T991/3600</f>
        <v>0</v>
      </c>
      <c r="V991" s="28">
        <f>ABS(U991-P991)/P991</f>
        <v>1</v>
      </c>
      <c r="W991" s="22"/>
      <c r="X991" s="22"/>
      <c r="Y991" s="22"/>
      <c r="Z991" s="14">
        <f>W991+X991/60+Y991/3600</f>
        <v>0</v>
      </c>
      <c r="AA991" s="26">
        <f>ABS(Z991-Q991)/Q991</f>
        <v>1</v>
      </c>
      <c r="AB991" s="26"/>
      <c r="AC991" s="14">
        <f>P991</f>
        <v>48.897637447900003</v>
      </c>
      <c r="AD991" s="14">
        <f>Q991</f>
        <v>2.2974199481499999</v>
      </c>
    </row>
    <row r="992" spans="1:30" s="14" customFormat="1">
      <c r="A992" s="12">
        <v>34</v>
      </c>
      <c r="B992" s="12" t="s">
        <v>545</v>
      </c>
      <c r="C992" s="14" t="str">
        <f>VLOOKUP(B992,weights!A:B,2,FALSE)</f>
        <v>M</v>
      </c>
      <c r="D992" s="13">
        <v>990</v>
      </c>
      <c r="E992" s="14" t="s">
        <v>1118</v>
      </c>
      <c r="G992" s="15"/>
      <c r="H992" s="18"/>
      <c r="I992" s="18"/>
      <c r="J992" s="14">
        <v>991</v>
      </c>
      <c r="K992" s="14">
        <f>VLOOKUP(B992,weights!A:G,5,FALSE)</f>
        <v>3.21</v>
      </c>
      <c r="L992" s="14">
        <f>VLOOKUP(B992,weights!A:G,6,FALSE)</f>
        <v>7</v>
      </c>
      <c r="M992" s="14">
        <f>VLOOKUP(B992,weights!A:G,7,FALSE)</f>
        <v>10</v>
      </c>
      <c r="N992" t="s">
        <v>5247</v>
      </c>
      <c r="O992">
        <v>617</v>
      </c>
      <c r="P992">
        <v>48.888220162800003</v>
      </c>
      <c r="Q992">
        <v>2.31373245152</v>
      </c>
      <c r="R992" s="22"/>
      <c r="S992" s="22"/>
      <c r="T992" s="22"/>
      <c r="U992" s="24">
        <f>R992+S992/60+T992/3600</f>
        <v>0</v>
      </c>
      <c r="V992" s="28">
        <f>ABS(U992-P992)/P992</f>
        <v>1</v>
      </c>
      <c r="W992" s="22"/>
      <c r="X992" s="22"/>
      <c r="Y992" s="22"/>
      <c r="Z992" s="14">
        <f>W992+X992/60+Y992/3600</f>
        <v>0</v>
      </c>
      <c r="AA992" s="26">
        <f>ABS(Z992-Q992)/Q992</f>
        <v>1</v>
      </c>
      <c r="AB992" s="26"/>
      <c r="AC992" s="14">
        <f>P992</f>
        <v>48.888220162800003</v>
      </c>
      <c r="AD992" s="14">
        <f>Q992</f>
        <v>2.31373245152</v>
      </c>
    </row>
    <row r="993" spans="1:30" s="14" customFormat="1">
      <c r="A993" s="12">
        <v>35</v>
      </c>
      <c r="B993" s="12" t="s">
        <v>545</v>
      </c>
      <c r="C993" s="14" t="str">
        <f>VLOOKUP(B993,weights!A:B,2,FALSE)</f>
        <v>M</v>
      </c>
      <c r="D993" s="13">
        <v>991</v>
      </c>
      <c r="E993" s="14" t="s">
        <v>1071</v>
      </c>
      <c r="G993" s="15" t="s">
        <v>1492</v>
      </c>
      <c r="H993" s="18" t="s">
        <v>1977</v>
      </c>
      <c r="I993" s="18" t="s">
        <v>1976</v>
      </c>
      <c r="K993" s="14">
        <f>VLOOKUP(B993,weights!A:G,5,FALSE)</f>
        <v>3.21</v>
      </c>
      <c r="L993" s="14">
        <f>VLOOKUP(B993,weights!A:G,6,FALSE)</f>
        <v>7</v>
      </c>
      <c r="M993" s="14">
        <f>VLOOKUP(B993,weights!A:G,7,FALSE)</f>
        <v>10</v>
      </c>
      <c r="N993" t="s">
        <v>5572</v>
      </c>
      <c r="O993">
        <v>818</v>
      </c>
      <c r="P993">
        <v>48.875933152400002</v>
      </c>
      <c r="Q993">
        <v>2.3257279613900002</v>
      </c>
      <c r="R993" s="22"/>
      <c r="S993" s="22"/>
      <c r="T993" s="22"/>
      <c r="U993" s="24">
        <f>R993+S993/60+T993/3600</f>
        <v>0</v>
      </c>
      <c r="V993" s="28">
        <f>ABS(U993-P993)/P993</f>
        <v>1</v>
      </c>
      <c r="W993" s="22"/>
      <c r="X993" s="22"/>
      <c r="Y993" s="22"/>
      <c r="Z993" s="14">
        <f>W993+X993/60+Y993/3600</f>
        <v>0</v>
      </c>
      <c r="AA993" s="26">
        <f>ABS(Z993-Q993)/Q993</f>
        <v>1</v>
      </c>
      <c r="AB993" s="26"/>
      <c r="AC993" s="14">
        <f>P993</f>
        <v>48.875933152400002</v>
      </c>
      <c r="AD993" s="14">
        <f>Q993</f>
        <v>2.3257279613900002</v>
      </c>
    </row>
    <row r="994" spans="1:30" s="14" customFormat="1">
      <c r="A994" s="12">
        <v>36</v>
      </c>
      <c r="B994" s="12" t="s">
        <v>545</v>
      </c>
      <c r="C994" s="14" t="str">
        <f>VLOOKUP(B994,weights!A:B,2,FALSE)</f>
        <v>M</v>
      </c>
      <c r="D994" s="13">
        <v>992</v>
      </c>
      <c r="E994" s="14" t="s">
        <v>1127</v>
      </c>
      <c r="G994" s="15"/>
      <c r="H994" s="18"/>
      <c r="I994" s="18"/>
      <c r="J994" s="14">
        <v>973</v>
      </c>
      <c r="K994" s="14">
        <f>VLOOKUP(B994,weights!A:G,5,FALSE)</f>
        <v>3.21</v>
      </c>
      <c r="L994" s="14">
        <f>VLOOKUP(B994,weights!A:G,6,FALSE)</f>
        <v>7</v>
      </c>
      <c r="M994" s="14">
        <f>VLOOKUP(B994,weights!A:G,7,FALSE)</f>
        <v>10</v>
      </c>
      <c r="N994" t="s">
        <v>5020</v>
      </c>
      <c r="O994">
        <v>599</v>
      </c>
      <c r="P994">
        <v>48.841359638199997</v>
      </c>
      <c r="Q994">
        <v>2.06132681294</v>
      </c>
      <c r="R994" s="22"/>
      <c r="S994" s="22"/>
      <c r="T994" s="22"/>
      <c r="U994" s="24">
        <f>R994+S994/60+T994/3600</f>
        <v>0</v>
      </c>
      <c r="V994" s="28">
        <f>ABS(U994-P994)/P994</f>
        <v>1</v>
      </c>
      <c r="W994" s="22"/>
      <c r="X994" s="22"/>
      <c r="Y994" s="22"/>
      <c r="Z994" s="14">
        <f>W994+X994/60+Y994/3600</f>
        <v>0</v>
      </c>
      <c r="AA994" s="26">
        <f>ABS(Z994-Q994)/Q994</f>
        <v>1</v>
      </c>
      <c r="AB994" s="26"/>
      <c r="AC994" s="14">
        <f>P994</f>
        <v>48.841359638199997</v>
      </c>
      <c r="AD994" s="14">
        <f>Q994</f>
        <v>2.06132681294</v>
      </c>
    </row>
    <row r="995" spans="1:30" s="14" customFormat="1">
      <c r="A995" s="12">
        <v>38</v>
      </c>
      <c r="B995" s="12" t="s">
        <v>545</v>
      </c>
      <c r="C995" s="14" t="str">
        <f>VLOOKUP(B995,weights!A:B,2,FALSE)</f>
        <v>M</v>
      </c>
      <c r="D995" s="13">
        <v>993</v>
      </c>
      <c r="E995" s="14" t="s">
        <v>1128</v>
      </c>
      <c r="G995" s="15"/>
      <c r="H995" s="18"/>
      <c r="I995" s="18"/>
      <c r="J995" s="14">
        <v>994</v>
      </c>
      <c r="K995" s="14">
        <f>VLOOKUP(B995,weights!A:G,5,FALSE)</f>
        <v>3.21</v>
      </c>
      <c r="L995" s="14">
        <f>VLOOKUP(B995,weights!A:G,6,FALSE)</f>
        <v>7</v>
      </c>
      <c r="M995" s="14">
        <f>VLOOKUP(B995,weights!A:G,7,FALSE)</f>
        <v>10</v>
      </c>
      <c r="N995" t="s">
        <v>4785</v>
      </c>
      <c r="O995">
        <v>600</v>
      </c>
      <c r="P995">
        <v>48.880992079899997</v>
      </c>
      <c r="Q995">
        <v>2.0791775906600001</v>
      </c>
      <c r="R995" s="22"/>
      <c r="S995" s="22"/>
      <c r="T995" s="22"/>
      <c r="U995" s="24">
        <f>R995+S995/60+T995/3600</f>
        <v>0</v>
      </c>
      <c r="V995" s="28">
        <f>ABS(U995-P995)/P995</f>
        <v>1</v>
      </c>
      <c r="W995" s="22"/>
      <c r="X995" s="22"/>
      <c r="Y995" s="22"/>
      <c r="Z995" s="14">
        <f>W995+X995/60+Y995/3600</f>
        <v>0</v>
      </c>
      <c r="AA995" s="26">
        <f>ABS(Z995-Q995)/Q995</f>
        <v>1</v>
      </c>
      <c r="AB995" s="26"/>
      <c r="AC995" s="14">
        <f>P995</f>
        <v>48.880992079899997</v>
      </c>
      <c r="AD995" s="14">
        <f>Q995</f>
        <v>2.0791775906600001</v>
      </c>
    </row>
    <row r="996" spans="1:30" s="14" customFormat="1">
      <c r="A996" s="12">
        <v>39</v>
      </c>
      <c r="B996" s="12" t="s">
        <v>545</v>
      </c>
      <c r="C996" s="14" t="str">
        <f>VLOOKUP(B996,weights!A:B,2,FALSE)</f>
        <v>M</v>
      </c>
      <c r="D996" s="13">
        <v>994</v>
      </c>
      <c r="E996" s="14" t="s">
        <v>1129</v>
      </c>
      <c r="G996" s="15"/>
      <c r="H996" s="18"/>
      <c r="I996" s="18"/>
      <c r="J996" s="14">
        <v>995</v>
      </c>
      <c r="K996" s="14">
        <f>VLOOKUP(B996,weights!A:G,5,FALSE)</f>
        <v>3.21</v>
      </c>
      <c r="L996" s="14">
        <f>VLOOKUP(B996,weights!A:G,6,FALSE)</f>
        <v>7</v>
      </c>
      <c r="M996" s="14">
        <f>VLOOKUP(B996,weights!A:G,7,FALSE)</f>
        <v>10</v>
      </c>
      <c r="N996" t="s">
        <v>5551</v>
      </c>
      <c r="O996">
        <v>601</v>
      </c>
      <c r="P996">
        <v>48.894607626599999</v>
      </c>
      <c r="Q996">
        <v>2.0699379654899999</v>
      </c>
      <c r="R996" s="22"/>
      <c r="S996" s="22"/>
      <c r="T996" s="22"/>
      <c r="U996" s="24">
        <f>R996+S996/60+T996/3600</f>
        <v>0</v>
      </c>
      <c r="V996" s="28">
        <f>ABS(U996-P996)/P996</f>
        <v>1</v>
      </c>
      <c r="W996" s="22"/>
      <c r="X996" s="22"/>
      <c r="Y996" s="22"/>
      <c r="Z996" s="14">
        <f>W996+X996/60+Y996/3600</f>
        <v>0</v>
      </c>
      <c r="AA996" s="26">
        <f>ABS(Z996-Q996)/Q996</f>
        <v>1</v>
      </c>
      <c r="AB996" s="26"/>
      <c r="AC996" s="14">
        <f>P996</f>
        <v>48.894607626599999</v>
      </c>
      <c r="AD996" s="14">
        <f>Q996</f>
        <v>2.0699379654899999</v>
      </c>
    </row>
    <row r="997" spans="1:30" s="14" customFormat="1">
      <c r="A997" s="12">
        <v>40</v>
      </c>
      <c r="B997" s="12" t="s">
        <v>545</v>
      </c>
      <c r="C997" s="14" t="str">
        <f>VLOOKUP(B997,weights!A:B,2,FALSE)</f>
        <v>M</v>
      </c>
      <c r="D997" s="13">
        <v>995</v>
      </c>
      <c r="E997" s="14" t="s">
        <v>1131</v>
      </c>
      <c r="G997" s="15"/>
      <c r="H997" s="18"/>
      <c r="I997" s="18"/>
      <c r="K997" s="14">
        <f>VLOOKUP(B997,weights!A:G,5,FALSE)</f>
        <v>3.21</v>
      </c>
      <c r="L997" s="14">
        <f>VLOOKUP(B997,weights!A:G,6,FALSE)</f>
        <v>7</v>
      </c>
      <c r="M997" s="14">
        <f>VLOOKUP(B997,weights!A:G,7,FALSE)</f>
        <v>10</v>
      </c>
      <c r="N997" t="s">
        <v>5560</v>
      </c>
      <c r="O997">
        <v>512</v>
      </c>
      <c r="P997">
        <v>48.903204615500002</v>
      </c>
      <c r="Q997">
        <v>2.0729714565699999</v>
      </c>
      <c r="R997" s="22"/>
      <c r="S997" s="22"/>
      <c r="T997" s="22"/>
      <c r="U997" s="24">
        <f>R997+S997/60+T997/3600</f>
        <v>0</v>
      </c>
      <c r="V997" s="28">
        <f>ABS(U997-P997)/P997</f>
        <v>1</v>
      </c>
      <c r="W997" s="22"/>
      <c r="X997" s="22"/>
      <c r="Y997" s="22"/>
      <c r="Z997" s="14">
        <f>W997+X997/60+Y997/3600</f>
        <v>0</v>
      </c>
      <c r="AA997" s="26">
        <f>ABS(Z997-Q997)/Q997</f>
        <v>1</v>
      </c>
      <c r="AB997" s="26"/>
      <c r="AC997" s="14">
        <f>P997</f>
        <v>48.903204615500002</v>
      </c>
      <c r="AD997" s="14">
        <f>Q997</f>
        <v>2.0729714565699999</v>
      </c>
    </row>
    <row r="998" spans="1:30" s="14" customFormat="1">
      <c r="A998" s="12">
        <v>0</v>
      </c>
      <c r="B998" s="12" t="s">
        <v>246</v>
      </c>
      <c r="C998" s="14" t="str">
        <f>VLOOKUP(B998,weights!A:B,2,FALSE)</f>
        <v>M</v>
      </c>
      <c r="D998" s="13">
        <v>996</v>
      </c>
      <c r="E998" s="14" t="s">
        <v>1132</v>
      </c>
      <c r="G998" s="15" t="s">
        <v>1160</v>
      </c>
      <c r="H998" s="18"/>
      <c r="I998" s="18" t="s">
        <v>1978</v>
      </c>
      <c r="J998" s="14">
        <v>997</v>
      </c>
      <c r="K998" s="14">
        <f>VLOOKUP(B998,weights!A:G,5,FALSE)</f>
        <v>4.76</v>
      </c>
      <c r="L998" s="14">
        <f>VLOOKUP(B998,weights!A:G,6,FALSE)</f>
        <v>7</v>
      </c>
      <c r="M998" s="14">
        <f>VLOOKUP(B998,weights!A:G,7,FALSE)</f>
        <v>10</v>
      </c>
      <c r="N998" t="s">
        <v>4919</v>
      </c>
      <c r="O998">
        <v>477</v>
      </c>
      <c r="P998">
        <v>48.841186921099997</v>
      </c>
      <c r="Q998">
        <v>2.3205092275300001</v>
      </c>
      <c r="R998" s="22"/>
      <c r="S998" s="22"/>
      <c r="T998" s="22"/>
      <c r="U998" s="24">
        <f>R998+S998/60+T998/3600</f>
        <v>0</v>
      </c>
      <c r="V998" s="28">
        <f>ABS(U998-P998)/P998</f>
        <v>1</v>
      </c>
      <c r="W998" s="22"/>
      <c r="X998" s="22"/>
      <c r="Y998" s="22"/>
      <c r="Z998" s="14">
        <f>W998+X998/60+Y998/3600</f>
        <v>0</v>
      </c>
      <c r="AA998" s="26">
        <f>ABS(Z998-Q998)/Q998</f>
        <v>1</v>
      </c>
      <c r="AB998" s="26"/>
      <c r="AC998" s="14">
        <f>P998</f>
        <v>48.841186921099997</v>
      </c>
      <c r="AD998" s="14">
        <f>Q998</f>
        <v>2.3205092275300001</v>
      </c>
    </row>
    <row r="999" spans="1:30" s="14" customFormat="1">
      <c r="A999" s="12">
        <v>1</v>
      </c>
      <c r="B999" s="12" t="s">
        <v>246</v>
      </c>
      <c r="C999" s="14" t="str">
        <f>VLOOKUP(B999,weights!A:B,2,FALSE)</f>
        <v>M</v>
      </c>
      <c r="D999" s="13">
        <v>997</v>
      </c>
      <c r="E999" s="14" t="s">
        <v>1133</v>
      </c>
      <c r="G999" s="15"/>
      <c r="H999" s="18"/>
      <c r="I999" s="18"/>
      <c r="J999" s="14">
        <v>998</v>
      </c>
      <c r="K999" s="14">
        <f>VLOOKUP(B999,weights!A:G,5,FALSE)</f>
        <v>4.76</v>
      </c>
      <c r="L999" s="14">
        <f>VLOOKUP(B999,weights!A:G,6,FALSE)</f>
        <v>7</v>
      </c>
      <c r="M999" s="14">
        <f>VLOOKUP(B999,weights!A:G,7,FALSE)</f>
        <v>10</v>
      </c>
      <c r="N999" t="s">
        <v>5852</v>
      </c>
      <c r="O999">
        <v>429</v>
      </c>
      <c r="P999">
        <v>48.818387640499999</v>
      </c>
      <c r="Q999">
        <v>2.29206181727</v>
      </c>
      <c r="R999" s="22"/>
      <c r="S999" s="22"/>
      <c r="T999" s="22"/>
      <c r="U999" s="24">
        <f>R999+S999/60+T999/3600</f>
        <v>0</v>
      </c>
      <c r="V999" s="28">
        <f>ABS(U999-P999)/P999</f>
        <v>1</v>
      </c>
      <c r="W999" s="22"/>
      <c r="X999" s="22"/>
      <c r="Y999" s="22"/>
      <c r="Z999" s="14">
        <f>W999+X999/60+Y999/3600</f>
        <v>0</v>
      </c>
      <c r="AA999" s="26">
        <f>ABS(Z999-Q999)/Q999</f>
        <v>1</v>
      </c>
      <c r="AB999" s="26"/>
      <c r="AC999" s="14">
        <f>P999</f>
        <v>48.818387640499999</v>
      </c>
      <c r="AD999" s="14">
        <f>Q999</f>
        <v>2.29206181727</v>
      </c>
    </row>
    <row r="1000" spans="1:30" s="14" customFormat="1">
      <c r="A1000" s="12">
        <v>2</v>
      </c>
      <c r="B1000" s="12" t="s">
        <v>246</v>
      </c>
      <c r="C1000" s="14" t="str">
        <f>VLOOKUP(B1000,weights!A:B,2,FALSE)</f>
        <v>M</v>
      </c>
      <c r="D1000" s="13">
        <v>998</v>
      </c>
      <c r="E1000" s="14" t="s">
        <v>934</v>
      </c>
      <c r="G1000" s="15"/>
      <c r="H1000" s="18"/>
      <c r="I1000" s="18"/>
      <c r="J1000" s="14">
        <v>999</v>
      </c>
      <c r="K1000" s="14">
        <f>VLOOKUP(B1000,weights!A:G,5,FALSE)</f>
        <v>4.76</v>
      </c>
      <c r="L1000" s="14">
        <f>VLOOKUP(B1000,weights!A:G,6,FALSE)</f>
        <v>7</v>
      </c>
      <c r="M1000" s="14">
        <f>VLOOKUP(B1000,weights!A:G,7,FALSE)</f>
        <v>10</v>
      </c>
      <c r="N1000" t="s">
        <v>3706</v>
      </c>
      <c r="O1000">
        <v>430</v>
      </c>
      <c r="P1000">
        <v>48.8142394455</v>
      </c>
      <c r="Q1000">
        <v>2.2744896735400002</v>
      </c>
      <c r="R1000" s="22"/>
      <c r="S1000" s="22"/>
      <c r="T1000" s="22"/>
      <c r="U1000" s="24">
        <f>R1000+S1000/60+T1000/3600</f>
        <v>0</v>
      </c>
      <c r="V1000" s="28">
        <f>ABS(U1000-P1000)/P1000</f>
        <v>1</v>
      </c>
      <c r="W1000" s="22"/>
      <c r="X1000" s="22"/>
      <c r="Y1000" s="22"/>
      <c r="Z1000" s="14">
        <f>W1000+X1000/60+Y1000/3600</f>
        <v>0</v>
      </c>
      <c r="AA1000" s="26">
        <f>ABS(Z1000-Q1000)/Q1000</f>
        <v>1</v>
      </c>
      <c r="AB1000" s="26"/>
      <c r="AC1000" s="14">
        <f>P1000</f>
        <v>48.8142394455</v>
      </c>
      <c r="AD1000" s="14">
        <f>Q1000</f>
        <v>2.2744896735400002</v>
      </c>
    </row>
    <row r="1001" spans="1:30" s="14" customFormat="1">
      <c r="A1001" s="12">
        <v>3</v>
      </c>
      <c r="B1001" s="12" t="s">
        <v>246</v>
      </c>
      <c r="C1001" s="14" t="str">
        <f>VLOOKUP(B1001,weights!A:B,2,FALSE)</f>
        <v>M</v>
      </c>
      <c r="D1001" s="13">
        <v>999</v>
      </c>
      <c r="E1001" s="14" t="s">
        <v>831</v>
      </c>
      <c r="G1001" s="15"/>
      <c r="H1001" s="18"/>
      <c r="I1001" s="18"/>
      <c r="J1001" s="14">
        <v>1000</v>
      </c>
      <c r="K1001" s="14">
        <f>VLOOKUP(B1001,weights!A:G,5,FALSE)</f>
        <v>4.76</v>
      </c>
      <c r="L1001" s="14">
        <f>VLOOKUP(B1001,weights!A:G,6,FALSE)</f>
        <v>7</v>
      </c>
      <c r="M1001" s="14">
        <f>VLOOKUP(B1001,weights!A:G,7,FALSE)</f>
        <v>10</v>
      </c>
      <c r="N1001" t="s">
        <v>4850</v>
      </c>
      <c r="O1001">
        <v>613</v>
      </c>
      <c r="P1001">
        <v>48.8148843142</v>
      </c>
      <c r="Q1001">
        <v>2.2409192948699999</v>
      </c>
      <c r="R1001" s="22"/>
      <c r="S1001" s="22"/>
      <c r="T1001" s="22"/>
      <c r="U1001" s="24">
        <f>R1001+S1001/60+T1001/3600</f>
        <v>0</v>
      </c>
      <c r="V1001" s="28">
        <f>ABS(U1001-P1001)/P1001</f>
        <v>1</v>
      </c>
      <c r="W1001" s="22"/>
      <c r="X1001" s="22"/>
      <c r="Y1001" s="22"/>
      <c r="Z1001" s="14">
        <f>W1001+X1001/60+Y1001/3600</f>
        <v>0</v>
      </c>
      <c r="AA1001" s="26">
        <f>ABS(Z1001-Q1001)/Q1001</f>
        <v>1</v>
      </c>
      <c r="AB1001" s="26"/>
      <c r="AC1001" s="14">
        <f>P1001</f>
        <v>48.8148843142</v>
      </c>
      <c r="AD1001" s="14">
        <f>Q1001</f>
        <v>2.2409192948699999</v>
      </c>
    </row>
    <row r="1002" spans="1:30" s="14" customFormat="1">
      <c r="A1002" s="12">
        <v>4</v>
      </c>
      <c r="B1002" s="12" t="s">
        <v>246</v>
      </c>
      <c r="C1002" s="14" t="str">
        <f>VLOOKUP(B1002,weights!A:B,2,FALSE)</f>
        <v>M</v>
      </c>
      <c r="D1002" s="13">
        <v>1000</v>
      </c>
      <c r="E1002" s="14" t="s">
        <v>1134</v>
      </c>
      <c r="G1002" s="15"/>
      <c r="H1002" s="18"/>
      <c r="I1002" s="18"/>
      <c r="J1002" s="14">
        <v>1001</v>
      </c>
      <c r="K1002" s="14">
        <f>VLOOKUP(B1002,weights!A:G,5,FALSE)</f>
        <v>4.76</v>
      </c>
      <c r="L1002" s="14">
        <f>VLOOKUP(B1002,weights!A:G,6,FALSE)</f>
        <v>7</v>
      </c>
      <c r="M1002" s="14">
        <f>VLOOKUP(B1002,weights!A:G,7,FALSE)</f>
        <v>10</v>
      </c>
      <c r="N1002" t="s">
        <v>3308</v>
      </c>
      <c r="O1002">
        <v>524</v>
      </c>
      <c r="P1002">
        <v>48.818947800099998</v>
      </c>
      <c r="Q1002">
        <v>2.2298080064699999</v>
      </c>
      <c r="R1002" s="22"/>
      <c r="S1002" s="22"/>
      <c r="T1002" s="22"/>
      <c r="U1002" s="24">
        <f>R1002+S1002/60+T1002/3600</f>
        <v>0</v>
      </c>
      <c r="V1002" s="28">
        <f>ABS(U1002-P1002)/P1002</f>
        <v>1</v>
      </c>
      <c r="W1002" s="22"/>
      <c r="X1002" s="22"/>
      <c r="Y1002" s="22"/>
      <c r="Z1002" s="14">
        <f>W1002+X1002/60+Y1002/3600</f>
        <v>0</v>
      </c>
      <c r="AA1002" s="26">
        <f>ABS(Z1002-Q1002)/Q1002</f>
        <v>1</v>
      </c>
      <c r="AB1002" s="26"/>
      <c r="AC1002" s="14">
        <f>P1002</f>
        <v>48.818947800099998</v>
      </c>
      <c r="AD1002" s="14">
        <f>Q1002</f>
        <v>2.2298080064699999</v>
      </c>
    </row>
    <row r="1003" spans="1:30" s="14" customFormat="1">
      <c r="A1003" s="12">
        <v>5</v>
      </c>
      <c r="B1003" s="12" t="s">
        <v>246</v>
      </c>
      <c r="C1003" s="14" t="str">
        <f>VLOOKUP(B1003,weights!A:B,2,FALSE)</f>
        <v>M</v>
      </c>
      <c r="D1003" s="13">
        <v>1001</v>
      </c>
      <c r="E1003" s="14" t="s">
        <v>1135</v>
      </c>
      <c r="G1003" s="15"/>
      <c r="H1003" s="18"/>
      <c r="I1003" s="18"/>
      <c r="J1003" s="14">
        <v>1002</v>
      </c>
      <c r="K1003" s="14">
        <f>VLOOKUP(B1003,weights!A:G,5,FALSE)</f>
        <v>4.76</v>
      </c>
      <c r="L1003" s="14">
        <f>VLOOKUP(B1003,weights!A:G,6,FALSE)</f>
        <v>7</v>
      </c>
      <c r="M1003" s="14">
        <f>VLOOKUP(B1003,weights!A:G,7,FALSE)</f>
        <v>10</v>
      </c>
      <c r="N1003" t="s">
        <v>5697</v>
      </c>
      <c r="O1003">
        <v>677</v>
      </c>
      <c r="P1003">
        <v>48.821217037899999</v>
      </c>
      <c r="Q1003">
        <v>2.2148597913499999</v>
      </c>
      <c r="R1003" s="22"/>
      <c r="S1003" s="22"/>
      <c r="T1003" s="22"/>
      <c r="U1003" s="24">
        <f>R1003+S1003/60+T1003/3600</f>
        <v>0</v>
      </c>
      <c r="V1003" s="28">
        <f>ABS(U1003-P1003)/P1003</f>
        <v>1</v>
      </c>
      <c r="W1003" s="22"/>
      <c r="X1003" s="22"/>
      <c r="Y1003" s="22"/>
      <c r="Z1003" s="14">
        <f>W1003+X1003/60+Y1003/3600</f>
        <v>0</v>
      </c>
      <c r="AA1003" s="26">
        <f>ABS(Z1003-Q1003)/Q1003</f>
        <v>1</v>
      </c>
      <c r="AB1003" s="26"/>
      <c r="AC1003" s="14">
        <f>P1003</f>
        <v>48.821217037899999</v>
      </c>
      <c r="AD1003" s="14">
        <f>Q1003</f>
        <v>2.2148597913499999</v>
      </c>
    </row>
    <row r="1004" spans="1:30" s="14" customFormat="1">
      <c r="A1004" s="12">
        <v>6</v>
      </c>
      <c r="B1004" s="12" t="s">
        <v>246</v>
      </c>
      <c r="C1004" s="14" t="str">
        <f>VLOOKUP(B1004,weights!A:B,2,FALSE)</f>
        <v>M</v>
      </c>
      <c r="D1004" s="13">
        <v>1002</v>
      </c>
      <c r="E1004" s="14" t="s">
        <v>1136</v>
      </c>
      <c r="G1004" s="15"/>
      <c r="H1004" s="18"/>
      <c r="I1004" s="18"/>
      <c r="J1004" s="14">
        <v>1003</v>
      </c>
      <c r="K1004" s="14">
        <f>VLOOKUP(B1004,weights!A:G,5,FALSE)</f>
        <v>4.76</v>
      </c>
      <c r="L1004" s="14">
        <f>VLOOKUP(B1004,weights!A:G,6,FALSE)</f>
        <v>7</v>
      </c>
      <c r="M1004" s="14">
        <f>VLOOKUP(B1004,weights!A:G,7,FALSE)</f>
        <v>10</v>
      </c>
      <c r="N1004" t="s">
        <v>3659</v>
      </c>
      <c r="O1004">
        <v>431</v>
      </c>
      <c r="P1004">
        <v>48.8046833553</v>
      </c>
      <c r="Q1004">
        <v>2.1886302764900001</v>
      </c>
      <c r="R1004" s="22"/>
      <c r="S1004" s="22"/>
      <c r="T1004" s="22"/>
      <c r="U1004" s="24">
        <f>R1004+S1004/60+T1004/3600</f>
        <v>0</v>
      </c>
      <c r="V1004" s="28">
        <f>ABS(U1004-P1004)/P1004</f>
        <v>1</v>
      </c>
      <c r="W1004" s="22"/>
      <c r="X1004" s="22"/>
      <c r="Y1004" s="22"/>
      <c r="Z1004" s="14">
        <f>W1004+X1004/60+Y1004/3600</f>
        <v>0</v>
      </c>
      <c r="AA1004" s="26">
        <f>ABS(Z1004-Q1004)/Q1004</f>
        <v>1</v>
      </c>
      <c r="AB1004" s="26"/>
      <c r="AC1004" s="14">
        <f>P1004</f>
        <v>48.8046833553</v>
      </c>
      <c r="AD1004" s="14">
        <f>Q1004</f>
        <v>2.1886302764900001</v>
      </c>
    </row>
    <row r="1005" spans="1:30" s="14" customFormat="1">
      <c r="A1005" s="12">
        <v>7</v>
      </c>
      <c r="B1005" s="12" t="s">
        <v>246</v>
      </c>
      <c r="C1005" s="14" t="str">
        <f>VLOOKUP(B1005,weights!A:B,2,FALSE)</f>
        <v>M</v>
      </c>
      <c r="D1005" s="13">
        <v>1003</v>
      </c>
      <c r="E1005" s="14" t="s">
        <v>595</v>
      </c>
      <c r="G1005" s="15" t="s">
        <v>1472</v>
      </c>
      <c r="H1005" s="18"/>
      <c r="I1005" s="18" t="s">
        <v>1979</v>
      </c>
      <c r="J1005" s="14">
        <v>1004</v>
      </c>
      <c r="K1005" s="14">
        <f>VLOOKUP(B1005,weights!A:G,5,FALSE)</f>
        <v>4.76</v>
      </c>
      <c r="L1005" s="14">
        <f>VLOOKUP(B1005,weights!A:G,6,FALSE)</f>
        <v>7</v>
      </c>
      <c r="M1005" s="14">
        <f>VLOOKUP(B1005,weights!A:G,7,FALSE)</f>
        <v>10</v>
      </c>
      <c r="N1005" t="s">
        <v>5987</v>
      </c>
      <c r="O1005">
        <v>571</v>
      </c>
      <c r="P1005">
        <v>48.800718463899997</v>
      </c>
      <c r="Q1005">
        <v>2.1713898141199999</v>
      </c>
      <c r="R1005" s="22"/>
      <c r="S1005" s="22"/>
      <c r="T1005" s="22"/>
      <c r="U1005" s="24">
        <f>R1005+S1005/60+T1005/3600</f>
        <v>0</v>
      </c>
      <c r="V1005" s="28">
        <f>ABS(U1005-P1005)/P1005</f>
        <v>1</v>
      </c>
      <c r="W1005" s="22"/>
      <c r="X1005" s="22"/>
      <c r="Y1005" s="22"/>
      <c r="Z1005" s="14">
        <f>W1005+X1005/60+Y1005/3600</f>
        <v>0</v>
      </c>
      <c r="AA1005" s="26">
        <f>ABS(Z1005-Q1005)/Q1005</f>
        <v>1</v>
      </c>
      <c r="AB1005" s="26"/>
      <c r="AC1005" s="14">
        <f>P1005</f>
        <v>48.800718463899997</v>
      </c>
      <c r="AD1005" s="14">
        <f>Q1005</f>
        <v>2.1713898141199999</v>
      </c>
    </row>
    <row r="1006" spans="1:30" s="14" customFormat="1">
      <c r="A1006" s="12">
        <v>8</v>
      </c>
      <c r="B1006" s="12" t="s">
        <v>246</v>
      </c>
      <c r="C1006" s="14" t="str">
        <f>VLOOKUP(B1006,weights!A:B,2,FALSE)</f>
        <v>M</v>
      </c>
      <c r="D1006" s="13">
        <v>1004</v>
      </c>
      <c r="E1006" s="14" t="s">
        <v>592</v>
      </c>
      <c r="G1006" s="15" t="s">
        <v>1159</v>
      </c>
      <c r="H1006" s="18" t="s">
        <v>1981</v>
      </c>
      <c r="I1006" s="18" t="s">
        <v>1980</v>
      </c>
      <c r="J1006" s="14">
        <v>1005</v>
      </c>
      <c r="K1006" s="14">
        <f>VLOOKUP(B1006,weights!A:G,5,FALSE)</f>
        <v>4.76</v>
      </c>
      <c r="L1006" s="14">
        <f>VLOOKUP(B1006,weights!A:G,6,FALSE)</f>
        <v>7</v>
      </c>
      <c r="M1006" s="14">
        <f>VLOOKUP(B1006,weights!A:G,7,FALSE)</f>
        <v>10</v>
      </c>
      <c r="N1006" t="s">
        <v>5900</v>
      </c>
      <c r="O1006">
        <v>705</v>
      </c>
      <c r="P1006">
        <v>48.795280246300003</v>
      </c>
      <c r="Q1006">
        <v>2.1360504896600001</v>
      </c>
      <c r="R1006" s="22"/>
      <c r="S1006" s="22"/>
      <c r="T1006" s="22"/>
      <c r="U1006" s="24">
        <f>R1006+S1006/60+T1006/3600</f>
        <v>0</v>
      </c>
      <c r="V1006" s="28">
        <f>ABS(U1006-P1006)/P1006</f>
        <v>1</v>
      </c>
      <c r="W1006" s="22"/>
      <c r="X1006" s="22"/>
      <c r="Y1006" s="22"/>
      <c r="Z1006" s="14">
        <f>W1006+X1006/60+Y1006/3600</f>
        <v>0</v>
      </c>
      <c r="AA1006" s="26">
        <f>ABS(Z1006-Q1006)/Q1006</f>
        <v>1</v>
      </c>
      <c r="AB1006" s="26"/>
      <c r="AC1006" s="14">
        <f>P1006</f>
        <v>48.795280246300003</v>
      </c>
      <c r="AD1006" s="14">
        <f>Q1006</f>
        <v>2.1360504896600001</v>
      </c>
    </row>
    <row r="1007" spans="1:30" s="14" customFormat="1">
      <c r="A1007" s="12">
        <v>9</v>
      </c>
      <c r="B1007" s="12" t="s">
        <v>246</v>
      </c>
      <c r="C1007" s="14" t="str">
        <f>VLOOKUP(B1007,weights!A:B,2,FALSE)</f>
        <v>M</v>
      </c>
      <c r="D1007" s="13">
        <v>1005</v>
      </c>
      <c r="E1007" s="14" t="s">
        <v>591</v>
      </c>
      <c r="G1007" s="15" t="s">
        <v>1159</v>
      </c>
      <c r="H1007" s="18" t="s">
        <v>1983</v>
      </c>
      <c r="I1007" s="18" t="s">
        <v>1982</v>
      </c>
      <c r="J1007" s="14">
        <v>1006.1024</v>
      </c>
      <c r="K1007" s="14">
        <f>VLOOKUP(B1007,weights!A:G,5,FALSE)</f>
        <v>4.76</v>
      </c>
      <c r="L1007" s="14">
        <f>VLOOKUP(B1007,weights!A:G,6,FALSE)</f>
        <v>7</v>
      </c>
      <c r="M1007" s="14">
        <f>VLOOKUP(B1007,weights!A:G,7,FALSE)</f>
        <v>10</v>
      </c>
      <c r="N1007" t="s">
        <v>5525</v>
      </c>
      <c r="O1007">
        <v>469</v>
      </c>
      <c r="P1007">
        <v>48.798707635200003</v>
      </c>
      <c r="Q1007">
        <v>2.07184700048</v>
      </c>
      <c r="R1007" s="22"/>
      <c r="S1007" s="22"/>
      <c r="T1007" s="22"/>
      <c r="U1007" s="24">
        <f>R1007+S1007/60+T1007/3600</f>
        <v>0</v>
      </c>
      <c r="V1007" s="28">
        <f>ABS(U1007-P1007)/P1007</f>
        <v>1</v>
      </c>
      <c r="W1007" s="22"/>
      <c r="X1007" s="22"/>
      <c r="Y1007" s="22"/>
      <c r="Z1007" s="14">
        <f>W1007+X1007/60+Y1007/3600</f>
        <v>0</v>
      </c>
      <c r="AA1007" s="26">
        <f>ABS(Z1007-Q1007)/Q1007</f>
        <v>1</v>
      </c>
      <c r="AB1007" s="26"/>
      <c r="AC1007" s="14">
        <f>P1007</f>
        <v>48.798707635200003</v>
      </c>
      <c r="AD1007" s="14">
        <f>Q1007</f>
        <v>2.07184700048</v>
      </c>
    </row>
    <row r="1008" spans="1:30" s="14" customFormat="1">
      <c r="A1008" s="12">
        <v>10</v>
      </c>
      <c r="B1008" s="12" t="s">
        <v>246</v>
      </c>
      <c r="C1008" s="14" t="str">
        <f>VLOOKUP(B1008,weights!A:B,2,FALSE)</f>
        <v>M</v>
      </c>
      <c r="D1008" s="13">
        <v>1006</v>
      </c>
      <c r="E1008" s="14" t="s">
        <v>1137</v>
      </c>
      <c r="G1008" s="15"/>
      <c r="H1008" s="18"/>
      <c r="I1008" s="18"/>
      <c r="J1008" s="14">
        <v>1007</v>
      </c>
      <c r="K1008" s="14">
        <f>VLOOKUP(B1008,weights!A:G,5,FALSE)</f>
        <v>4.76</v>
      </c>
      <c r="L1008" s="14">
        <f>VLOOKUP(B1008,weights!A:G,6,FALSE)</f>
        <v>7</v>
      </c>
      <c r="M1008" s="14">
        <f>VLOOKUP(B1008,weights!A:G,7,FALSE)</f>
        <v>10</v>
      </c>
      <c r="N1008" t="s">
        <v>4044</v>
      </c>
      <c r="O1008">
        <v>268</v>
      </c>
      <c r="P1008">
        <v>48.807246612100002</v>
      </c>
      <c r="Q1008">
        <v>2.0405192033400001</v>
      </c>
      <c r="R1008" s="22"/>
      <c r="S1008" s="22"/>
      <c r="T1008" s="22"/>
      <c r="U1008" s="24">
        <f>R1008+S1008/60+T1008/3600</f>
        <v>0</v>
      </c>
      <c r="V1008" s="28">
        <f>ABS(U1008-P1008)/P1008</f>
        <v>1</v>
      </c>
      <c r="W1008" s="22"/>
      <c r="X1008" s="22"/>
      <c r="Y1008" s="22"/>
      <c r="Z1008" s="14">
        <f>W1008+X1008/60+Y1008/3600</f>
        <v>0</v>
      </c>
      <c r="AA1008" s="26">
        <f>ABS(Z1008-Q1008)/Q1008</f>
        <v>1</v>
      </c>
      <c r="AB1008" s="26"/>
      <c r="AC1008" s="14">
        <f>P1008</f>
        <v>48.807246612100002</v>
      </c>
      <c r="AD1008" s="14">
        <f>Q1008</f>
        <v>2.0405192033400001</v>
      </c>
    </row>
    <row r="1009" spans="1:30" s="14" customFormat="1">
      <c r="A1009" s="12">
        <v>11</v>
      </c>
      <c r="B1009" s="12" t="s">
        <v>246</v>
      </c>
      <c r="C1009" s="14" t="str">
        <f>VLOOKUP(B1009,weights!A:B,2,FALSE)</f>
        <v>M</v>
      </c>
      <c r="D1009" s="13">
        <v>1007</v>
      </c>
      <c r="E1009" s="14" t="s">
        <v>1138</v>
      </c>
      <c r="G1009" s="15"/>
      <c r="H1009" s="18"/>
      <c r="I1009" s="18"/>
      <c r="J1009" s="14">
        <v>1008</v>
      </c>
      <c r="K1009" s="14">
        <f>VLOOKUP(B1009,weights!A:G,5,FALSE)</f>
        <v>4.76</v>
      </c>
      <c r="L1009" s="14">
        <f>VLOOKUP(B1009,weights!A:G,6,FALSE)</f>
        <v>7</v>
      </c>
      <c r="M1009" s="14">
        <f>VLOOKUP(B1009,weights!A:G,7,FALSE)</f>
        <v>10</v>
      </c>
      <c r="N1009" t="s">
        <v>5958</v>
      </c>
      <c r="O1009">
        <v>181</v>
      </c>
      <c r="P1009">
        <v>48.823653271399998</v>
      </c>
      <c r="Q1009">
        <v>1.9928645323800001</v>
      </c>
      <c r="R1009" s="22"/>
      <c r="S1009" s="22"/>
      <c r="T1009" s="22"/>
      <c r="U1009" s="24">
        <f>R1009+S1009/60+T1009/3600</f>
        <v>0</v>
      </c>
      <c r="V1009" s="28">
        <f>ABS(U1009-P1009)/P1009</f>
        <v>1</v>
      </c>
      <c r="W1009" s="22"/>
      <c r="X1009" s="22"/>
      <c r="Y1009" s="22"/>
      <c r="Z1009" s="14">
        <f>W1009+X1009/60+Y1009/3600</f>
        <v>0</v>
      </c>
      <c r="AA1009" s="26">
        <f>ABS(Z1009-Q1009)/Q1009</f>
        <v>1</v>
      </c>
      <c r="AB1009" s="26"/>
      <c r="AC1009" s="14">
        <f>P1009</f>
        <v>48.823653271399998</v>
      </c>
      <c r="AD1009" s="14">
        <f>Q1009</f>
        <v>1.9928645323800001</v>
      </c>
    </row>
    <row r="1010" spans="1:30" s="14" customFormat="1">
      <c r="A1010" s="12">
        <v>12</v>
      </c>
      <c r="B1010" s="12" t="s">
        <v>246</v>
      </c>
      <c r="C1010" s="14" t="str">
        <f>VLOOKUP(B1010,weights!A:B,2,FALSE)</f>
        <v>M</v>
      </c>
      <c r="D1010" s="13">
        <v>1008</v>
      </c>
      <c r="E1010" s="14" t="s">
        <v>1139</v>
      </c>
      <c r="G1010" s="15"/>
      <c r="H1010" s="18"/>
      <c r="I1010" s="18"/>
      <c r="J1010" s="14">
        <v>1009</v>
      </c>
      <c r="K1010" s="14">
        <f>VLOOKUP(B1010,weights!A:G,5,FALSE)</f>
        <v>4.76</v>
      </c>
      <c r="L1010" s="14">
        <f>VLOOKUP(B1010,weights!A:G,6,FALSE)</f>
        <v>7</v>
      </c>
      <c r="M1010" s="14">
        <f>VLOOKUP(B1010,weights!A:G,7,FALSE)</f>
        <v>10</v>
      </c>
      <c r="N1010" t="s">
        <v>5212</v>
      </c>
      <c r="O1010">
        <v>182</v>
      </c>
      <c r="P1010">
        <v>48.830959528699999</v>
      </c>
      <c r="Q1010">
        <v>1.96002656297</v>
      </c>
      <c r="R1010" s="22"/>
      <c r="S1010" s="22"/>
      <c r="T1010" s="22"/>
      <c r="U1010" s="24">
        <f>R1010+S1010/60+T1010/3600</f>
        <v>0</v>
      </c>
      <c r="V1010" s="28">
        <f>ABS(U1010-P1010)/P1010</f>
        <v>1</v>
      </c>
      <c r="W1010" s="22"/>
      <c r="X1010" s="22"/>
      <c r="Y1010" s="22"/>
      <c r="Z1010" s="14">
        <f>W1010+X1010/60+Y1010/3600</f>
        <v>0</v>
      </c>
      <c r="AA1010" s="26">
        <f>ABS(Z1010-Q1010)/Q1010</f>
        <v>1</v>
      </c>
      <c r="AB1010" s="26"/>
      <c r="AC1010" s="14">
        <f>P1010</f>
        <v>48.830959528699999</v>
      </c>
      <c r="AD1010" s="14">
        <f>Q1010</f>
        <v>1.96002656297</v>
      </c>
    </row>
    <row r="1011" spans="1:30" s="14" customFormat="1">
      <c r="A1011" s="12">
        <v>13</v>
      </c>
      <c r="B1011" s="12" t="s">
        <v>246</v>
      </c>
      <c r="C1011" s="14" t="str">
        <f>VLOOKUP(B1011,weights!A:B,2,FALSE)</f>
        <v>M</v>
      </c>
      <c r="D1011" s="13">
        <v>1009</v>
      </c>
      <c r="E1011" s="14" t="s">
        <v>1140</v>
      </c>
      <c r="G1011" s="15"/>
      <c r="H1011" s="18"/>
      <c r="I1011" s="18"/>
      <c r="J1011" s="14">
        <v>1010.1018</v>
      </c>
      <c r="K1011" s="14">
        <f>VLOOKUP(B1011,weights!A:G,5,FALSE)</f>
        <v>4.76</v>
      </c>
      <c r="L1011" s="14">
        <f>VLOOKUP(B1011,weights!A:G,6,FALSE)</f>
        <v>7</v>
      </c>
      <c r="M1011" s="14">
        <f>VLOOKUP(B1011,weights!A:G,7,FALSE)</f>
        <v>10</v>
      </c>
      <c r="N1011" t="s">
        <v>5209</v>
      </c>
      <c r="O1011">
        <v>84</v>
      </c>
      <c r="P1011">
        <v>48.831916184299999</v>
      </c>
      <c r="Q1011">
        <v>1.9444017526199999</v>
      </c>
      <c r="R1011" s="22"/>
      <c r="S1011" s="22"/>
      <c r="T1011" s="22"/>
      <c r="U1011" s="24">
        <f>R1011+S1011/60+T1011/3600</f>
        <v>0</v>
      </c>
      <c r="V1011" s="28">
        <f>ABS(U1011-P1011)/P1011</f>
        <v>1</v>
      </c>
      <c r="W1011" s="22"/>
      <c r="X1011" s="22"/>
      <c r="Y1011" s="22"/>
      <c r="Z1011" s="14">
        <f>W1011+X1011/60+Y1011/3600</f>
        <v>0</v>
      </c>
      <c r="AA1011" s="26">
        <f>ABS(Z1011-Q1011)/Q1011</f>
        <v>1</v>
      </c>
      <c r="AB1011" s="26"/>
      <c r="AC1011" s="14">
        <f>P1011</f>
        <v>48.831916184299999</v>
      </c>
      <c r="AD1011" s="14">
        <f>Q1011</f>
        <v>1.9444017526199999</v>
      </c>
    </row>
    <row r="1012" spans="1:30" s="14" customFormat="1">
      <c r="A1012" s="12">
        <v>14</v>
      </c>
      <c r="B1012" s="12" t="s">
        <v>246</v>
      </c>
      <c r="C1012" s="14" t="str">
        <f>VLOOKUP(B1012,weights!A:B,2,FALSE)</f>
        <v>M</v>
      </c>
      <c r="D1012" s="13">
        <v>1010</v>
      </c>
      <c r="E1012" s="14" t="s">
        <v>1141</v>
      </c>
      <c r="G1012" s="15"/>
      <c r="H1012" s="18"/>
      <c r="I1012" s="18"/>
      <c r="J1012" s="14">
        <v>1011</v>
      </c>
      <c r="K1012" s="14">
        <f>VLOOKUP(B1012,weights!A:G,5,FALSE)</f>
        <v>4.76</v>
      </c>
      <c r="L1012" s="14">
        <f>VLOOKUP(B1012,weights!A:G,6,FALSE)</f>
        <v>7</v>
      </c>
      <c r="M1012" s="14">
        <f>VLOOKUP(B1012,weights!A:G,7,FALSE)</f>
        <v>10</v>
      </c>
      <c r="N1012" t="s">
        <v>5974</v>
      </c>
      <c r="O1012">
        <v>734</v>
      </c>
      <c r="P1012">
        <v>48.815328619600002</v>
      </c>
      <c r="Q1012">
        <v>1.8775042043300001</v>
      </c>
      <c r="R1012" s="22"/>
      <c r="S1012" s="22"/>
      <c r="T1012" s="22"/>
      <c r="U1012" s="24">
        <f>R1012+S1012/60+T1012/3600</f>
        <v>0</v>
      </c>
      <c r="V1012" s="28">
        <f>ABS(U1012-P1012)/P1012</f>
        <v>1</v>
      </c>
      <c r="W1012" s="22"/>
      <c r="X1012" s="22"/>
      <c r="Y1012" s="22"/>
      <c r="Z1012" s="14">
        <f>W1012+X1012/60+Y1012/3600</f>
        <v>0</v>
      </c>
      <c r="AA1012" s="26">
        <f>ABS(Z1012-Q1012)/Q1012</f>
        <v>1</v>
      </c>
      <c r="AB1012" s="26"/>
      <c r="AC1012" s="14">
        <f>P1012</f>
        <v>48.815328619600002</v>
      </c>
      <c r="AD1012" s="14">
        <f>Q1012</f>
        <v>1.8775042043300001</v>
      </c>
    </row>
    <row r="1013" spans="1:30" s="14" customFormat="1">
      <c r="A1013" s="12">
        <v>15</v>
      </c>
      <c r="B1013" s="12" t="s">
        <v>246</v>
      </c>
      <c r="C1013" s="14" t="str">
        <f>VLOOKUP(B1013,weights!A:B,2,FALSE)</f>
        <v>M</v>
      </c>
      <c r="D1013" s="13">
        <v>1011</v>
      </c>
      <c r="E1013" s="14" t="s">
        <v>1142</v>
      </c>
      <c r="G1013" s="15"/>
      <c r="H1013" s="18"/>
      <c r="I1013" s="18"/>
      <c r="J1013" s="14">
        <v>1012</v>
      </c>
      <c r="K1013" s="14">
        <f>VLOOKUP(B1013,weights!A:G,5,FALSE)</f>
        <v>4.76</v>
      </c>
      <c r="L1013" s="14">
        <f>VLOOKUP(B1013,weights!A:G,6,FALSE)</f>
        <v>7</v>
      </c>
      <c r="M1013" s="14">
        <f>VLOOKUP(B1013,weights!A:G,7,FALSE)</f>
        <v>10</v>
      </c>
      <c r="N1013" t="s">
        <v>4901</v>
      </c>
      <c r="O1013">
        <v>735</v>
      </c>
      <c r="P1013">
        <v>48.802601979999999</v>
      </c>
      <c r="Q1013">
        <v>1.8164667942199999</v>
      </c>
      <c r="R1013" s="22"/>
      <c r="S1013" s="22"/>
      <c r="T1013" s="22"/>
      <c r="U1013" s="24">
        <f>R1013+S1013/60+T1013/3600</f>
        <v>0</v>
      </c>
      <c r="V1013" s="28">
        <f>ABS(U1013-P1013)/P1013</f>
        <v>1</v>
      </c>
      <c r="W1013" s="22"/>
      <c r="X1013" s="22"/>
      <c r="Y1013" s="22"/>
      <c r="Z1013" s="14">
        <f>W1013+X1013/60+Y1013/3600</f>
        <v>0</v>
      </c>
      <c r="AA1013" s="26">
        <f>ABS(Z1013-Q1013)/Q1013</f>
        <v>1</v>
      </c>
      <c r="AB1013" s="26"/>
      <c r="AC1013" s="14">
        <f>P1013</f>
        <v>48.802601979999999</v>
      </c>
      <c r="AD1013" s="14">
        <f>Q1013</f>
        <v>1.8164667942199999</v>
      </c>
    </row>
    <row r="1014" spans="1:30" s="14" customFormat="1">
      <c r="A1014" s="12">
        <v>16</v>
      </c>
      <c r="B1014" s="12" t="s">
        <v>246</v>
      </c>
      <c r="C1014" s="14" t="str">
        <f>VLOOKUP(B1014,weights!A:B,2,FALSE)</f>
        <v>M</v>
      </c>
      <c r="D1014" s="13">
        <v>1012</v>
      </c>
      <c r="E1014" s="14" t="s">
        <v>1143</v>
      </c>
      <c r="G1014" s="15"/>
      <c r="H1014" s="18"/>
      <c r="I1014" s="18"/>
      <c r="J1014" s="14">
        <v>1013</v>
      </c>
      <c r="K1014" s="14">
        <f>VLOOKUP(B1014,weights!A:G,5,FALSE)</f>
        <v>4.76</v>
      </c>
      <c r="L1014" s="14">
        <f>VLOOKUP(B1014,weights!A:G,6,FALSE)</f>
        <v>7</v>
      </c>
      <c r="M1014" s="14">
        <f>VLOOKUP(B1014,weights!A:G,7,FALSE)</f>
        <v>10</v>
      </c>
      <c r="N1014" t="s">
        <v>4092</v>
      </c>
      <c r="O1014">
        <v>76</v>
      </c>
      <c r="P1014">
        <v>48.810402463499997</v>
      </c>
      <c r="Q1014">
        <v>1.7650567579400001</v>
      </c>
      <c r="R1014" s="22"/>
      <c r="S1014" s="22"/>
      <c r="T1014" s="22"/>
      <c r="U1014" s="24">
        <f>R1014+S1014/60+T1014/3600</f>
        <v>0</v>
      </c>
      <c r="V1014" s="28">
        <f>ABS(U1014-P1014)/P1014</f>
        <v>1</v>
      </c>
      <c r="W1014" s="22"/>
      <c r="X1014" s="22"/>
      <c r="Y1014" s="22"/>
      <c r="Z1014" s="14">
        <f>W1014+X1014/60+Y1014/3600</f>
        <v>0</v>
      </c>
      <c r="AA1014" s="26">
        <f>ABS(Z1014-Q1014)/Q1014</f>
        <v>1</v>
      </c>
      <c r="AB1014" s="26"/>
      <c r="AC1014" s="14">
        <f>P1014</f>
        <v>48.810402463499997</v>
      </c>
      <c r="AD1014" s="14">
        <f>Q1014</f>
        <v>1.7650567579400001</v>
      </c>
    </row>
    <row r="1015" spans="1:30" s="14" customFormat="1">
      <c r="A1015" s="12">
        <v>17</v>
      </c>
      <c r="B1015" s="12" t="s">
        <v>246</v>
      </c>
      <c r="C1015" s="14" t="str">
        <f>VLOOKUP(B1015,weights!A:B,2,FALSE)</f>
        <v>M</v>
      </c>
      <c r="D1015" s="13">
        <v>1013</v>
      </c>
      <c r="E1015" s="14" t="s">
        <v>1144</v>
      </c>
      <c r="G1015" s="15"/>
      <c r="H1015" s="18"/>
      <c r="I1015" s="18"/>
      <c r="J1015" s="14">
        <v>1014</v>
      </c>
      <c r="K1015" s="14">
        <f>VLOOKUP(B1015,weights!A:G,5,FALSE)</f>
        <v>4.76</v>
      </c>
      <c r="L1015" s="14">
        <f>VLOOKUP(B1015,weights!A:G,6,FALSE)</f>
        <v>7</v>
      </c>
      <c r="M1015" s="14">
        <f>VLOOKUP(B1015,weights!A:G,7,FALSE)</f>
        <v>10</v>
      </c>
      <c r="N1015" t="s">
        <v>5051</v>
      </c>
      <c r="O1015">
        <v>166</v>
      </c>
      <c r="P1015">
        <v>48.826578428099999</v>
      </c>
      <c r="Q1015">
        <v>1.70321842548</v>
      </c>
      <c r="R1015" s="22"/>
      <c r="S1015" s="22"/>
      <c r="T1015" s="22"/>
      <c r="U1015" s="24">
        <f>R1015+S1015/60+T1015/3600</f>
        <v>0</v>
      </c>
      <c r="V1015" s="28">
        <f>ABS(U1015-P1015)/P1015</f>
        <v>1</v>
      </c>
      <c r="W1015" s="22"/>
      <c r="X1015" s="22"/>
      <c r="Y1015" s="22"/>
      <c r="Z1015" s="14">
        <f>W1015+X1015/60+Y1015/3600</f>
        <v>0</v>
      </c>
      <c r="AA1015" s="26">
        <f>ABS(Z1015-Q1015)/Q1015</f>
        <v>1</v>
      </c>
      <c r="AB1015" s="26"/>
      <c r="AC1015" s="14">
        <f>P1015</f>
        <v>48.826578428099999</v>
      </c>
      <c r="AD1015" s="14">
        <f>Q1015</f>
        <v>1.70321842548</v>
      </c>
    </row>
    <row r="1016" spans="1:30" s="14" customFormat="1">
      <c r="A1016" s="12">
        <v>18</v>
      </c>
      <c r="B1016" s="12" t="s">
        <v>246</v>
      </c>
      <c r="C1016" s="14" t="str">
        <f>VLOOKUP(B1016,weights!A:B,2,FALSE)</f>
        <v>M</v>
      </c>
      <c r="D1016" s="13">
        <v>1014</v>
      </c>
      <c r="E1016" s="14" t="s">
        <v>1145</v>
      </c>
      <c r="G1016" s="15"/>
      <c r="H1016" s="18"/>
      <c r="I1016" s="18"/>
      <c r="J1016" s="14">
        <v>1015</v>
      </c>
      <c r="K1016" s="14">
        <f>VLOOKUP(B1016,weights!A:G,5,FALSE)</f>
        <v>4.76</v>
      </c>
      <c r="L1016" s="14">
        <f>VLOOKUP(B1016,weights!A:G,6,FALSE)</f>
        <v>7</v>
      </c>
      <c r="M1016" s="14">
        <f>VLOOKUP(B1016,weights!A:G,7,FALSE)</f>
        <v>10</v>
      </c>
      <c r="N1016" t="s">
        <v>5766</v>
      </c>
      <c r="O1016">
        <v>261</v>
      </c>
      <c r="P1016">
        <v>48.829429016200002</v>
      </c>
      <c r="Q1016">
        <v>1.6690101627</v>
      </c>
      <c r="R1016" s="22"/>
      <c r="S1016" s="22"/>
      <c r="T1016" s="22"/>
      <c r="U1016" s="24">
        <f>R1016+S1016/60+T1016/3600</f>
        <v>0</v>
      </c>
      <c r="V1016" s="28">
        <f>ABS(U1016-P1016)/P1016</f>
        <v>1</v>
      </c>
      <c r="W1016" s="22"/>
      <c r="X1016" s="22"/>
      <c r="Y1016" s="22"/>
      <c r="Z1016" s="14">
        <f>W1016+X1016/60+Y1016/3600</f>
        <v>0</v>
      </c>
      <c r="AA1016" s="26">
        <f>ABS(Z1016-Q1016)/Q1016</f>
        <v>1</v>
      </c>
      <c r="AB1016" s="26"/>
      <c r="AC1016" s="14">
        <f>P1016</f>
        <v>48.829429016200002</v>
      </c>
      <c r="AD1016" s="14">
        <f>Q1016</f>
        <v>1.6690101627</v>
      </c>
    </row>
    <row r="1017" spans="1:30" s="14" customFormat="1">
      <c r="A1017" s="12">
        <v>19</v>
      </c>
      <c r="B1017" s="12" t="s">
        <v>246</v>
      </c>
      <c r="C1017" s="14" t="str">
        <f>VLOOKUP(B1017,weights!A:B,2,FALSE)</f>
        <v>M</v>
      </c>
      <c r="D1017" s="13">
        <v>1015</v>
      </c>
      <c r="E1017" s="14" t="s">
        <v>1146</v>
      </c>
      <c r="G1017" s="15"/>
      <c r="H1017" s="18"/>
      <c r="I1017" s="18"/>
      <c r="J1017" s="14">
        <v>1016</v>
      </c>
      <c r="K1017" s="14">
        <f>VLOOKUP(B1017,weights!A:G,5,FALSE)</f>
        <v>4.76</v>
      </c>
      <c r="L1017" s="14">
        <f>VLOOKUP(B1017,weights!A:G,6,FALSE)</f>
        <v>7</v>
      </c>
      <c r="M1017" s="14">
        <f>VLOOKUP(B1017,weights!A:G,7,FALSE)</f>
        <v>10</v>
      </c>
      <c r="N1017" t="s">
        <v>4249</v>
      </c>
      <c r="O1017">
        <v>898</v>
      </c>
      <c r="P1017">
        <v>48.796025367799999</v>
      </c>
      <c r="Q1017">
        <v>1.60270169299</v>
      </c>
      <c r="R1017" s="22"/>
      <c r="S1017" s="22"/>
      <c r="T1017" s="22"/>
      <c r="U1017" s="24">
        <f>R1017+S1017/60+T1017/3600</f>
        <v>0</v>
      </c>
      <c r="V1017" s="28">
        <f>ABS(U1017-P1017)/P1017</f>
        <v>1</v>
      </c>
      <c r="W1017" s="22"/>
      <c r="X1017" s="22"/>
      <c r="Y1017" s="22"/>
      <c r="Z1017" s="14">
        <f>W1017+X1017/60+Y1017/3600</f>
        <v>0</v>
      </c>
      <c r="AA1017" s="26">
        <f>ABS(Z1017-Q1017)/Q1017</f>
        <v>1</v>
      </c>
      <c r="AB1017" s="26"/>
      <c r="AC1017" s="14">
        <f>P1017</f>
        <v>48.796025367799999</v>
      </c>
      <c r="AD1017" s="14">
        <f>Q1017</f>
        <v>1.60270169299</v>
      </c>
    </row>
    <row r="1018" spans="1:30" s="14" customFormat="1">
      <c r="A1018" s="12">
        <v>20</v>
      </c>
      <c r="B1018" s="12" t="s">
        <v>246</v>
      </c>
      <c r="C1018" s="14" t="str">
        <f>VLOOKUP(B1018,weights!A:B,2,FALSE)</f>
        <v>M</v>
      </c>
      <c r="D1018" s="13">
        <v>1016</v>
      </c>
      <c r="E1018" s="14" t="s">
        <v>1147</v>
      </c>
      <c r="G1018" s="15"/>
      <c r="H1018" s="18"/>
      <c r="I1018" s="18"/>
      <c r="J1018" s="14">
        <v>1017</v>
      </c>
      <c r="K1018" s="14">
        <f>VLOOKUP(B1018,weights!A:G,5,FALSE)</f>
        <v>4.76</v>
      </c>
      <c r="L1018" s="14">
        <f>VLOOKUP(B1018,weights!A:G,6,FALSE)</f>
        <v>7</v>
      </c>
      <c r="M1018" s="14">
        <f>VLOOKUP(B1018,weights!A:G,7,FALSE)</f>
        <v>10</v>
      </c>
      <c r="N1018" t="s">
        <v>4782</v>
      </c>
      <c r="O1018">
        <v>444</v>
      </c>
      <c r="P1018">
        <v>48.7684217766</v>
      </c>
      <c r="Q1018">
        <v>1.5133330523499999</v>
      </c>
      <c r="R1018" s="22"/>
      <c r="S1018" s="22"/>
      <c r="T1018" s="22"/>
      <c r="U1018" s="24">
        <f>R1018+S1018/60+T1018/3600</f>
        <v>0</v>
      </c>
      <c r="V1018" s="28">
        <f>ABS(U1018-P1018)/P1018</f>
        <v>1</v>
      </c>
      <c r="W1018" s="22"/>
      <c r="X1018" s="22"/>
      <c r="Y1018" s="22"/>
      <c r="Z1018" s="14">
        <f>W1018+X1018/60+Y1018/3600</f>
        <v>0</v>
      </c>
      <c r="AA1018" s="26">
        <f>ABS(Z1018-Q1018)/Q1018</f>
        <v>1</v>
      </c>
      <c r="AB1018" s="26"/>
      <c r="AC1018" s="14">
        <f>P1018</f>
        <v>48.7684217766</v>
      </c>
      <c r="AD1018" s="14">
        <f>Q1018</f>
        <v>1.5133330523499999</v>
      </c>
    </row>
    <row r="1019" spans="1:30" s="14" customFormat="1">
      <c r="A1019" s="12">
        <v>21</v>
      </c>
      <c r="B1019" s="12" t="s">
        <v>246</v>
      </c>
      <c r="C1019" s="14" t="str">
        <f>VLOOKUP(B1019,weights!A:B,2,FALSE)</f>
        <v>M</v>
      </c>
      <c r="D1019" s="13">
        <v>1017</v>
      </c>
      <c r="E1019" s="14" t="s">
        <v>1148</v>
      </c>
      <c r="G1019" s="15"/>
      <c r="H1019" s="18"/>
      <c r="I1019" s="18"/>
      <c r="K1019" s="14">
        <f>VLOOKUP(B1019,weights!A:G,5,FALSE)</f>
        <v>4.76</v>
      </c>
      <c r="L1019" s="14">
        <f>VLOOKUP(B1019,weights!A:G,6,FALSE)</f>
        <v>7</v>
      </c>
      <c r="M1019" s="14">
        <f>VLOOKUP(B1019,weights!A:G,7,FALSE)</f>
        <v>10</v>
      </c>
      <c r="N1019" t="s">
        <v>3889</v>
      </c>
      <c r="O1019">
        <v>519</v>
      </c>
      <c r="P1019">
        <v>48.730954670000003</v>
      </c>
      <c r="Q1019">
        <v>1.3699742341200001</v>
      </c>
      <c r="R1019" s="22"/>
      <c r="S1019" s="22"/>
      <c r="T1019" s="22"/>
      <c r="U1019" s="24">
        <f>R1019+S1019/60+T1019/3600</f>
        <v>0</v>
      </c>
      <c r="V1019" s="28">
        <f>ABS(U1019-P1019)/P1019</f>
        <v>1</v>
      </c>
      <c r="W1019" s="22"/>
      <c r="X1019" s="22"/>
      <c r="Y1019" s="22"/>
      <c r="Z1019" s="14">
        <f>W1019+X1019/60+Y1019/3600</f>
        <v>0</v>
      </c>
      <c r="AA1019" s="26">
        <f>ABS(Z1019-Q1019)/Q1019</f>
        <v>1</v>
      </c>
      <c r="AB1019" s="26"/>
      <c r="AC1019" s="14">
        <f>P1019</f>
        <v>48.730954670000003</v>
      </c>
      <c r="AD1019" s="14">
        <f>Q1019</f>
        <v>1.3699742341200001</v>
      </c>
    </row>
    <row r="1020" spans="1:30" s="14" customFormat="1">
      <c r="A1020" s="12">
        <v>22</v>
      </c>
      <c r="B1020" s="12" t="s">
        <v>246</v>
      </c>
      <c r="C1020" s="14" t="str">
        <f>VLOOKUP(B1020,weights!A:B,2,FALSE)</f>
        <v>M</v>
      </c>
      <c r="D1020" s="13">
        <v>1018</v>
      </c>
      <c r="E1020" s="14" t="s">
        <v>1149</v>
      </c>
      <c r="G1020" s="15"/>
      <c r="H1020" s="18"/>
      <c r="I1020" s="18"/>
      <c r="J1020" s="14">
        <v>1019</v>
      </c>
      <c r="K1020" s="14">
        <f>VLOOKUP(B1020,weights!A:G,5,FALSE)</f>
        <v>4.76</v>
      </c>
      <c r="L1020" s="14">
        <f>VLOOKUP(B1020,weights!A:G,6,FALSE)</f>
        <v>7</v>
      </c>
      <c r="M1020" s="14">
        <f>VLOOKUP(B1020,weights!A:G,7,FALSE)</f>
        <v>10</v>
      </c>
      <c r="N1020" t="s">
        <v>3328</v>
      </c>
      <c r="O1020">
        <v>269</v>
      </c>
      <c r="P1020">
        <v>48.859998731300003</v>
      </c>
      <c r="Q1020">
        <v>1.8755955902799999</v>
      </c>
      <c r="R1020" s="22"/>
      <c r="S1020" s="22"/>
      <c r="T1020" s="22"/>
      <c r="U1020" s="24">
        <f>R1020+S1020/60+T1020/3600</f>
        <v>0</v>
      </c>
      <c r="V1020" s="28">
        <f>ABS(U1020-P1020)/P1020</f>
        <v>1</v>
      </c>
      <c r="W1020" s="22"/>
      <c r="X1020" s="22"/>
      <c r="Y1020" s="22"/>
      <c r="Z1020" s="14">
        <f>W1020+X1020/60+Y1020/3600</f>
        <v>0</v>
      </c>
      <c r="AA1020" s="26">
        <f>ABS(Z1020-Q1020)/Q1020</f>
        <v>1</v>
      </c>
      <c r="AB1020" s="26"/>
      <c r="AC1020" s="14">
        <f>P1020</f>
        <v>48.859998731300003</v>
      </c>
      <c r="AD1020" s="14">
        <f>Q1020</f>
        <v>1.8755955902799999</v>
      </c>
    </row>
    <row r="1021" spans="1:30" s="14" customFormat="1">
      <c r="A1021" s="12">
        <v>23</v>
      </c>
      <c r="B1021" s="12" t="s">
        <v>246</v>
      </c>
      <c r="C1021" s="14" t="str">
        <f>VLOOKUP(B1021,weights!A:B,2,FALSE)</f>
        <v>M</v>
      </c>
      <c r="D1021" s="13">
        <v>1019</v>
      </c>
      <c r="E1021" s="14" t="s">
        <v>1150</v>
      </c>
      <c r="G1021" s="15"/>
      <c r="H1021" s="18"/>
      <c r="I1021" s="18"/>
      <c r="J1021" s="14">
        <v>1020</v>
      </c>
      <c r="K1021" s="14">
        <f>VLOOKUP(B1021,weights!A:G,5,FALSE)</f>
        <v>4.76</v>
      </c>
      <c r="L1021" s="14">
        <f>VLOOKUP(B1021,weights!A:G,6,FALSE)</f>
        <v>7</v>
      </c>
      <c r="M1021" s="14">
        <f>VLOOKUP(B1021,weights!A:G,7,FALSE)</f>
        <v>10</v>
      </c>
      <c r="N1021" t="s">
        <v>4788</v>
      </c>
      <c r="O1021">
        <v>736</v>
      </c>
      <c r="P1021">
        <v>48.893238597500002</v>
      </c>
      <c r="Q1021">
        <v>1.8717384743100001</v>
      </c>
      <c r="R1021" s="22"/>
      <c r="S1021" s="22"/>
      <c r="T1021" s="22"/>
      <c r="U1021" s="24">
        <f>R1021+S1021/60+T1021/3600</f>
        <v>0</v>
      </c>
      <c r="V1021" s="28">
        <f>ABS(U1021-P1021)/P1021</f>
        <v>1</v>
      </c>
      <c r="W1021" s="22"/>
      <c r="X1021" s="22"/>
      <c r="Y1021" s="22"/>
      <c r="Z1021" s="14">
        <f>W1021+X1021/60+Y1021/3600</f>
        <v>0</v>
      </c>
      <c r="AA1021" s="26">
        <f>ABS(Z1021-Q1021)/Q1021</f>
        <v>1</v>
      </c>
      <c r="AB1021" s="26"/>
      <c r="AC1021" s="14">
        <f>P1021</f>
        <v>48.893238597500002</v>
      </c>
      <c r="AD1021" s="14">
        <f>Q1021</f>
        <v>1.8717384743100001</v>
      </c>
    </row>
    <row r="1022" spans="1:30" s="14" customFormat="1">
      <c r="A1022" s="12">
        <v>24</v>
      </c>
      <c r="B1022" s="12" t="s">
        <v>246</v>
      </c>
      <c r="C1022" s="14" t="str">
        <f>VLOOKUP(B1022,weights!A:B,2,FALSE)</f>
        <v>M</v>
      </c>
      <c r="D1022" s="13">
        <v>1020</v>
      </c>
      <c r="E1022" s="14" t="s">
        <v>1151</v>
      </c>
      <c r="G1022" s="15"/>
      <c r="H1022" s="18"/>
      <c r="I1022" s="18"/>
      <c r="J1022" s="14">
        <v>1021</v>
      </c>
      <c r="K1022" s="14">
        <f>VLOOKUP(B1022,weights!A:G,5,FALSE)</f>
        <v>4.76</v>
      </c>
      <c r="L1022" s="14">
        <f>VLOOKUP(B1022,weights!A:G,6,FALSE)</f>
        <v>7</v>
      </c>
      <c r="M1022" s="14">
        <f>VLOOKUP(B1022,weights!A:G,7,FALSE)</f>
        <v>10</v>
      </c>
      <c r="N1022" t="s">
        <v>4822</v>
      </c>
      <c r="O1022">
        <v>910</v>
      </c>
      <c r="P1022">
        <v>48.909305374200002</v>
      </c>
      <c r="Q1022">
        <v>1.8572275412599999</v>
      </c>
      <c r="R1022" s="22"/>
      <c r="S1022" s="22"/>
      <c r="T1022" s="22"/>
      <c r="U1022" s="24">
        <f>R1022+S1022/60+T1022/3600</f>
        <v>0</v>
      </c>
      <c r="V1022" s="28">
        <f>ABS(U1022-P1022)/P1022</f>
        <v>1</v>
      </c>
      <c r="W1022" s="22"/>
      <c r="X1022" s="22"/>
      <c r="Y1022" s="22"/>
      <c r="Z1022" s="14">
        <f>W1022+X1022/60+Y1022/3600</f>
        <v>0</v>
      </c>
      <c r="AA1022" s="26">
        <f>ABS(Z1022-Q1022)/Q1022</f>
        <v>1</v>
      </c>
      <c r="AB1022" s="26"/>
      <c r="AC1022" s="14">
        <f>P1022</f>
        <v>48.909305374200002</v>
      </c>
      <c r="AD1022" s="14">
        <f>Q1022</f>
        <v>1.8572275412599999</v>
      </c>
    </row>
    <row r="1023" spans="1:30" s="14" customFormat="1">
      <c r="A1023" s="12">
        <v>25</v>
      </c>
      <c r="B1023" s="12" t="s">
        <v>246</v>
      </c>
      <c r="C1023" s="14" t="str">
        <f>VLOOKUP(B1023,weights!A:B,2,FALSE)</f>
        <v>M</v>
      </c>
      <c r="D1023" s="13">
        <v>1021</v>
      </c>
      <c r="E1023" s="14" t="s">
        <v>1152</v>
      </c>
      <c r="G1023" s="15"/>
      <c r="H1023" s="18"/>
      <c r="I1023" s="18"/>
      <c r="J1023" s="14">
        <v>1022</v>
      </c>
      <c r="K1023" s="14">
        <f>VLOOKUP(B1023,weights!A:G,5,FALSE)</f>
        <v>4.76</v>
      </c>
      <c r="L1023" s="14">
        <f>VLOOKUP(B1023,weights!A:G,6,FALSE)</f>
        <v>7</v>
      </c>
      <c r="M1023" s="14">
        <f>VLOOKUP(B1023,weights!A:G,7,FALSE)</f>
        <v>10</v>
      </c>
      <c r="N1023" t="s">
        <v>4996</v>
      </c>
      <c r="O1023">
        <v>911</v>
      </c>
      <c r="P1023">
        <v>48.938719235500002</v>
      </c>
      <c r="Q1023">
        <v>1.84051703249</v>
      </c>
      <c r="R1023" s="22"/>
      <c r="S1023" s="22"/>
      <c r="T1023" s="22"/>
      <c r="U1023" s="24">
        <f>R1023+S1023/60+T1023/3600</f>
        <v>0</v>
      </c>
      <c r="V1023" s="28">
        <f>ABS(U1023-P1023)/P1023</f>
        <v>1</v>
      </c>
      <c r="W1023" s="22"/>
      <c r="X1023" s="22"/>
      <c r="Y1023" s="22"/>
      <c r="Z1023" s="14">
        <f>W1023+X1023/60+Y1023/3600</f>
        <v>0</v>
      </c>
      <c r="AA1023" s="26">
        <f>ABS(Z1023-Q1023)/Q1023</f>
        <v>1</v>
      </c>
      <c r="AB1023" s="26"/>
      <c r="AC1023" s="14">
        <f>P1023</f>
        <v>48.938719235500002</v>
      </c>
      <c r="AD1023" s="14">
        <f>Q1023</f>
        <v>1.84051703249</v>
      </c>
    </row>
    <row r="1024" spans="1:30" s="14" customFormat="1">
      <c r="A1024" s="12">
        <v>26</v>
      </c>
      <c r="B1024" s="12" t="s">
        <v>246</v>
      </c>
      <c r="C1024" s="14" t="str">
        <f>VLOOKUP(B1024,weights!A:B,2,FALSE)</f>
        <v>M</v>
      </c>
      <c r="D1024" s="13">
        <v>1022</v>
      </c>
      <c r="E1024" s="14" t="s">
        <v>1077</v>
      </c>
      <c r="G1024" s="15" t="s">
        <v>547</v>
      </c>
      <c r="H1024" s="18" t="s">
        <v>1984</v>
      </c>
      <c r="I1024" s="18"/>
      <c r="J1024" s="14">
        <v>1023</v>
      </c>
      <c r="K1024" s="14">
        <f>VLOOKUP(B1024,weights!A:G,5,FALSE)</f>
        <v>4.76</v>
      </c>
      <c r="L1024" s="14">
        <f>VLOOKUP(B1024,weights!A:G,6,FALSE)</f>
        <v>7</v>
      </c>
      <c r="M1024" s="14">
        <f>VLOOKUP(B1024,weights!A:G,7,FALSE)</f>
        <v>10</v>
      </c>
      <c r="N1024" t="s">
        <v>3955</v>
      </c>
      <c r="O1024">
        <v>91</v>
      </c>
      <c r="P1024">
        <v>48.963344112800002</v>
      </c>
      <c r="Q1024">
        <v>1.8090945087700001</v>
      </c>
      <c r="R1024" s="22"/>
      <c r="S1024" s="22"/>
      <c r="T1024" s="22"/>
      <c r="U1024" s="24">
        <f>R1024+S1024/60+T1024/3600</f>
        <v>0</v>
      </c>
      <c r="V1024" s="28">
        <f>ABS(U1024-P1024)/P1024</f>
        <v>1</v>
      </c>
      <c r="W1024" s="22"/>
      <c r="X1024" s="22"/>
      <c r="Y1024" s="22"/>
      <c r="Z1024" s="14">
        <f>W1024+X1024/60+Y1024/3600</f>
        <v>0</v>
      </c>
      <c r="AA1024" s="26">
        <f>ABS(Z1024-Q1024)/Q1024</f>
        <v>1</v>
      </c>
      <c r="AB1024" s="26"/>
      <c r="AC1024" s="14">
        <f>P1024</f>
        <v>48.963344112800002</v>
      </c>
      <c r="AD1024" s="14">
        <f>Q1024</f>
        <v>1.8090945087700001</v>
      </c>
    </row>
    <row r="1025" spans="1:30" s="14" customFormat="1">
      <c r="A1025" s="12">
        <v>27</v>
      </c>
      <c r="B1025" s="12" t="s">
        <v>246</v>
      </c>
      <c r="C1025" s="14" t="str">
        <f>VLOOKUP(B1025,weights!A:B,2,FALSE)</f>
        <v>M</v>
      </c>
      <c r="D1025" s="13">
        <v>1023</v>
      </c>
      <c r="E1025" s="14" t="s">
        <v>1035</v>
      </c>
      <c r="G1025" s="15" t="s">
        <v>547</v>
      </c>
      <c r="H1025" s="18" t="s">
        <v>1985</v>
      </c>
      <c r="I1025" s="18"/>
      <c r="K1025" s="14">
        <f>VLOOKUP(B1025,weights!A:G,5,FALSE)</f>
        <v>4.76</v>
      </c>
      <c r="L1025" s="14">
        <f>VLOOKUP(B1025,weights!A:G,6,FALSE)</f>
        <v>7</v>
      </c>
      <c r="M1025" s="14">
        <f>VLOOKUP(B1025,weights!A:G,7,FALSE)</f>
        <v>10</v>
      </c>
      <c r="N1025" t="s">
        <v>4762</v>
      </c>
      <c r="O1025">
        <v>263</v>
      </c>
      <c r="P1025">
        <v>48.989502507099999</v>
      </c>
      <c r="Q1025">
        <v>1.7030161341900001</v>
      </c>
      <c r="R1025" s="22"/>
      <c r="S1025" s="22"/>
      <c r="T1025" s="22"/>
      <c r="U1025" s="24">
        <f>R1025+S1025/60+T1025/3600</f>
        <v>0</v>
      </c>
      <c r="V1025" s="28">
        <f>ABS(U1025-P1025)/P1025</f>
        <v>1</v>
      </c>
      <c r="W1025" s="22"/>
      <c r="X1025" s="22"/>
      <c r="Y1025" s="22"/>
      <c r="Z1025" s="14">
        <f>W1025+X1025/60+Y1025/3600</f>
        <v>0</v>
      </c>
      <c r="AA1025" s="26">
        <f>ABS(Z1025-Q1025)/Q1025</f>
        <v>1</v>
      </c>
      <c r="AB1025" s="26"/>
      <c r="AC1025" s="14">
        <f>P1025</f>
        <v>48.989502507099999</v>
      </c>
      <c r="AD1025" s="14">
        <f>Q1025</f>
        <v>1.7030161341900001</v>
      </c>
    </row>
    <row r="1026" spans="1:30" s="14" customFormat="1">
      <c r="A1026" s="12">
        <v>28</v>
      </c>
      <c r="B1026" s="12" t="s">
        <v>246</v>
      </c>
      <c r="C1026" s="14" t="str">
        <f>VLOOKUP(B1026,weights!A:B,2,FALSE)</f>
        <v>M</v>
      </c>
      <c r="D1026" s="13">
        <v>1024</v>
      </c>
      <c r="E1026" s="14" t="s">
        <v>659</v>
      </c>
      <c r="G1026" s="15" t="s">
        <v>1159</v>
      </c>
      <c r="H1026" s="18" t="s">
        <v>1987</v>
      </c>
      <c r="I1026" s="18" t="s">
        <v>1986</v>
      </c>
      <c r="J1026" s="14">
        <v>1025</v>
      </c>
      <c r="K1026" s="14">
        <f>VLOOKUP(B1026,weights!A:G,5,FALSE)</f>
        <v>4.76</v>
      </c>
      <c r="L1026" s="14">
        <f>VLOOKUP(B1026,weights!A:G,6,FALSE)</f>
        <v>7</v>
      </c>
      <c r="M1026" s="14">
        <f>VLOOKUP(B1026,weights!A:G,7,FALSE)</f>
        <v>10</v>
      </c>
      <c r="N1026" t="s">
        <v>5634</v>
      </c>
      <c r="O1026">
        <v>468</v>
      </c>
      <c r="P1026">
        <v>48.787390239200001</v>
      </c>
      <c r="Q1026">
        <v>2.04462198988</v>
      </c>
      <c r="R1026" s="22"/>
      <c r="S1026" s="22"/>
      <c r="T1026" s="22"/>
      <c r="U1026" s="24">
        <f>R1026+S1026/60+T1026/3600</f>
        <v>0</v>
      </c>
      <c r="V1026" s="28">
        <f>ABS(U1026-P1026)/P1026</f>
        <v>1</v>
      </c>
      <c r="W1026" s="22"/>
      <c r="X1026" s="22"/>
      <c r="Y1026" s="22"/>
      <c r="Z1026" s="14">
        <f>W1026+X1026/60+Y1026/3600</f>
        <v>0</v>
      </c>
      <c r="AA1026" s="26">
        <f>ABS(Z1026-Q1026)/Q1026</f>
        <v>1</v>
      </c>
      <c r="AB1026" s="26"/>
      <c r="AC1026" s="14">
        <f>P1026</f>
        <v>48.787390239200001</v>
      </c>
      <c r="AD1026" s="14">
        <f>Q1026</f>
        <v>2.04462198988</v>
      </c>
    </row>
    <row r="1027" spans="1:30" s="14" customFormat="1">
      <c r="A1027" s="12">
        <v>29</v>
      </c>
      <c r="B1027" s="12" t="s">
        <v>246</v>
      </c>
      <c r="C1027" s="14" t="str">
        <f>VLOOKUP(B1027,weights!A:B,2,FALSE)</f>
        <v>M</v>
      </c>
      <c r="D1027" s="13">
        <v>1025</v>
      </c>
      <c r="E1027" s="14" t="s">
        <v>1153</v>
      </c>
      <c r="G1027" s="15" t="s">
        <v>1121</v>
      </c>
      <c r="H1027" s="18" t="s">
        <v>1988</v>
      </c>
      <c r="I1027" s="18"/>
      <c r="J1027" s="14">
        <v>1026</v>
      </c>
      <c r="K1027" s="14">
        <f>VLOOKUP(B1027,weights!A:G,5,FALSE)</f>
        <v>4.76</v>
      </c>
      <c r="L1027" s="14">
        <f>VLOOKUP(B1027,weights!A:G,6,FALSE)</f>
        <v>7</v>
      </c>
      <c r="M1027" s="14">
        <f>VLOOKUP(B1027,weights!A:G,7,FALSE)</f>
        <v>10</v>
      </c>
      <c r="N1027" t="s">
        <v>5808</v>
      </c>
      <c r="O1027">
        <v>732</v>
      </c>
      <c r="P1027">
        <v>48.774802810700002</v>
      </c>
      <c r="Q1027">
        <v>2.00656687176</v>
      </c>
      <c r="R1027" s="22"/>
      <c r="S1027" s="22"/>
      <c r="T1027" s="22"/>
      <c r="U1027" s="24">
        <f>R1027+S1027/60+T1027/3600</f>
        <v>0</v>
      </c>
      <c r="V1027" s="28">
        <f>ABS(U1027-P1027)/P1027</f>
        <v>1</v>
      </c>
      <c r="W1027" s="22"/>
      <c r="X1027" s="22"/>
      <c r="Y1027" s="22"/>
      <c r="Z1027" s="14">
        <f>W1027+X1027/60+Y1027/3600</f>
        <v>0</v>
      </c>
      <c r="AA1027" s="26">
        <f>ABS(Z1027-Q1027)/Q1027</f>
        <v>1</v>
      </c>
      <c r="AB1027" s="26"/>
      <c r="AC1027" s="14">
        <f>P1027</f>
        <v>48.774802810700002</v>
      </c>
      <c r="AD1027" s="14">
        <f>Q1027</f>
        <v>2.00656687176</v>
      </c>
    </row>
    <row r="1028" spans="1:30" s="14" customFormat="1">
      <c r="A1028" s="12">
        <v>30</v>
      </c>
      <c r="B1028" s="12" t="s">
        <v>246</v>
      </c>
      <c r="C1028" s="14" t="str">
        <f>VLOOKUP(B1028,weights!A:B,2,FALSE)</f>
        <v>M</v>
      </c>
      <c r="D1028" s="13">
        <v>1026</v>
      </c>
      <c r="E1028" s="14" t="s">
        <v>1154</v>
      </c>
      <c r="G1028" s="15" t="s">
        <v>1121</v>
      </c>
      <c r="H1028" s="18" t="s">
        <v>1989</v>
      </c>
      <c r="I1028" s="18"/>
      <c r="J1028" s="14">
        <v>1027</v>
      </c>
      <c r="K1028" s="14">
        <f>VLOOKUP(B1028,weights!A:G,5,FALSE)</f>
        <v>4.76</v>
      </c>
      <c r="L1028" s="14">
        <f>VLOOKUP(B1028,weights!A:G,6,FALSE)</f>
        <v>7</v>
      </c>
      <c r="M1028" s="14">
        <f>VLOOKUP(B1028,weights!A:G,7,FALSE)</f>
        <v>10</v>
      </c>
      <c r="N1028" t="s">
        <v>4444</v>
      </c>
      <c r="O1028">
        <v>733</v>
      </c>
      <c r="P1028">
        <v>48.7553892687</v>
      </c>
      <c r="Q1028">
        <v>1.9438351997000001</v>
      </c>
      <c r="R1028" s="22"/>
      <c r="S1028" s="22"/>
      <c r="T1028" s="22"/>
      <c r="U1028" s="24">
        <f>R1028+S1028/60+T1028/3600</f>
        <v>0</v>
      </c>
      <c r="V1028" s="28">
        <f>ABS(U1028-P1028)/P1028</f>
        <v>1</v>
      </c>
      <c r="W1028" s="22"/>
      <c r="X1028" s="22"/>
      <c r="Y1028" s="22"/>
      <c r="Z1028" s="14">
        <f>W1028+X1028/60+Y1028/3600</f>
        <v>0</v>
      </c>
      <c r="AA1028" s="26">
        <f>ABS(Z1028-Q1028)/Q1028</f>
        <v>1</v>
      </c>
      <c r="AB1028" s="26"/>
      <c r="AC1028" s="14">
        <f>P1028</f>
        <v>48.7553892687</v>
      </c>
      <c r="AD1028" s="14">
        <f>Q1028</f>
        <v>1.9438351997000001</v>
      </c>
    </row>
    <row r="1029" spans="1:30" s="14" customFormat="1">
      <c r="A1029" s="12">
        <v>31</v>
      </c>
      <c r="B1029" s="12" t="s">
        <v>246</v>
      </c>
      <c r="C1029" s="14" t="str">
        <f>VLOOKUP(B1029,weights!A:B,2,FALSE)</f>
        <v>M</v>
      </c>
      <c r="D1029" s="13">
        <v>1027</v>
      </c>
      <c r="E1029" s="14" t="s">
        <v>1155</v>
      </c>
      <c r="G1029" s="15"/>
      <c r="H1029" s="18"/>
      <c r="I1029" s="18"/>
      <c r="J1029" s="14">
        <v>1028</v>
      </c>
      <c r="K1029" s="14">
        <f>VLOOKUP(B1029,weights!A:G,5,FALSE)</f>
        <v>4.76</v>
      </c>
      <c r="L1029" s="14">
        <f>VLOOKUP(B1029,weights!A:G,6,FALSE)</f>
        <v>7</v>
      </c>
      <c r="M1029" s="14">
        <f>VLOOKUP(B1029,weights!A:G,7,FALSE)</f>
        <v>10</v>
      </c>
      <c r="N1029" t="s">
        <v>3718</v>
      </c>
      <c r="O1029">
        <v>909</v>
      </c>
      <c r="P1029">
        <v>48.743483985899999</v>
      </c>
      <c r="Q1029">
        <v>1.9210366000400001</v>
      </c>
      <c r="R1029" s="22"/>
      <c r="S1029" s="22"/>
      <c r="T1029" s="22"/>
      <c r="U1029" s="24">
        <f>R1029+S1029/60+T1029/3600</f>
        <v>0</v>
      </c>
      <c r="V1029" s="28">
        <f>ABS(U1029-P1029)/P1029</f>
        <v>1</v>
      </c>
      <c r="W1029" s="22"/>
      <c r="X1029" s="22"/>
      <c r="Y1029" s="22"/>
      <c r="Z1029" s="14">
        <f>W1029+X1029/60+Y1029/3600</f>
        <v>0</v>
      </c>
      <c r="AA1029" s="26">
        <f>ABS(Z1029-Q1029)/Q1029</f>
        <v>1</v>
      </c>
      <c r="AB1029" s="26"/>
      <c r="AC1029" s="14">
        <f>P1029</f>
        <v>48.743483985899999</v>
      </c>
      <c r="AD1029" s="14">
        <f>Q1029</f>
        <v>1.9210366000400001</v>
      </c>
    </row>
    <row r="1030" spans="1:30" s="14" customFormat="1">
      <c r="A1030" s="12">
        <v>32</v>
      </c>
      <c r="B1030" s="12" t="s">
        <v>246</v>
      </c>
      <c r="C1030" s="14" t="str">
        <f>VLOOKUP(B1030,weights!A:B,2,FALSE)</f>
        <v>M</v>
      </c>
      <c r="D1030" s="13">
        <v>1028</v>
      </c>
      <c r="E1030" s="14" t="s">
        <v>1156</v>
      </c>
      <c r="G1030" s="15"/>
      <c r="H1030" s="18"/>
      <c r="I1030" s="18"/>
      <c r="J1030" s="14">
        <v>1029</v>
      </c>
      <c r="K1030" s="14">
        <f>VLOOKUP(B1030,weights!A:G,5,FALSE)</f>
        <v>4.76</v>
      </c>
      <c r="L1030" s="14">
        <f>VLOOKUP(B1030,weights!A:G,6,FALSE)</f>
        <v>7</v>
      </c>
      <c r="M1030" s="14">
        <f>VLOOKUP(B1030,weights!A:G,7,FALSE)</f>
        <v>10</v>
      </c>
      <c r="N1030" t="s">
        <v>4617</v>
      </c>
      <c r="O1030">
        <v>164</v>
      </c>
      <c r="P1030">
        <v>48.721915961100002</v>
      </c>
      <c r="Q1030">
        <v>1.8900045650599999</v>
      </c>
      <c r="R1030" s="22"/>
      <c r="S1030" s="22"/>
      <c r="T1030" s="22"/>
      <c r="U1030" s="24">
        <f>R1030+S1030/60+T1030/3600</f>
        <v>0</v>
      </c>
      <c r="V1030" s="28">
        <f>ABS(U1030-P1030)/P1030</f>
        <v>1</v>
      </c>
      <c r="W1030" s="22"/>
      <c r="X1030" s="22"/>
      <c r="Y1030" s="22"/>
      <c r="Z1030" s="14">
        <f>W1030+X1030/60+Y1030/3600</f>
        <v>0</v>
      </c>
      <c r="AA1030" s="26">
        <f>ABS(Z1030-Q1030)/Q1030</f>
        <v>1</v>
      </c>
      <c r="AB1030" s="26"/>
      <c r="AC1030" s="14">
        <f>P1030</f>
        <v>48.721915961100002</v>
      </c>
      <c r="AD1030" s="14">
        <f>Q1030</f>
        <v>1.8900045650599999</v>
      </c>
    </row>
    <row r="1031" spans="1:30" s="14" customFormat="1">
      <c r="A1031" s="12">
        <v>33</v>
      </c>
      <c r="B1031" s="12" t="s">
        <v>246</v>
      </c>
      <c r="C1031" s="14" t="str">
        <f>VLOOKUP(B1031,weights!A:B,2,FALSE)</f>
        <v>M</v>
      </c>
      <c r="D1031" s="13">
        <v>1029</v>
      </c>
      <c r="E1031" s="14" t="s">
        <v>1157</v>
      </c>
      <c r="G1031" s="15"/>
      <c r="H1031" s="18"/>
      <c r="I1031" s="18"/>
      <c r="J1031" s="14">
        <v>1030</v>
      </c>
      <c r="K1031" s="14">
        <f>VLOOKUP(B1031,weights!A:G,5,FALSE)</f>
        <v>4.76</v>
      </c>
      <c r="L1031" s="14">
        <f>VLOOKUP(B1031,weights!A:G,6,FALSE)</f>
        <v>7</v>
      </c>
      <c r="M1031" s="14">
        <f>VLOOKUP(B1031,weights!A:G,7,FALSE)</f>
        <v>10</v>
      </c>
      <c r="N1031" t="s">
        <v>4509</v>
      </c>
      <c r="O1031">
        <v>896</v>
      </c>
      <c r="P1031">
        <v>48.693096590300001</v>
      </c>
      <c r="Q1031">
        <v>1.8565920653100001</v>
      </c>
      <c r="R1031" s="22"/>
      <c r="S1031" s="22"/>
      <c r="T1031" s="22"/>
      <c r="U1031" s="24">
        <f>R1031+S1031/60+T1031/3600</f>
        <v>0</v>
      </c>
      <c r="V1031" s="28">
        <f>ABS(U1031-P1031)/P1031</f>
        <v>1</v>
      </c>
      <c r="W1031" s="22"/>
      <c r="X1031" s="22"/>
      <c r="Y1031" s="22"/>
      <c r="Z1031" s="14">
        <f>W1031+X1031/60+Y1031/3600</f>
        <v>0</v>
      </c>
      <c r="AA1031" s="26">
        <f>ABS(Z1031-Q1031)/Q1031</f>
        <v>1</v>
      </c>
      <c r="AB1031" s="26"/>
      <c r="AC1031" s="14">
        <f>P1031</f>
        <v>48.693096590300001</v>
      </c>
      <c r="AD1031" s="14">
        <f>Q1031</f>
        <v>1.8565920653100001</v>
      </c>
    </row>
    <row r="1032" spans="1:30" s="14" customFormat="1">
      <c r="A1032" s="12">
        <v>34</v>
      </c>
      <c r="B1032" s="12" t="s">
        <v>246</v>
      </c>
      <c r="C1032" s="14" t="str">
        <f>VLOOKUP(B1032,weights!A:B,2,FALSE)</f>
        <v>M</v>
      </c>
      <c r="D1032" s="13">
        <v>1030</v>
      </c>
      <c r="E1032" s="14" t="s">
        <v>1158</v>
      </c>
      <c r="G1032" s="15"/>
      <c r="H1032" s="18"/>
      <c r="I1032" s="18"/>
      <c r="K1032" s="14">
        <f>VLOOKUP(B1032,weights!A:G,5,FALSE)</f>
        <v>4.76</v>
      </c>
      <c r="L1032" s="14">
        <f>VLOOKUP(B1032,weights!A:G,6,FALSE)</f>
        <v>7</v>
      </c>
      <c r="M1032" s="14">
        <f>VLOOKUP(B1032,weights!A:G,7,FALSE)</f>
        <v>10</v>
      </c>
      <c r="N1032" t="s">
        <v>5413</v>
      </c>
      <c r="O1032">
        <v>165</v>
      </c>
      <c r="P1032">
        <v>48.644221952599999</v>
      </c>
      <c r="Q1032">
        <v>1.83293547037</v>
      </c>
      <c r="R1032" s="22"/>
      <c r="S1032" s="22"/>
      <c r="T1032" s="22"/>
      <c r="U1032" s="24">
        <f>R1032+S1032/60+T1032/3600</f>
        <v>0</v>
      </c>
      <c r="V1032" s="28">
        <f>ABS(U1032-P1032)/P1032</f>
        <v>1</v>
      </c>
      <c r="W1032" s="22"/>
      <c r="X1032" s="22"/>
      <c r="Y1032" s="22"/>
      <c r="Z1032" s="14">
        <f>W1032+X1032/60+Y1032/3600</f>
        <v>0</v>
      </c>
      <c r="AA1032" s="26">
        <f>ABS(Z1032-Q1032)/Q1032</f>
        <v>1</v>
      </c>
      <c r="AB1032" s="26"/>
      <c r="AC1032" s="14">
        <f>P1032</f>
        <v>48.644221952599999</v>
      </c>
      <c r="AD1032" s="14">
        <f>Q1032</f>
        <v>1.83293547037</v>
      </c>
    </row>
    <row r="1033" spans="1:30" s="14" customFormat="1">
      <c r="A1033" s="12">
        <v>0</v>
      </c>
      <c r="B1033" s="12" t="s">
        <v>746</v>
      </c>
      <c r="C1033" s="14" t="str">
        <f>VLOOKUP(B1033,weights!A:B,2,FALSE)</f>
        <v>M</v>
      </c>
      <c r="D1033" s="13">
        <v>1031</v>
      </c>
      <c r="E1033" s="14" t="s">
        <v>1161</v>
      </c>
      <c r="G1033" s="15" t="s">
        <v>1495</v>
      </c>
      <c r="H1033" s="18"/>
      <c r="I1033" s="18" t="s">
        <v>1990</v>
      </c>
      <c r="J1033" s="14" t="s">
        <v>1565</v>
      </c>
      <c r="K1033" s="14">
        <f>VLOOKUP(B1033,weights!A:G,5,FALSE)</f>
        <v>8.7799999999999994</v>
      </c>
      <c r="L1033" s="14">
        <f>VLOOKUP(B1033,weights!A:G,6,FALSE)</f>
        <v>7</v>
      </c>
      <c r="M1033" s="14">
        <f>VLOOKUP(B1033,weights!A:G,7,FALSE)</f>
        <v>10</v>
      </c>
      <c r="N1033" t="s">
        <v>4098</v>
      </c>
      <c r="O1033">
        <v>712</v>
      </c>
      <c r="P1033">
        <v>48.8773756199</v>
      </c>
      <c r="Q1033">
        <v>2.3594566169400002</v>
      </c>
      <c r="R1033" s="22"/>
      <c r="S1033" s="22"/>
      <c r="T1033" s="22"/>
      <c r="U1033" s="24">
        <f>R1033+S1033/60+T1033/3600</f>
        <v>0</v>
      </c>
      <c r="V1033" s="28">
        <f>ABS(U1033-P1033)/P1033</f>
        <v>1</v>
      </c>
      <c r="W1033" s="22"/>
      <c r="X1033" s="22"/>
      <c r="Y1033" s="22"/>
      <c r="Z1033" s="14">
        <f>W1033+X1033/60+Y1033/3600</f>
        <v>0</v>
      </c>
      <c r="AA1033" s="26">
        <f>ABS(Z1033-Q1033)/Q1033</f>
        <v>1</v>
      </c>
      <c r="AB1033" s="26"/>
      <c r="AC1033" s="14">
        <f>P1033</f>
        <v>48.8773756199</v>
      </c>
      <c r="AD1033" s="14">
        <f>Q1033</f>
        <v>2.3594566169400002</v>
      </c>
    </row>
    <row r="1034" spans="1:30" s="14" customFormat="1">
      <c r="A1034" s="12">
        <v>1</v>
      </c>
      <c r="B1034" s="12" t="s">
        <v>746</v>
      </c>
      <c r="C1034" s="14" t="str">
        <f>VLOOKUP(B1034,weights!A:B,2,FALSE)</f>
        <v>M</v>
      </c>
      <c r="D1034" s="13">
        <v>1032</v>
      </c>
      <c r="E1034" s="14" t="s">
        <v>733</v>
      </c>
      <c r="G1034" s="15" t="s">
        <v>558</v>
      </c>
      <c r="H1034" s="18"/>
      <c r="I1034" s="18" t="s">
        <v>1991</v>
      </c>
      <c r="J1034" s="14">
        <v>1033</v>
      </c>
      <c r="K1034" s="14">
        <f>VLOOKUP(B1034,weights!A:G,5,FALSE)</f>
        <v>8.7799999999999994</v>
      </c>
      <c r="L1034" s="14">
        <f>VLOOKUP(B1034,weights!A:G,6,FALSE)</f>
        <v>7</v>
      </c>
      <c r="M1034" s="14">
        <f>VLOOKUP(B1034,weights!A:G,7,FALSE)</f>
        <v>10</v>
      </c>
      <c r="N1034" t="s">
        <v>3665</v>
      </c>
      <c r="O1034">
        <v>484</v>
      </c>
      <c r="P1034">
        <v>48.874144083899999</v>
      </c>
      <c r="Q1034">
        <v>2.5833311553199998</v>
      </c>
      <c r="R1034" s="22"/>
      <c r="S1034" s="22"/>
      <c r="T1034" s="22"/>
      <c r="U1034" s="24">
        <f>R1034+S1034/60+T1034/3600</f>
        <v>0</v>
      </c>
      <c r="V1034" s="28">
        <f>ABS(U1034-P1034)/P1034</f>
        <v>1</v>
      </c>
      <c r="W1034" s="22"/>
      <c r="X1034" s="22"/>
      <c r="Y1034" s="22"/>
      <c r="Z1034" s="14">
        <f>W1034+X1034/60+Y1034/3600</f>
        <v>0</v>
      </c>
      <c r="AA1034" s="26">
        <f>ABS(Z1034-Q1034)/Q1034</f>
        <v>1</v>
      </c>
      <c r="AB1034" s="26"/>
      <c r="AC1034" s="14">
        <f>P1034</f>
        <v>48.874144083899999</v>
      </c>
      <c r="AD1034" s="14">
        <f>Q1034</f>
        <v>2.5833311553199998</v>
      </c>
    </row>
    <row r="1035" spans="1:30" s="14" customFormat="1">
      <c r="A1035" s="12">
        <v>2</v>
      </c>
      <c r="B1035" s="12" t="s">
        <v>746</v>
      </c>
      <c r="C1035" s="14" t="str">
        <f>VLOOKUP(B1035,weights!A:B,2,FALSE)</f>
        <v>M</v>
      </c>
      <c r="D1035" s="13">
        <v>1033</v>
      </c>
      <c r="E1035" s="14" t="s">
        <v>1162</v>
      </c>
      <c r="G1035" s="15"/>
      <c r="H1035" s="18"/>
      <c r="I1035" s="18"/>
      <c r="J1035" s="14">
        <v>1034</v>
      </c>
      <c r="K1035" s="14">
        <f>VLOOKUP(B1035,weights!A:G,5,FALSE)</f>
        <v>8.7799999999999994</v>
      </c>
      <c r="L1035" s="14">
        <f>VLOOKUP(B1035,weights!A:G,6,FALSE)</f>
        <v>7</v>
      </c>
      <c r="M1035" s="14">
        <f>VLOOKUP(B1035,weights!A:G,7,FALSE)</f>
        <v>10</v>
      </c>
      <c r="N1035" t="s">
        <v>5833</v>
      </c>
      <c r="O1035">
        <v>51</v>
      </c>
      <c r="P1035">
        <v>48.8752082655</v>
      </c>
      <c r="Q1035">
        <v>2.63759072126</v>
      </c>
      <c r="R1035" s="22"/>
      <c r="S1035" s="22"/>
      <c r="T1035" s="22"/>
      <c r="U1035" s="24">
        <f>R1035+S1035/60+T1035/3600</f>
        <v>0</v>
      </c>
      <c r="V1035" s="28">
        <f>ABS(U1035-P1035)/P1035</f>
        <v>1</v>
      </c>
      <c r="W1035" s="22"/>
      <c r="X1035" s="22"/>
      <c r="Y1035" s="22"/>
      <c r="Z1035" s="14">
        <f>W1035+X1035/60+Y1035/3600</f>
        <v>0</v>
      </c>
      <c r="AA1035" s="26">
        <f>ABS(Z1035-Q1035)/Q1035</f>
        <v>1</v>
      </c>
      <c r="AB1035" s="26"/>
      <c r="AC1035" s="14">
        <f>P1035</f>
        <v>48.8752082655</v>
      </c>
      <c r="AD1035" s="14">
        <f>Q1035</f>
        <v>2.63759072126</v>
      </c>
    </row>
    <row r="1036" spans="1:30" s="14" customFormat="1">
      <c r="A1036" s="12">
        <v>3</v>
      </c>
      <c r="B1036" s="12" t="s">
        <v>746</v>
      </c>
      <c r="C1036" s="14" t="str">
        <f>VLOOKUP(B1036,weights!A:B,2,FALSE)</f>
        <v>M</v>
      </c>
      <c r="D1036" s="13">
        <v>1034</v>
      </c>
      <c r="E1036" s="14" t="s">
        <v>1163</v>
      </c>
      <c r="G1036" s="15"/>
      <c r="H1036" s="18"/>
      <c r="I1036" s="18"/>
      <c r="J1036" s="14">
        <v>1035</v>
      </c>
      <c r="K1036" s="14">
        <f>VLOOKUP(B1036,weights!A:G,5,FALSE)</f>
        <v>8.7799999999999994</v>
      </c>
      <c r="L1036" s="14">
        <f>VLOOKUP(B1036,weights!A:G,6,FALSE)</f>
        <v>7</v>
      </c>
      <c r="M1036" s="14">
        <f>VLOOKUP(B1036,weights!A:G,7,FALSE)</f>
        <v>10</v>
      </c>
      <c r="N1036" t="s">
        <v>4457</v>
      </c>
      <c r="O1036">
        <v>231</v>
      </c>
      <c r="P1036">
        <v>48.882189137600001</v>
      </c>
      <c r="Q1036">
        <v>2.70601418112</v>
      </c>
      <c r="R1036" s="22"/>
      <c r="S1036" s="22"/>
      <c r="T1036" s="22"/>
      <c r="U1036" s="24">
        <f>R1036+S1036/60+T1036/3600</f>
        <v>0</v>
      </c>
      <c r="V1036" s="28">
        <f>ABS(U1036-P1036)/P1036</f>
        <v>1</v>
      </c>
      <c r="W1036" s="22"/>
      <c r="X1036" s="22"/>
      <c r="Y1036" s="22"/>
      <c r="Z1036" s="14">
        <f>W1036+X1036/60+Y1036/3600</f>
        <v>0</v>
      </c>
      <c r="AA1036" s="26">
        <f>ABS(Z1036-Q1036)/Q1036</f>
        <v>1</v>
      </c>
      <c r="AB1036" s="26"/>
      <c r="AC1036" s="14">
        <f>P1036</f>
        <v>48.882189137600001</v>
      </c>
      <c r="AD1036" s="14">
        <f>Q1036</f>
        <v>2.70601418112</v>
      </c>
    </row>
    <row r="1037" spans="1:30" s="14" customFormat="1">
      <c r="A1037" s="12">
        <v>4</v>
      </c>
      <c r="B1037" s="12" t="s">
        <v>746</v>
      </c>
      <c r="C1037" s="14" t="str">
        <f>VLOOKUP(B1037,weights!A:B,2,FALSE)</f>
        <v>M</v>
      </c>
      <c r="D1037" s="13">
        <v>1035</v>
      </c>
      <c r="E1037" s="14" t="s">
        <v>1164</v>
      </c>
      <c r="G1037" s="15"/>
      <c r="H1037" s="18"/>
      <c r="I1037" s="18"/>
      <c r="J1037" s="14">
        <v>1036.104</v>
      </c>
      <c r="K1037" s="14">
        <f>VLOOKUP(B1037,weights!A:G,5,FALSE)</f>
        <v>8.7799999999999994</v>
      </c>
      <c r="L1037" s="14">
        <f>VLOOKUP(B1037,weights!A:G,6,FALSE)</f>
        <v>7</v>
      </c>
      <c r="M1037" s="14">
        <f>VLOOKUP(B1037,weights!A:G,7,FALSE)</f>
        <v>10</v>
      </c>
      <c r="N1037" t="s">
        <v>3969</v>
      </c>
      <c r="O1037">
        <v>358</v>
      </c>
      <c r="P1037">
        <v>48.903072915999999</v>
      </c>
      <c r="Q1037">
        <v>2.81024821936</v>
      </c>
      <c r="R1037" s="22"/>
      <c r="S1037" s="22"/>
      <c r="T1037" s="22"/>
      <c r="U1037" s="24">
        <f>R1037+S1037/60+T1037/3600</f>
        <v>0</v>
      </c>
      <c r="V1037" s="28">
        <f>ABS(U1037-P1037)/P1037</f>
        <v>1</v>
      </c>
      <c r="W1037" s="22"/>
      <c r="X1037" s="22"/>
      <c r="Y1037" s="22"/>
      <c r="Z1037" s="14">
        <f>W1037+X1037/60+Y1037/3600</f>
        <v>0</v>
      </c>
      <c r="AA1037" s="26">
        <f>ABS(Z1037-Q1037)/Q1037</f>
        <v>1</v>
      </c>
      <c r="AB1037" s="26"/>
      <c r="AC1037" s="14">
        <f>P1037</f>
        <v>48.903072915999999</v>
      </c>
      <c r="AD1037" s="14">
        <f>Q1037</f>
        <v>2.81024821936</v>
      </c>
    </row>
    <row r="1038" spans="1:30" s="14" customFormat="1">
      <c r="A1038" s="12">
        <v>5</v>
      </c>
      <c r="B1038" s="12" t="s">
        <v>746</v>
      </c>
      <c r="C1038" s="14" t="str">
        <f>VLOOKUP(B1038,weights!A:B,2,FALSE)</f>
        <v>M</v>
      </c>
      <c r="D1038" s="13">
        <v>1036</v>
      </c>
      <c r="E1038" s="14" t="s">
        <v>1165</v>
      </c>
      <c r="G1038" s="15"/>
      <c r="H1038" s="18"/>
      <c r="I1038" s="18"/>
      <c r="J1038" s="14">
        <v>1037</v>
      </c>
      <c r="K1038" s="14">
        <f>VLOOKUP(B1038,weights!A:G,5,FALSE)</f>
        <v>8.7799999999999994</v>
      </c>
      <c r="L1038" s="14">
        <f>VLOOKUP(B1038,weights!A:G,6,FALSE)</f>
        <v>7</v>
      </c>
      <c r="M1038" s="14">
        <f>VLOOKUP(B1038,weights!A:G,7,FALSE)</f>
        <v>10</v>
      </c>
      <c r="N1038" t="s">
        <v>4926</v>
      </c>
      <c r="O1038">
        <v>874</v>
      </c>
      <c r="P1038">
        <v>48.890856795399998</v>
      </c>
      <c r="Q1038">
        <v>2.8264054986699998</v>
      </c>
      <c r="R1038" s="22"/>
      <c r="S1038" s="22"/>
      <c r="T1038" s="22"/>
      <c r="U1038" s="24">
        <f>R1038+S1038/60+T1038/3600</f>
        <v>0</v>
      </c>
      <c r="V1038" s="28">
        <f>ABS(U1038-P1038)/P1038</f>
        <v>1</v>
      </c>
      <c r="W1038" s="22"/>
      <c r="X1038" s="22"/>
      <c r="Y1038" s="22"/>
      <c r="Z1038" s="14">
        <f>W1038+X1038/60+Y1038/3600</f>
        <v>0</v>
      </c>
      <c r="AA1038" s="26">
        <f>ABS(Z1038-Q1038)/Q1038</f>
        <v>1</v>
      </c>
      <c r="AB1038" s="26"/>
      <c r="AC1038" s="14">
        <f>P1038</f>
        <v>48.890856795399998</v>
      </c>
      <c r="AD1038" s="14">
        <f>Q1038</f>
        <v>2.8264054986699998</v>
      </c>
    </row>
    <row r="1039" spans="1:30" s="14" customFormat="1">
      <c r="A1039" s="12">
        <v>6</v>
      </c>
      <c r="B1039" s="12" t="s">
        <v>746</v>
      </c>
      <c r="C1039" s="14" t="str">
        <f>VLOOKUP(B1039,weights!A:B,2,FALSE)</f>
        <v>M</v>
      </c>
      <c r="D1039" s="13">
        <v>1037</v>
      </c>
      <c r="E1039" s="14" t="s">
        <v>1166</v>
      </c>
      <c r="G1039" s="15"/>
      <c r="H1039" s="18"/>
      <c r="I1039" s="18"/>
      <c r="J1039" s="14">
        <v>1038</v>
      </c>
      <c r="K1039" s="14">
        <f>VLOOKUP(B1039,weights!A:G,5,FALSE)</f>
        <v>8.7799999999999994</v>
      </c>
      <c r="L1039" s="14">
        <f>VLOOKUP(B1039,weights!A:G,6,FALSE)</f>
        <v>7</v>
      </c>
      <c r="M1039" s="14">
        <f>VLOOKUP(B1039,weights!A:G,7,FALSE)</f>
        <v>10</v>
      </c>
      <c r="N1039" t="s">
        <v>3772</v>
      </c>
      <c r="O1039">
        <v>55</v>
      </c>
      <c r="P1039">
        <v>48.882681044900004</v>
      </c>
      <c r="Q1039">
        <v>2.8543159278300001</v>
      </c>
      <c r="R1039" s="22"/>
      <c r="S1039" s="22"/>
      <c r="T1039" s="22"/>
      <c r="U1039" s="24">
        <f>R1039+S1039/60+T1039/3600</f>
        <v>0</v>
      </c>
      <c r="V1039" s="28">
        <f>ABS(U1039-P1039)/P1039</f>
        <v>1</v>
      </c>
      <c r="W1039" s="22"/>
      <c r="X1039" s="22"/>
      <c r="Y1039" s="22"/>
      <c r="Z1039" s="14">
        <f>W1039+X1039/60+Y1039/3600</f>
        <v>0</v>
      </c>
      <c r="AA1039" s="26">
        <f>ABS(Z1039-Q1039)/Q1039</f>
        <v>1</v>
      </c>
      <c r="AB1039" s="26"/>
      <c r="AC1039" s="14">
        <f>P1039</f>
        <v>48.882681044900004</v>
      </c>
      <c r="AD1039" s="14">
        <f>Q1039</f>
        <v>2.8543159278300001</v>
      </c>
    </row>
    <row r="1040" spans="1:30" s="14" customFormat="1">
      <c r="A1040" s="12">
        <v>7</v>
      </c>
      <c r="B1040" s="12" t="s">
        <v>746</v>
      </c>
      <c r="C1040" s="14" t="str">
        <f>VLOOKUP(B1040,weights!A:B,2,FALSE)</f>
        <v>M</v>
      </c>
      <c r="D1040" s="13">
        <v>1038</v>
      </c>
      <c r="E1040" s="14" t="s">
        <v>1167</v>
      </c>
      <c r="G1040" s="15"/>
      <c r="H1040" s="18"/>
      <c r="I1040" s="18"/>
      <c r="J1040" s="14">
        <v>1039</v>
      </c>
      <c r="K1040" s="14">
        <f>VLOOKUP(B1040,weights!A:G,5,FALSE)</f>
        <v>8.7799999999999994</v>
      </c>
      <c r="L1040" s="14">
        <f>VLOOKUP(B1040,weights!A:G,6,FALSE)</f>
        <v>7</v>
      </c>
      <c r="M1040" s="14">
        <f>VLOOKUP(B1040,weights!A:G,7,FALSE)</f>
        <v>10</v>
      </c>
      <c r="N1040" t="s">
        <v>5971</v>
      </c>
      <c r="O1040">
        <v>361</v>
      </c>
      <c r="P1040">
        <v>48.863290239999998</v>
      </c>
      <c r="Q1040">
        <v>2.8832017258099998</v>
      </c>
      <c r="R1040" s="22"/>
      <c r="S1040" s="22"/>
      <c r="T1040" s="22"/>
      <c r="U1040" s="24">
        <f>R1040+S1040/60+T1040/3600</f>
        <v>0</v>
      </c>
      <c r="V1040" s="28">
        <f>ABS(U1040-P1040)/P1040</f>
        <v>1</v>
      </c>
      <c r="W1040" s="22"/>
      <c r="X1040" s="22"/>
      <c r="Y1040" s="22"/>
      <c r="Z1040" s="14">
        <f>W1040+X1040/60+Y1040/3600</f>
        <v>0</v>
      </c>
      <c r="AA1040" s="26">
        <f>ABS(Z1040-Q1040)/Q1040</f>
        <v>1</v>
      </c>
      <c r="AB1040" s="26"/>
      <c r="AC1040" s="14">
        <f>P1040</f>
        <v>48.863290239999998</v>
      </c>
      <c r="AD1040" s="14">
        <f>Q1040</f>
        <v>2.8832017258099998</v>
      </c>
    </row>
    <row r="1041" spans="1:30" s="14" customFormat="1">
      <c r="A1041" s="12">
        <v>8</v>
      </c>
      <c r="B1041" s="12" t="s">
        <v>746</v>
      </c>
      <c r="C1041" s="14" t="str">
        <f>VLOOKUP(B1041,weights!A:B,2,FALSE)</f>
        <v>M</v>
      </c>
      <c r="D1041" s="13">
        <v>1039</v>
      </c>
      <c r="E1041" s="14" t="s">
        <v>1168</v>
      </c>
      <c r="G1041" s="15"/>
      <c r="H1041" s="18"/>
      <c r="I1041" s="18"/>
      <c r="K1041" s="14">
        <f>VLOOKUP(B1041,weights!A:G,5,FALSE)</f>
        <v>8.7799999999999994</v>
      </c>
      <c r="L1041" s="14">
        <f>VLOOKUP(B1041,weights!A:G,6,FALSE)</f>
        <v>7</v>
      </c>
      <c r="M1041" s="14">
        <f>VLOOKUP(B1041,weights!A:G,7,FALSE)</f>
        <v>10</v>
      </c>
      <c r="N1041" t="s">
        <v>3793</v>
      </c>
      <c r="O1041">
        <v>234</v>
      </c>
      <c r="P1041">
        <v>48.859557316900002</v>
      </c>
      <c r="Q1041">
        <v>2.9057369631899999</v>
      </c>
      <c r="R1041" s="22"/>
      <c r="S1041" s="22"/>
      <c r="T1041" s="22"/>
      <c r="U1041" s="24">
        <f>R1041+S1041/60+T1041/3600</f>
        <v>0</v>
      </c>
      <c r="V1041" s="28">
        <f>ABS(U1041-P1041)/P1041</f>
        <v>1</v>
      </c>
      <c r="W1041" s="22"/>
      <c r="X1041" s="22"/>
      <c r="Y1041" s="22"/>
      <c r="Z1041" s="14">
        <f>W1041+X1041/60+Y1041/3600</f>
        <v>0</v>
      </c>
      <c r="AA1041" s="26">
        <f>ABS(Z1041-Q1041)/Q1041</f>
        <v>1</v>
      </c>
      <c r="AB1041" s="26"/>
      <c r="AC1041" s="14">
        <f>P1041</f>
        <v>48.859557316900002</v>
      </c>
      <c r="AD1041" s="14">
        <f>Q1041</f>
        <v>2.9057369631899999</v>
      </c>
    </row>
    <row r="1042" spans="1:30" s="14" customFormat="1">
      <c r="A1042" s="12">
        <v>9</v>
      </c>
      <c r="B1042" s="12" t="s">
        <v>746</v>
      </c>
      <c r="C1042" s="14" t="str">
        <f>VLOOKUP(B1042,weights!A:B,2,FALSE)</f>
        <v>M</v>
      </c>
      <c r="D1042" s="13">
        <v>1040</v>
      </c>
      <c r="E1042" s="14" t="s">
        <v>1169</v>
      </c>
      <c r="G1042" s="15"/>
      <c r="H1042" s="18"/>
      <c r="I1042" s="18"/>
      <c r="J1042" s="14">
        <v>1041</v>
      </c>
      <c r="K1042" s="14">
        <f>VLOOKUP(B1042,weights!A:G,5,FALSE)</f>
        <v>8.7799999999999994</v>
      </c>
      <c r="L1042" s="14">
        <f>VLOOKUP(B1042,weights!A:G,6,FALSE)</f>
        <v>7</v>
      </c>
      <c r="M1042" s="14">
        <f>VLOOKUP(B1042,weights!A:G,7,FALSE)</f>
        <v>10</v>
      </c>
      <c r="N1042" t="s">
        <v>4831</v>
      </c>
      <c r="O1042">
        <v>143</v>
      </c>
      <c r="P1042">
        <v>48.957268864200003</v>
      </c>
      <c r="Q1042">
        <v>2.8734481887499999</v>
      </c>
      <c r="R1042" s="22"/>
      <c r="S1042" s="22"/>
      <c r="T1042" s="22"/>
      <c r="U1042" s="24">
        <f>R1042+S1042/60+T1042/3600</f>
        <v>0</v>
      </c>
      <c r="V1042" s="28">
        <f>ABS(U1042-P1042)/P1042</f>
        <v>1</v>
      </c>
      <c r="W1042" s="22"/>
      <c r="X1042" s="22"/>
      <c r="Y1042" s="22"/>
      <c r="Z1042" s="14">
        <f>W1042+X1042/60+Y1042/3600</f>
        <v>0</v>
      </c>
      <c r="AA1042" s="26">
        <f>ABS(Z1042-Q1042)/Q1042</f>
        <v>1</v>
      </c>
      <c r="AB1042" s="26"/>
      <c r="AC1042" s="14">
        <f>P1042</f>
        <v>48.957268864200003</v>
      </c>
      <c r="AD1042" s="14">
        <f>Q1042</f>
        <v>2.8734481887499999</v>
      </c>
    </row>
    <row r="1043" spans="1:30" s="14" customFormat="1">
      <c r="A1043" s="12">
        <v>10</v>
      </c>
      <c r="B1043" s="12" t="s">
        <v>746</v>
      </c>
      <c r="C1043" s="14" t="str">
        <f>VLOOKUP(B1043,weights!A:B,2,FALSE)</f>
        <v>M</v>
      </c>
      <c r="D1043" s="13">
        <v>1041</v>
      </c>
      <c r="E1043" s="14" t="s">
        <v>1170</v>
      </c>
      <c r="G1043" s="15"/>
      <c r="H1043" s="18"/>
      <c r="I1043" s="18"/>
      <c r="J1043" s="14">
        <v>1042.1048000000001</v>
      </c>
      <c r="K1043" s="14">
        <f>VLOOKUP(B1043,weights!A:G,5,FALSE)</f>
        <v>8.7799999999999994</v>
      </c>
      <c r="L1043" s="14">
        <f>VLOOKUP(B1043,weights!A:G,6,FALSE)</f>
        <v>7</v>
      </c>
      <c r="M1043" s="14">
        <f>VLOOKUP(B1043,weights!A:G,7,FALSE)</f>
        <v>10</v>
      </c>
      <c r="N1043" t="s">
        <v>5817</v>
      </c>
      <c r="O1043">
        <v>54</v>
      </c>
      <c r="P1043">
        <v>48.960226490700002</v>
      </c>
      <c r="Q1043">
        <v>2.9500603827499998</v>
      </c>
      <c r="R1043" s="22"/>
      <c r="S1043" s="22"/>
      <c r="T1043" s="22"/>
      <c r="U1043" s="24">
        <f>R1043+S1043/60+T1043/3600</f>
        <v>0</v>
      </c>
      <c r="V1043" s="28">
        <f>ABS(U1043-P1043)/P1043</f>
        <v>1</v>
      </c>
      <c r="W1043" s="22"/>
      <c r="X1043" s="22"/>
      <c r="Y1043" s="22"/>
      <c r="Z1043" s="14">
        <f>W1043+X1043/60+Y1043/3600</f>
        <v>0</v>
      </c>
      <c r="AA1043" s="26">
        <f>ABS(Z1043-Q1043)/Q1043</f>
        <v>1</v>
      </c>
      <c r="AB1043" s="26"/>
      <c r="AC1043" s="14">
        <f>P1043</f>
        <v>48.960226490700002</v>
      </c>
      <c r="AD1043" s="14">
        <f>Q1043</f>
        <v>2.9500603827499998</v>
      </c>
    </row>
    <row r="1044" spans="1:30" s="14" customFormat="1">
      <c r="A1044" s="12">
        <v>11</v>
      </c>
      <c r="B1044" s="12" t="s">
        <v>746</v>
      </c>
      <c r="C1044" s="14" t="str">
        <f>VLOOKUP(B1044,weights!A:B,2,FALSE)</f>
        <v>M</v>
      </c>
      <c r="D1044" s="13">
        <v>1042</v>
      </c>
      <c r="E1044" s="14" t="s">
        <v>1171</v>
      </c>
      <c r="G1044" s="15"/>
      <c r="H1044" s="18"/>
      <c r="I1044" s="18"/>
      <c r="J1044" s="14">
        <v>1043</v>
      </c>
      <c r="K1044" s="14">
        <f>VLOOKUP(B1044,weights!A:G,5,FALSE)</f>
        <v>8.7799999999999994</v>
      </c>
      <c r="L1044" s="14">
        <f>VLOOKUP(B1044,weights!A:G,6,FALSE)</f>
        <v>7</v>
      </c>
      <c r="M1044" s="14">
        <f>VLOOKUP(B1044,weights!A:G,7,FALSE)</f>
        <v>10</v>
      </c>
      <c r="N1044" t="s">
        <v>3576</v>
      </c>
      <c r="O1044">
        <v>360</v>
      </c>
      <c r="P1044">
        <v>48.959164063099998</v>
      </c>
      <c r="Q1044">
        <v>3.0261112956499998</v>
      </c>
      <c r="R1044" s="22"/>
      <c r="S1044" s="22"/>
      <c r="T1044" s="22"/>
      <c r="U1044" s="24">
        <f>R1044+S1044/60+T1044/3600</f>
        <v>0</v>
      </c>
      <c r="V1044" s="28">
        <f>ABS(U1044-P1044)/P1044</f>
        <v>1</v>
      </c>
      <c r="W1044" s="22"/>
      <c r="X1044" s="22"/>
      <c r="Y1044" s="22"/>
      <c r="Z1044" s="14">
        <f>W1044+X1044/60+Y1044/3600</f>
        <v>0</v>
      </c>
      <c r="AA1044" s="26">
        <f>ABS(Z1044-Q1044)/Q1044</f>
        <v>1</v>
      </c>
      <c r="AB1044" s="26"/>
      <c r="AC1044" s="14">
        <f>P1044</f>
        <v>48.959164063099998</v>
      </c>
      <c r="AD1044" s="14">
        <f>Q1044</f>
        <v>3.0261112956499998</v>
      </c>
    </row>
    <row r="1045" spans="1:30" s="14" customFormat="1">
      <c r="A1045" s="12">
        <v>12</v>
      </c>
      <c r="B1045" s="12" t="s">
        <v>746</v>
      </c>
      <c r="C1045" s="14" t="str">
        <f>VLOOKUP(B1045,weights!A:B,2,FALSE)</f>
        <v>M</v>
      </c>
      <c r="D1045" s="13">
        <v>1043</v>
      </c>
      <c r="E1045" s="14" t="s">
        <v>1172</v>
      </c>
      <c r="G1045" s="15"/>
      <c r="H1045" s="18"/>
      <c r="I1045" s="18"/>
      <c r="J1045" s="14">
        <v>1044</v>
      </c>
      <c r="K1045" s="14">
        <f>VLOOKUP(B1045,weights!A:G,5,FALSE)</f>
        <v>8.7799999999999994</v>
      </c>
      <c r="L1045" s="14">
        <f>VLOOKUP(B1045,weights!A:G,6,FALSE)</f>
        <v>7</v>
      </c>
      <c r="M1045" s="14">
        <f>VLOOKUP(B1045,weights!A:G,7,FALSE)</f>
        <v>10</v>
      </c>
      <c r="N1045" t="s">
        <v>4401</v>
      </c>
      <c r="O1045">
        <v>233</v>
      </c>
      <c r="P1045">
        <v>48.950819987599999</v>
      </c>
      <c r="Q1045">
        <v>3.1249090221100002</v>
      </c>
      <c r="R1045" s="22"/>
      <c r="S1045" s="22"/>
      <c r="T1045" s="22"/>
      <c r="U1045" s="24">
        <f>R1045+S1045/60+T1045/3600</f>
        <v>0</v>
      </c>
      <c r="V1045" s="28">
        <f>ABS(U1045-P1045)/P1045</f>
        <v>1</v>
      </c>
      <c r="W1045" s="22"/>
      <c r="X1045" s="22"/>
      <c r="Y1045" s="22"/>
      <c r="Z1045" s="14">
        <f>W1045+X1045/60+Y1045/3600</f>
        <v>0</v>
      </c>
      <c r="AA1045" s="26">
        <f>ABS(Z1045-Q1045)/Q1045</f>
        <v>1</v>
      </c>
      <c r="AB1045" s="26"/>
      <c r="AC1045" s="14">
        <f>P1045</f>
        <v>48.950819987599999</v>
      </c>
      <c r="AD1045" s="14">
        <f>Q1045</f>
        <v>3.1249090221100002</v>
      </c>
    </row>
    <row r="1046" spans="1:30" s="14" customFormat="1">
      <c r="A1046" s="12">
        <v>13</v>
      </c>
      <c r="B1046" s="12" t="s">
        <v>746</v>
      </c>
      <c r="C1046" s="14" t="str">
        <f>VLOOKUP(B1046,weights!A:B,2,FALSE)</f>
        <v>M</v>
      </c>
      <c r="D1046" s="13">
        <v>1044</v>
      </c>
      <c r="E1046" s="14" t="s">
        <v>1173</v>
      </c>
      <c r="G1046" s="15"/>
      <c r="H1046" s="18"/>
      <c r="I1046" s="18"/>
      <c r="J1046" s="14">
        <v>1045</v>
      </c>
      <c r="K1046" s="14">
        <f>VLOOKUP(B1046,weights!A:G,5,FALSE)</f>
        <v>8.7799999999999994</v>
      </c>
      <c r="L1046" s="14">
        <f>VLOOKUP(B1046,weights!A:G,6,FALSE)</f>
        <v>7</v>
      </c>
      <c r="M1046" s="14">
        <f>VLOOKUP(B1046,weights!A:G,7,FALSE)</f>
        <v>10</v>
      </c>
      <c r="N1046" t="s">
        <v>4977</v>
      </c>
      <c r="O1046">
        <v>873</v>
      </c>
      <c r="P1046">
        <v>48.974026580500002</v>
      </c>
      <c r="Q1046">
        <v>3.2193028128300001</v>
      </c>
      <c r="R1046" s="22"/>
      <c r="S1046" s="22"/>
      <c r="T1046" s="22"/>
      <c r="U1046" s="24">
        <f>R1046+S1046/60+T1046/3600</f>
        <v>0</v>
      </c>
      <c r="V1046" s="28">
        <f>ABS(U1046-P1046)/P1046</f>
        <v>1</v>
      </c>
      <c r="W1046" s="22"/>
      <c r="X1046" s="22"/>
      <c r="Y1046" s="22"/>
      <c r="Z1046" s="14">
        <f>W1046+X1046/60+Y1046/3600</f>
        <v>0</v>
      </c>
      <c r="AA1046" s="26">
        <f>ABS(Z1046-Q1046)/Q1046</f>
        <v>1</v>
      </c>
      <c r="AB1046" s="26"/>
      <c r="AC1046" s="14">
        <f>P1046</f>
        <v>48.974026580500002</v>
      </c>
      <c r="AD1046" s="14">
        <f>Q1046</f>
        <v>3.2193028128300001</v>
      </c>
    </row>
    <row r="1047" spans="1:30" s="14" customFormat="1">
      <c r="A1047" s="12">
        <v>14</v>
      </c>
      <c r="B1047" s="12" t="s">
        <v>746</v>
      </c>
      <c r="C1047" s="14" t="str">
        <f>VLOOKUP(B1047,weights!A:B,2,FALSE)</f>
        <v>M</v>
      </c>
      <c r="D1047" s="13">
        <v>1045</v>
      </c>
      <c r="E1047" s="14" t="s">
        <v>1174</v>
      </c>
      <c r="G1047" s="15"/>
      <c r="H1047" s="18"/>
      <c r="I1047" s="18"/>
      <c r="J1047" s="14">
        <v>1046</v>
      </c>
      <c r="K1047" s="14">
        <f>VLOOKUP(B1047,weights!A:G,5,FALSE)</f>
        <v>8.7799999999999994</v>
      </c>
      <c r="L1047" s="14">
        <f>VLOOKUP(B1047,weights!A:G,6,FALSE)</f>
        <v>7</v>
      </c>
      <c r="M1047" s="14">
        <f>VLOOKUP(B1047,weights!A:G,7,FALSE)</f>
        <v>10</v>
      </c>
      <c r="N1047" t="s">
        <v>4999</v>
      </c>
      <c r="O1047">
        <v>448</v>
      </c>
      <c r="P1047">
        <v>48.969278782099998</v>
      </c>
      <c r="Q1047">
        <v>3.3218868172499998</v>
      </c>
      <c r="R1047" s="22"/>
      <c r="S1047" s="22"/>
      <c r="T1047" s="22"/>
      <c r="U1047" s="24">
        <f>R1047+S1047/60+T1047/3600</f>
        <v>0</v>
      </c>
      <c r="V1047" s="28">
        <f>ABS(U1047-P1047)/P1047</f>
        <v>1</v>
      </c>
      <c r="W1047" s="22"/>
      <c r="X1047" s="22"/>
      <c r="Y1047" s="22"/>
      <c r="Z1047" s="14">
        <f>W1047+X1047/60+Y1047/3600</f>
        <v>0</v>
      </c>
      <c r="AA1047" s="26">
        <f>ABS(Z1047-Q1047)/Q1047</f>
        <v>1</v>
      </c>
      <c r="AB1047" s="26"/>
      <c r="AC1047" s="14">
        <f>P1047</f>
        <v>48.969278782099998</v>
      </c>
      <c r="AD1047" s="14">
        <f>Q1047</f>
        <v>3.3218868172499998</v>
      </c>
    </row>
    <row r="1048" spans="1:30" s="14" customFormat="1">
      <c r="A1048" s="12">
        <v>15</v>
      </c>
      <c r="B1048" s="12" t="s">
        <v>746</v>
      </c>
      <c r="C1048" s="14" t="str">
        <f>VLOOKUP(B1048,weights!A:B,2,FALSE)</f>
        <v>M</v>
      </c>
      <c r="D1048" s="13">
        <v>1046</v>
      </c>
      <c r="E1048" s="14" t="s">
        <v>1175</v>
      </c>
      <c r="G1048" s="15"/>
      <c r="H1048" s="18"/>
      <c r="I1048" s="18"/>
      <c r="J1048" s="14">
        <v>1047</v>
      </c>
      <c r="K1048" s="14">
        <f>VLOOKUP(B1048,weights!A:G,5,FALSE)</f>
        <v>8.7799999999999994</v>
      </c>
      <c r="L1048" s="14">
        <f>VLOOKUP(B1048,weights!A:G,6,FALSE)</f>
        <v>7</v>
      </c>
      <c r="M1048" s="14">
        <f>VLOOKUP(B1048,weights!A:G,7,FALSE)</f>
        <v>10</v>
      </c>
      <c r="N1048" t="s">
        <v>3684</v>
      </c>
      <c r="O1048">
        <v>545</v>
      </c>
      <c r="P1048">
        <v>48.9919382203</v>
      </c>
      <c r="Q1048">
        <v>3.3649271288699998</v>
      </c>
      <c r="R1048" s="22"/>
      <c r="S1048" s="22"/>
      <c r="T1048" s="22"/>
      <c r="U1048" s="24">
        <f>R1048+S1048/60+T1048/3600</f>
        <v>0</v>
      </c>
      <c r="V1048" s="28">
        <f>ABS(U1048-P1048)/P1048</f>
        <v>1</v>
      </c>
      <c r="W1048" s="22"/>
      <c r="X1048" s="22"/>
      <c r="Y1048" s="22"/>
      <c r="Z1048" s="14">
        <f>W1048+X1048/60+Y1048/3600</f>
        <v>0</v>
      </c>
      <c r="AA1048" s="26">
        <f>ABS(Z1048-Q1048)/Q1048</f>
        <v>1</v>
      </c>
      <c r="AB1048" s="26"/>
      <c r="AC1048" s="14">
        <f>P1048</f>
        <v>48.9919382203</v>
      </c>
      <c r="AD1048" s="14">
        <f>Q1048</f>
        <v>3.3649271288699998</v>
      </c>
    </row>
    <row r="1049" spans="1:30" s="14" customFormat="1">
      <c r="A1049" s="12">
        <v>16</v>
      </c>
      <c r="B1049" s="12" t="s">
        <v>746</v>
      </c>
      <c r="C1049" s="14" t="str">
        <f>VLOOKUP(B1049,weights!A:B,2,FALSE)</f>
        <v>M</v>
      </c>
      <c r="D1049" s="13">
        <v>1047</v>
      </c>
      <c r="E1049" s="14" t="s">
        <v>1176</v>
      </c>
      <c r="G1049" s="15"/>
      <c r="H1049" s="18"/>
      <c r="I1049" s="18"/>
      <c r="K1049" s="14">
        <f>VLOOKUP(B1049,weights!A:G,5,FALSE)</f>
        <v>8.7799999999999994</v>
      </c>
      <c r="L1049" s="14">
        <f>VLOOKUP(B1049,weights!A:G,6,FALSE)</f>
        <v>7</v>
      </c>
      <c r="M1049" s="14">
        <f>VLOOKUP(B1049,weights!A:G,7,FALSE)</f>
        <v>10</v>
      </c>
      <c r="N1049" t="s">
        <v>3628</v>
      </c>
      <c r="O1049">
        <v>449</v>
      </c>
      <c r="P1049">
        <v>49.037948941700002</v>
      </c>
      <c r="Q1049">
        <v>3.4095973612499999</v>
      </c>
      <c r="R1049" s="22"/>
      <c r="S1049" s="22"/>
      <c r="T1049" s="22"/>
      <c r="U1049" s="24">
        <f>R1049+S1049/60+T1049/3600</f>
        <v>0</v>
      </c>
      <c r="V1049" s="28">
        <f>ABS(U1049-P1049)/P1049</f>
        <v>1</v>
      </c>
      <c r="W1049" s="22"/>
      <c r="X1049" s="22"/>
      <c r="Y1049" s="22"/>
      <c r="Z1049" s="14">
        <f>W1049+X1049/60+Y1049/3600</f>
        <v>0</v>
      </c>
      <c r="AA1049" s="26">
        <f>ABS(Z1049-Q1049)/Q1049</f>
        <v>1</v>
      </c>
      <c r="AB1049" s="26"/>
      <c r="AC1049" s="14">
        <f>P1049</f>
        <v>49.037948941700002</v>
      </c>
      <c r="AD1049" s="14">
        <f>Q1049</f>
        <v>3.4095973612499999</v>
      </c>
    </row>
    <row r="1050" spans="1:30" s="14" customFormat="1">
      <c r="A1050" s="12">
        <v>17</v>
      </c>
      <c r="B1050" s="12" t="s">
        <v>746</v>
      </c>
      <c r="C1050" s="14" t="str">
        <f>VLOOKUP(B1050,weights!A:B,2,FALSE)</f>
        <v>M</v>
      </c>
      <c r="D1050" s="13">
        <v>1048</v>
      </c>
      <c r="E1050" s="14" t="s">
        <v>1177</v>
      </c>
      <c r="G1050" s="15"/>
      <c r="H1050" s="18"/>
      <c r="I1050" s="18"/>
      <c r="J1050" s="14">
        <v>1049</v>
      </c>
      <c r="K1050" s="14">
        <f>VLOOKUP(B1050,weights!A:G,5,FALSE)</f>
        <v>8.7799999999999994</v>
      </c>
      <c r="L1050" s="14">
        <f>VLOOKUP(B1050,weights!A:G,6,FALSE)</f>
        <v>7</v>
      </c>
      <c r="M1050" s="14">
        <f>VLOOKUP(B1050,weights!A:G,7,FALSE)</f>
        <v>10</v>
      </c>
      <c r="N1050" t="s">
        <v>4268</v>
      </c>
      <c r="O1050">
        <v>359</v>
      </c>
      <c r="P1050">
        <v>48.998415393199998</v>
      </c>
      <c r="Q1050">
        <v>3.0079530557499998</v>
      </c>
      <c r="R1050" s="22"/>
      <c r="S1050" s="22"/>
      <c r="T1050" s="22"/>
      <c r="U1050" s="24">
        <f>R1050+S1050/60+T1050/3600</f>
        <v>0</v>
      </c>
      <c r="V1050" s="28">
        <f>ABS(U1050-P1050)/P1050</f>
        <v>1</v>
      </c>
      <c r="W1050" s="22"/>
      <c r="X1050" s="22"/>
      <c r="Y1050" s="22"/>
      <c r="Z1050" s="14">
        <f>W1050+X1050/60+Y1050/3600</f>
        <v>0</v>
      </c>
      <c r="AA1050" s="26">
        <f>ABS(Z1050-Q1050)/Q1050</f>
        <v>1</v>
      </c>
      <c r="AB1050" s="26"/>
      <c r="AC1050" s="14">
        <f>P1050</f>
        <v>48.998415393199998</v>
      </c>
      <c r="AD1050" s="14">
        <f>Q1050</f>
        <v>3.0079530557499998</v>
      </c>
    </row>
    <row r="1051" spans="1:30" s="14" customFormat="1">
      <c r="A1051" s="12">
        <v>18</v>
      </c>
      <c r="B1051" s="12" t="s">
        <v>746</v>
      </c>
      <c r="C1051" s="14" t="str">
        <f>VLOOKUP(B1051,weights!A:B,2,FALSE)</f>
        <v>M</v>
      </c>
      <c r="D1051" s="13">
        <v>1049</v>
      </c>
      <c r="E1051" s="14" t="s">
        <v>1178</v>
      </c>
      <c r="G1051" s="15"/>
      <c r="H1051" s="18"/>
      <c r="I1051" s="18"/>
      <c r="J1051" s="14">
        <v>1050</v>
      </c>
      <c r="K1051" s="14">
        <f>VLOOKUP(B1051,weights!A:G,5,FALSE)</f>
        <v>8.7799999999999994</v>
      </c>
      <c r="L1051" s="14">
        <f>VLOOKUP(B1051,weights!A:G,6,FALSE)</f>
        <v>7</v>
      </c>
      <c r="M1051" s="14">
        <f>VLOOKUP(B1051,weights!A:G,7,FALSE)</f>
        <v>10</v>
      </c>
      <c r="N1051" t="s">
        <v>4641</v>
      </c>
      <c r="O1051">
        <v>144</v>
      </c>
      <c r="P1051">
        <v>49.0217572695</v>
      </c>
      <c r="Q1051">
        <v>3.03175844584</v>
      </c>
      <c r="R1051" s="22"/>
      <c r="S1051" s="22"/>
      <c r="T1051" s="22"/>
      <c r="U1051" s="24">
        <f>R1051+S1051/60+T1051/3600</f>
        <v>0</v>
      </c>
      <c r="V1051" s="28">
        <f>ABS(U1051-P1051)/P1051</f>
        <v>1</v>
      </c>
      <c r="W1051" s="22"/>
      <c r="X1051" s="22"/>
      <c r="Y1051" s="22"/>
      <c r="Z1051" s="14">
        <f>W1051+X1051/60+Y1051/3600</f>
        <v>0</v>
      </c>
      <c r="AA1051" s="26">
        <f>ABS(Z1051-Q1051)/Q1051</f>
        <v>1</v>
      </c>
      <c r="AB1051" s="26"/>
      <c r="AC1051" s="14">
        <f>P1051</f>
        <v>49.0217572695</v>
      </c>
      <c r="AD1051" s="14">
        <f>Q1051</f>
        <v>3.03175844584</v>
      </c>
    </row>
    <row r="1052" spans="1:30" s="14" customFormat="1">
      <c r="A1052" s="12">
        <v>19</v>
      </c>
      <c r="B1052" s="12" t="s">
        <v>746</v>
      </c>
      <c r="C1052" s="14" t="str">
        <f>VLOOKUP(B1052,weights!A:B,2,FALSE)</f>
        <v>M</v>
      </c>
      <c r="D1052" s="13">
        <v>1050</v>
      </c>
      <c r="E1052" s="14" t="s">
        <v>1179</v>
      </c>
      <c r="G1052" s="15"/>
      <c r="H1052" s="18"/>
      <c r="I1052" s="18"/>
      <c r="J1052" s="14">
        <v>1051</v>
      </c>
      <c r="K1052" s="14">
        <f>VLOOKUP(B1052,weights!A:G,5,FALSE)</f>
        <v>8.7799999999999994</v>
      </c>
      <c r="L1052" s="14">
        <f>VLOOKUP(B1052,weights!A:G,6,FALSE)</f>
        <v>7</v>
      </c>
      <c r="M1052" s="14">
        <f>VLOOKUP(B1052,weights!A:G,7,FALSE)</f>
        <v>10</v>
      </c>
      <c r="N1052" t="s">
        <v>3824</v>
      </c>
      <c r="O1052">
        <v>775</v>
      </c>
      <c r="P1052">
        <v>49.091882998099997</v>
      </c>
      <c r="Q1052">
        <v>3.0626904056200002</v>
      </c>
      <c r="R1052" s="22"/>
      <c r="S1052" s="22"/>
      <c r="T1052" s="22"/>
      <c r="U1052" s="24">
        <f>R1052+S1052/60+T1052/3600</f>
        <v>0</v>
      </c>
      <c r="V1052" s="28">
        <f>ABS(U1052-P1052)/P1052</f>
        <v>1</v>
      </c>
      <c r="W1052" s="22"/>
      <c r="X1052" s="22"/>
      <c r="Y1052" s="22"/>
      <c r="Z1052" s="14">
        <f>W1052+X1052/60+Y1052/3600</f>
        <v>0</v>
      </c>
      <c r="AA1052" s="26">
        <f>ABS(Z1052-Q1052)/Q1052</f>
        <v>1</v>
      </c>
      <c r="AB1052" s="26"/>
      <c r="AC1052" s="14">
        <f>P1052</f>
        <v>49.091882998099997</v>
      </c>
      <c r="AD1052" s="14">
        <f>Q1052</f>
        <v>3.0626904056200002</v>
      </c>
    </row>
    <row r="1053" spans="1:30" s="14" customFormat="1">
      <c r="A1053" s="12">
        <v>20</v>
      </c>
      <c r="B1053" s="12" t="s">
        <v>746</v>
      </c>
      <c r="C1053" s="14" t="str">
        <f>VLOOKUP(B1053,weights!A:B,2,FALSE)</f>
        <v>M</v>
      </c>
      <c r="D1053" s="13">
        <v>1051</v>
      </c>
      <c r="E1053" s="14" t="s">
        <v>1180</v>
      </c>
      <c r="G1053" s="15"/>
      <c r="H1053" s="18"/>
      <c r="I1053" s="18"/>
      <c r="J1053" s="14">
        <v>1052</v>
      </c>
      <c r="K1053" s="14">
        <f>VLOOKUP(B1053,weights!A:G,5,FALSE)</f>
        <v>8.7799999999999994</v>
      </c>
      <c r="L1053" s="14">
        <f>VLOOKUP(B1053,weights!A:G,6,FALSE)</f>
        <v>7</v>
      </c>
      <c r="M1053" s="14">
        <f>VLOOKUP(B1053,weights!A:G,7,FALSE)</f>
        <v>10</v>
      </c>
      <c r="N1053" t="s">
        <v>4791</v>
      </c>
      <c r="O1053">
        <v>328</v>
      </c>
      <c r="P1053">
        <v>49.135474144600003</v>
      </c>
      <c r="Q1053">
        <v>3.0756265643199998</v>
      </c>
      <c r="R1053" s="22"/>
      <c r="S1053" s="22"/>
      <c r="T1053" s="22"/>
      <c r="U1053" s="24">
        <f>R1053+S1053/60+T1053/3600</f>
        <v>0</v>
      </c>
      <c r="V1053" s="28">
        <f>ABS(U1053-P1053)/P1053</f>
        <v>1</v>
      </c>
      <c r="W1053" s="22"/>
      <c r="X1053" s="22"/>
      <c r="Y1053" s="22"/>
      <c r="Z1053" s="14">
        <f>W1053+X1053/60+Y1053/3600</f>
        <v>0</v>
      </c>
      <c r="AA1053" s="26">
        <f>ABS(Z1053-Q1053)/Q1053</f>
        <v>1</v>
      </c>
      <c r="AB1053" s="26"/>
      <c r="AC1053" s="14">
        <f>P1053</f>
        <v>49.135474144600003</v>
      </c>
      <c r="AD1053" s="14">
        <f>Q1053</f>
        <v>3.0756265643199998</v>
      </c>
    </row>
    <row r="1054" spans="1:30" s="14" customFormat="1">
      <c r="A1054" s="12">
        <v>21</v>
      </c>
      <c r="B1054" s="12" t="s">
        <v>746</v>
      </c>
      <c r="C1054" s="14" t="str">
        <f>VLOOKUP(B1054,weights!A:B,2,FALSE)</f>
        <v>M</v>
      </c>
      <c r="D1054" s="13">
        <v>1052</v>
      </c>
      <c r="E1054" s="14" t="s">
        <v>1181</v>
      </c>
      <c r="G1054" s="15"/>
      <c r="H1054" s="18"/>
      <c r="I1054" s="18"/>
      <c r="K1054" s="14">
        <f>VLOOKUP(B1054,weights!A:G,5,FALSE)</f>
        <v>8.7799999999999994</v>
      </c>
      <c r="L1054" s="14">
        <f>VLOOKUP(B1054,weights!A:G,6,FALSE)</f>
        <v>7</v>
      </c>
      <c r="M1054" s="14">
        <f>VLOOKUP(B1054,weights!A:G,7,FALSE)</f>
        <v>10</v>
      </c>
      <c r="N1054" t="s">
        <v>4026</v>
      </c>
      <c r="O1054">
        <v>809</v>
      </c>
      <c r="P1054">
        <v>49.179504950800002</v>
      </c>
      <c r="Q1054">
        <v>3.1206129166699998</v>
      </c>
      <c r="R1054" s="22"/>
      <c r="S1054" s="22"/>
      <c r="T1054" s="22"/>
      <c r="U1054" s="24">
        <f>R1054+S1054/60+T1054/3600</f>
        <v>0</v>
      </c>
      <c r="V1054" s="28">
        <f>ABS(U1054-P1054)/P1054</f>
        <v>1</v>
      </c>
      <c r="W1054" s="22"/>
      <c r="X1054" s="22"/>
      <c r="Y1054" s="22"/>
      <c r="Z1054" s="14">
        <f>W1054+X1054/60+Y1054/3600</f>
        <v>0</v>
      </c>
      <c r="AA1054" s="26">
        <f>ABS(Z1054-Q1054)/Q1054</f>
        <v>1</v>
      </c>
      <c r="AB1054" s="26"/>
      <c r="AC1054" s="14">
        <f>P1054</f>
        <v>49.179504950800002</v>
      </c>
      <c r="AD1054" s="14">
        <f>Q1054</f>
        <v>3.1206129166699998</v>
      </c>
    </row>
    <row r="1055" spans="1:30" s="14" customFormat="1">
      <c r="A1055" s="12">
        <v>22</v>
      </c>
      <c r="B1055" s="12" t="s">
        <v>746</v>
      </c>
      <c r="C1055" s="14" t="str">
        <f>VLOOKUP(B1055,weights!A:B,2,FALSE)</f>
        <v>M</v>
      </c>
      <c r="D1055" s="13">
        <v>1053</v>
      </c>
      <c r="E1055" s="14" t="s">
        <v>744</v>
      </c>
      <c r="G1055" s="15" t="s">
        <v>558</v>
      </c>
      <c r="H1055" s="18"/>
      <c r="I1055" s="18" t="s">
        <v>1992</v>
      </c>
      <c r="J1055" s="14">
        <v>1054</v>
      </c>
      <c r="K1055" s="14">
        <f>VLOOKUP(B1055,weights!A:G,5,FALSE)</f>
        <v>8.7799999999999994</v>
      </c>
      <c r="L1055" s="14">
        <f>VLOOKUP(B1055,weights!A:G,6,FALSE)</f>
        <v>7</v>
      </c>
      <c r="M1055" s="14">
        <f>VLOOKUP(B1055,weights!A:G,7,FALSE)</f>
        <v>10</v>
      </c>
      <c r="N1055" t="s">
        <v>5805</v>
      </c>
      <c r="O1055">
        <v>583</v>
      </c>
      <c r="P1055">
        <v>48.739487207300002</v>
      </c>
      <c r="Q1055">
        <v>2.7588245486699998</v>
      </c>
      <c r="R1055" s="22"/>
      <c r="S1055" s="22"/>
      <c r="T1055" s="22"/>
      <c r="U1055" s="24">
        <f>R1055+S1055/60+T1055/3600</f>
        <v>0</v>
      </c>
      <c r="V1055" s="28">
        <f>ABS(U1055-P1055)/P1055</f>
        <v>1</v>
      </c>
      <c r="W1055" s="22"/>
      <c r="X1055" s="22"/>
      <c r="Y1055" s="22"/>
      <c r="Z1055" s="14">
        <f>W1055+X1055/60+Y1055/3600</f>
        <v>0</v>
      </c>
      <c r="AA1055" s="26">
        <f>ABS(Z1055-Q1055)/Q1055</f>
        <v>1</v>
      </c>
      <c r="AB1055" s="26"/>
      <c r="AC1055" s="14">
        <f>P1055</f>
        <v>48.739487207300002</v>
      </c>
      <c r="AD1055" s="14">
        <f>Q1055</f>
        <v>2.7588245486699998</v>
      </c>
    </row>
    <row r="1056" spans="1:30" s="14" customFormat="1">
      <c r="A1056" s="12">
        <v>23</v>
      </c>
      <c r="B1056" s="12" t="s">
        <v>746</v>
      </c>
      <c r="C1056" s="14" t="str">
        <f>VLOOKUP(B1056,weights!A:B,2,FALSE)</f>
        <v>M</v>
      </c>
      <c r="D1056" s="13">
        <v>1054</v>
      </c>
      <c r="E1056" s="14" t="s">
        <v>1182</v>
      </c>
      <c r="G1056" s="15"/>
      <c r="H1056" s="18"/>
      <c r="I1056" s="18"/>
      <c r="J1056" s="14">
        <v>1055</v>
      </c>
      <c r="K1056" s="14">
        <f>VLOOKUP(B1056,weights!A:G,5,FALSE)</f>
        <v>8.7799999999999994</v>
      </c>
      <c r="L1056" s="14">
        <f>VLOOKUP(B1056,weights!A:G,6,FALSE)</f>
        <v>7</v>
      </c>
      <c r="M1056" s="14">
        <f>VLOOKUP(B1056,weights!A:G,7,FALSE)</f>
        <v>10</v>
      </c>
      <c r="N1056" t="s">
        <v>4797</v>
      </c>
      <c r="O1056">
        <v>235</v>
      </c>
      <c r="P1056">
        <v>48.734939296500002</v>
      </c>
      <c r="Q1056">
        <v>2.86895583008</v>
      </c>
      <c r="R1056" s="22"/>
      <c r="S1056" s="22"/>
      <c r="T1056" s="22"/>
      <c r="U1056" s="24">
        <f>R1056+S1056/60+T1056/3600</f>
        <v>0</v>
      </c>
      <c r="V1056" s="28">
        <f>ABS(U1056-P1056)/P1056</f>
        <v>1</v>
      </c>
      <c r="W1056" s="22"/>
      <c r="X1056" s="22"/>
      <c r="Y1056" s="22"/>
      <c r="Z1056" s="14">
        <f>W1056+X1056/60+Y1056/3600</f>
        <v>0</v>
      </c>
      <c r="AA1056" s="26">
        <f>ABS(Z1056-Q1056)/Q1056</f>
        <v>1</v>
      </c>
      <c r="AB1056" s="26"/>
      <c r="AC1056" s="14">
        <f>P1056</f>
        <v>48.734939296500002</v>
      </c>
      <c r="AD1056" s="14">
        <f>Q1056</f>
        <v>2.86895583008</v>
      </c>
    </row>
    <row r="1057" spans="1:30" s="14" customFormat="1">
      <c r="A1057" s="12">
        <v>24</v>
      </c>
      <c r="B1057" s="12" t="s">
        <v>746</v>
      </c>
      <c r="C1057" s="14" t="str">
        <f>VLOOKUP(B1057,weights!A:B,2,FALSE)</f>
        <v>M</v>
      </c>
      <c r="D1057" s="13">
        <v>1055</v>
      </c>
      <c r="E1057" s="14" t="s">
        <v>1183</v>
      </c>
      <c r="G1057" s="15"/>
      <c r="H1057" s="18"/>
      <c r="I1057" s="18"/>
      <c r="J1057" s="14">
        <v>1056</v>
      </c>
      <c r="K1057" s="14">
        <f>VLOOKUP(B1057,weights!A:G,5,FALSE)</f>
        <v>8.7799999999999994</v>
      </c>
      <c r="L1057" s="14">
        <f>VLOOKUP(B1057,weights!A:G,6,FALSE)</f>
        <v>7</v>
      </c>
      <c r="M1057" s="14">
        <f>VLOOKUP(B1057,weights!A:G,7,FALSE)</f>
        <v>10</v>
      </c>
      <c r="N1057" t="s">
        <v>4941</v>
      </c>
      <c r="O1057">
        <v>236</v>
      </c>
      <c r="P1057">
        <v>48.789496676900001</v>
      </c>
      <c r="Q1057">
        <v>2.9073872717299998</v>
      </c>
      <c r="R1057" s="22"/>
      <c r="S1057" s="22"/>
      <c r="T1057" s="22"/>
      <c r="U1057" s="24">
        <f>R1057+S1057/60+T1057/3600</f>
        <v>0</v>
      </c>
      <c r="V1057" s="28">
        <f>ABS(U1057-P1057)/P1057</f>
        <v>1</v>
      </c>
      <c r="W1057" s="22"/>
      <c r="X1057" s="22"/>
      <c r="Y1057" s="22"/>
      <c r="Z1057" s="14">
        <f>W1057+X1057/60+Y1057/3600</f>
        <v>0</v>
      </c>
      <c r="AA1057" s="26">
        <f>ABS(Z1057-Q1057)/Q1057</f>
        <v>1</v>
      </c>
      <c r="AB1057" s="26"/>
      <c r="AC1057" s="14">
        <f>P1057</f>
        <v>48.789496676900001</v>
      </c>
      <c r="AD1057" s="14">
        <f>Q1057</f>
        <v>2.9073872717299998</v>
      </c>
    </row>
    <row r="1058" spans="1:30" s="14" customFormat="1">
      <c r="A1058" s="12">
        <v>25</v>
      </c>
      <c r="B1058" s="12" t="s">
        <v>746</v>
      </c>
      <c r="C1058" s="14" t="str">
        <f>VLOOKUP(B1058,weights!A:B,2,FALSE)</f>
        <v>M</v>
      </c>
      <c r="D1058" s="13">
        <v>1056</v>
      </c>
      <c r="E1058" s="14" t="s">
        <v>1184</v>
      </c>
      <c r="G1058" s="15"/>
      <c r="H1058" s="18"/>
      <c r="I1058" s="18"/>
      <c r="J1058" s="14">
        <v>1057</v>
      </c>
      <c r="K1058" s="14">
        <f>VLOOKUP(B1058,weights!A:G,5,FALSE)</f>
        <v>8.7799999999999994</v>
      </c>
      <c r="L1058" s="14">
        <f>VLOOKUP(B1058,weights!A:G,6,FALSE)</f>
        <v>7</v>
      </c>
      <c r="M1058" s="14">
        <f>VLOOKUP(B1058,weights!A:G,7,FALSE)</f>
        <v>10</v>
      </c>
      <c r="N1058" t="s">
        <v>4193</v>
      </c>
      <c r="O1058">
        <v>237</v>
      </c>
      <c r="P1058">
        <v>48.810775320899999</v>
      </c>
      <c r="Q1058">
        <v>2.95373038446</v>
      </c>
      <c r="R1058" s="22"/>
      <c r="S1058" s="22"/>
      <c r="T1058" s="22"/>
      <c r="U1058" s="24">
        <f>R1058+S1058/60+T1058/3600</f>
        <v>0</v>
      </c>
      <c r="V1058" s="28">
        <f>ABS(U1058-P1058)/P1058</f>
        <v>1</v>
      </c>
      <c r="W1058" s="22"/>
      <c r="X1058" s="22"/>
      <c r="Y1058" s="22"/>
      <c r="Z1058" s="14">
        <f>W1058+X1058/60+Y1058/3600</f>
        <v>0</v>
      </c>
      <c r="AA1058" s="26">
        <f>ABS(Z1058-Q1058)/Q1058</f>
        <v>1</v>
      </c>
      <c r="AB1058" s="26"/>
      <c r="AC1058" s="14">
        <f>P1058</f>
        <v>48.810775320899999</v>
      </c>
      <c r="AD1058" s="14">
        <f>Q1058</f>
        <v>2.95373038446</v>
      </c>
    </row>
    <row r="1059" spans="1:30" s="14" customFormat="1">
      <c r="A1059" s="12">
        <v>26</v>
      </c>
      <c r="B1059" s="12" t="s">
        <v>746</v>
      </c>
      <c r="C1059" s="14" t="str">
        <f>VLOOKUP(B1059,weights!A:B,2,FALSE)</f>
        <v>M</v>
      </c>
      <c r="D1059" s="13">
        <v>1057</v>
      </c>
      <c r="E1059" s="14" t="s">
        <v>1185</v>
      </c>
      <c r="G1059" s="15"/>
      <c r="H1059" s="18"/>
      <c r="I1059" s="18"/>
      <c r="J1059" s="14">
        <v>1058</v>
      </c>
      <c r="K1059" s="14">
        <f>VLOOKUP(B1059,weights!A:G,5,FALSE)</f>
        <v>8.7799999999999994</v>
      </c>
      <c r="L1059" s="14">
        <f>VLOOKUP(B1059,weights!A:G,6,FALSE)</f>
        <v>7</v>
      </c>
      <c r="M1059" s="14">
        <f>VLOOKUP(B1059,weights!A:G,7,FALSE)</f>
        <v>10</v>
      </c>
      <c r="N1059" t="s">
        <v>4014</v>
      </c>
      <c r="O1059">
        <v>238</v>
      </c>
      <c r="P1059">
        <v>48.808653964900003</v>
      </c>
      <c r="Q1059">
        <v>2.9931098934199998</v>
      </c>
      <c r="R1059" s="22"/>
      <c r="S1059" s="22"/>
      <c r="T1059" s="22"/>
      <c r="U1059" s="24">
        <f>R1059+S1059/60+T1059/3600</f>
        <v>0</v>
      </c>
      <c r="V1059" s="28">
        <f>ABS(U1059-P1059)/P1059</f>
        <v>1</v>
      </c>
      <c r="W1059" s="22"/>
      <c r="X1059" s="22"/>
      <c r="Y1059" s="22"/>
      <c r="Z1059" s="14">
        <f>W1059+X1059/60+Y1059/3600</f>
        <v>0</v>
      </c>
      <c r="AA1059" s="26">
        <f>ABS(Z1059-Q1059)/Q1059</f>
        <v>1</v>
      </c>
      <c r="AB1059" s="26"/>
      <c r="AC1059" s="14">
        <f>P1059</f>
        <v>48.808653964900003</v>
      </c>
      <c r="AD1059" s="14">
        <f>Q1059</f>
        <v>2.9931098934199998</v>
      </c>
    </row>
    <row r="1060" spans="1:30" s="14" customFormat="1">
      <c r="A1060" s="12">
        <v>27</v>
      </c>
      <c r="B1060" s="12" t="s">
        <v>746</v>
      </c>
      <c r="C1060" s="14" t="str">
        <f>VLOOKUP(B1060,weights!A:B,2,FALSE)</f>
        <v>M</v>
      </c>
      <c r="D1060" s="13">
        <v>1058</v>
      </c>
      <c r="E1060" s="14" t="s">
        <v>1186</v>
      </c>
      <c r="G1060" s="15"/>
      <c r="H1060" s="18"/>
      <c r="I1060" s="18"/>
      <c r="J1060" s="14">
        <v>1059</v>
      </c>
      <c r="K1060" s="14">
        <f>VLOOKUP(B1060,weights!A:G,5,FALSE)</f>
        <v>8.7799999999999994</v>
      </c>
      <c r="L1060" s="14">
        <f>VLOOKUP(B1060,weights!A:G,6,FALSE)</f>
        <v>7</v>
      </c>
      <c r="M1060" s="14">
        <f>VLOOKUP(B1060,weights!A:G,7,FALSE)</f>
        <v>10</v>
      </c>
      <c r="N1060" t="s">
        <v>4950</v>
      </c>
      <c r="O1060">
        <v>56</v>
      </c>
      <c r="P1060">
        <v>48.813798481200003</v>
      </c>
      <c r="Q1060">
        <v>3.0429382674099998</v>
      </c>
      <c r="R1060" s="22"/>
      <c r="S1060" s="22"/>
      <c r="T1060" s="22"/>
      <c r="U1060" s="24">
        <f>R1060+S1060/60+T1060/3600</f>
        <v>0</v>
      </c>
      <c r="V1060" s="28">
        <f>ABS(U1060-P1060)/P1060</f>
        <v>1</v>
      </c>
      <c r="W1060" s="22"/>
      <c r="X1060" s="22"/>
      <c r="Y1060" s="22"/>
      <c r="Z1060" s="14">
        <f>W1060+X1060/60+Y1060/3600</f>
        <v>0</v>
      </c>
      <c r="AA1060" s="26">
        <f>ABS(Z1060-Q1060)/Q1060</f>
        <v>1</v>
      </c>
      <c r="AB1060" s="26"/>
      <c r="AC1060" s="14">
        <f>P1060</f>
        <v>48.813798481200003</v>
      </c>
      <c r="AD1060" s="14">
        <f>Q1060</f>
        <v>3.0429382674099998</v>
      </c>
    </row>
    <row r="1061" spans="1:30" s="14" customFormat="1">
      <c r="A1061" s="38">
        <v>28</v>
      </c>
      <c r="B1061" s="38" t="s">
        <v>746</v>
      </c>
      <c r="C1061" s="39" t="str">
        <f>VLOOKUP(B1061,weights!A:B,2,FALSE)</f>
        <v>M</v>
      </c>
      <c r="D1061" s="40">
        <v>1059</v>
      </c>
      <c r="E1061" s="39" t="s">
        <v>1187</v>
      </c>
      <c r="F1061" s="39" t="s">
        <v>6030</v>
      </c>
      <c r="G1061" s="46"/>
      <c r="H1061" s="41"/>
      <c r="I1061" s="41"/>
      <c r="J1061" s="39">
        <v>1060</v>
      </c>
      <c r="K1061" s="39">
        <f>VLOOKUP(B1061,weights!A:G,5,FALSE)</f>
        <v>8.7799999999999994</v>
      </c>
      <c r="L1061" s="39">
        <f>VLOOKUP(B1061,weights!A:G,6,FALSE)</f>
        <v>7</v>
      </c>
      <c r="M1061" s="39">
        <f>VLOOKUP(B1061,weights!A:G,7,FALSE)</f>
        <v>10</v>
      </c>
      <c r="N1061" s="39"/>
      <c r="O1061" s="39"/>
      <c r="P1061" s="39"/>
      <c r="Q1061" s="39"/>
      <c r="R1061" s="42">
        <v>48</v>
      </c>
      <c r="S1061" s="42">
        <v>48</v>
      </c>
      <c r="T1061" s="42">
        <v>52</v>
      </c>
      <c r="U1061" s="43">
        <f>R1061+S1061/60+T1061/3600</f>
        <v>48.81444444444444</v>
      </c>
      <c r="V1061" s="44" t="e">
        <f>ABS(U1061-P1061)/P1061</f>
        <v>#DIV/0!</v>
      </c>
      <c r="W1061" s="42">
        <v>3</v>
      </c>
      <c r="X1061" s="42">
        <v>9</v>
      </c>
      <c r="Y1061" s="42">
        <v>7</v>
      </c>
      <c r="Z1061" s="39">
        <f>W1061+X1061/60+Y1061/3600</f>
        <v>3.1519444444444442</v>
      </c>
      <c r="AA1061" s="45" t="e">
        <f>ABS(Z1061-Q1061)/Q1061</f>
        <v>#DIV/0!</v>
      </c>
      <c r="AB1061" s="45"/>
      <c r="AC1061" s="39">
        <f>IF(ISBLANK(F1061),P1061,U1061)</f>
        <v>48.81444444444444</v>
      </c>
      <c r="AD1061" s="39">
        <f>IF(ISBLANK(F1061),Q1061,Z1061)</f>
        <v>3.1519444444444442</v>
      </c>
    </row>
    <row r="1062" spans="1:30" s="14" customFormat="1">
      <c r="A1062" s="38">
        <v>29</v>
      </c>
      <c r="B1062" s="38" t="s">
        <v>746</v>
      </c>
      <c r="C1062" s="39" t="str">
        <f>VLOOKUP(B1062,weights!A:B,2,FALSE)</f>
        <v>M</v>
      </c>
      <c r="D1062" s="40">
        <v>1060</v>
      </c>
      <c r="E1062" s="39" t="s">
        <v>1188</v>
      </c>
      <c r="F1062" s="39" t="s">
        <v>6031</v>
      </c>
      <c r="G1062" s="46"/>
      <c r="H1062" s="41"/>
      <c r="I1062" s="41"/>
      <c r="J1062" s="39">
        <v>1061</v>
      </c>
      <c r="K1062" s="39">
        <f>VLOOKUP(B1062,weights!A:G,5,FALSE)</f>
        <v>8.7799999999999994</v>
      </c>
      <c r="L1062" s="39">
        <f>VLOOKUP(B1062,weights!A:G,6,FALSE)</f>
        <v>7</v>
      </c>
      <c r="M1062" s="39">
        <f>VLOOKUP(B1062,weights!A:G,7,FALSE)</f>
        <v>10</v>
      </c>
      <c r="N1062" s="39"/>
      <c r="O1062" s="39"/>
      <c r="P1062" s="39"/>
      <c r="Q1062" s="39"/>
      <c r="R1062" s="42">
        <v>48</v>
      </c>
      <c r="S1062" s="42">
        <v>48</v>
      </c>
      <c r="T1062" s="42">
        <v>55</v>
      </c>
      <c r="U1062" s="43">
        <f>R1062+S1062/60+T1062/3600</f>
        <v>48.815277777777773</v>
      </c>
      <c r="V1062" s="44" t="e">
        <f>ABS(U1062-P1062)/P1062</f>
        <v>#DIV/0!</v>
      </c>
      <c r="W1062" s="42">
        <v>3</v>
      </c>
      <c r="X1062" s="42">
        <v>10</v>
      </c>
      <c r="Y1062" s="42">
        <v>16</v>
      </c>
      <c r="Z1062" s="39">
        <f>W1062+X1062/60+Y1062/3600</f>
        <v>3.1711111111111108</v>
      </c>
      <c r="AA1062" s="45" t="e">
        <f>ABS(Z1062-Q1062)/Q1062</f>
        <v>#DIV/0!</v>
      </c>
      <c r="AB1062" s="45"/>
      <c r="AC1062" s="39">
        <f>IF(ISBLANK(F1062),P1062,U1062)</f>
        <v>48.815277777777773</v>
      </c>
      <c r="AD1062" s="39">
        <f>IF(ISBLANK(F1062),Q1062,Z1062)</f>
        <v>3.1711111111111108</v>
      </c>
    </row>
    <row r="1063" spans="1:30" s="14" customFormat="1">
      <c r="A1063" s="38">
        <v>30</v>
      </c>
      <c r="B1063" s="38" t="s">
        <v>746</v>
      </c>
      <c r="C1063" s="39" t="str">
        <f>VLOOKUP(B1063,weights!A:B,2,FALSE)</f>
        <v>M</v>
      </c>
      <c r="D1063" s="40">
        <v>1061</v>
      </c>
      <c r="E1063" s="39" t="s">
        <v>1189</v>
      </c>
      <c r="F1063" s="39" t="s">
        <v>6032</v>
      </c>
      <c r="G1063" s="46"/>
      <c r="H1063" s="41"/>
      <c r="I1063" s="41"/>
      <c r="J1063" s="39">
        <v>1062</v>
      </c>
      <c r="K1063" s="39">
        <f>VLOOKUP(B1063,weights!A:G,5,FALSE)</f>
        <v>8.7799999999999994</v>
      </c>
      <c r="L1063" s="39">
        <f>VLOOKUP(B1063,weights!A:G,6,FALSE)</f>
        <v>7</v>
      </c>
      <c r="M1063" s="39">
        <f>VLOOKUP(B1063,weights!A:G,7,FALSE)</f>
        <v>10</v>
      </c>
      <c r="N1063" s="39"/>
      <c r="O1063" s="39"/>
      <c r="P1063" s="39"/>
      <c r="Q1063" s="39"/>
      <c r="R1063" s="42">
        <v>48</v>
      </c>
      <c r="S1063" s="42">
        <v>47</v>
      </c>
      <c r="T1063" s="42">
        <v>57</v>
      </c>
      <c r="U1063" s="43">
        <f>R1063+S1063/60+T1063/3600</f>
        <v>48.799166666666665</v>
      </c>
      <c r="V1063" s="44" t="e">
        <f>ABS(U1063-P1063)/P1063</f>
        <v>#DIV/0!</v>
      </c>
      <c r="W1063" s="42">
        <v>3</v>
      </c>
      <c r="X1063" s="42">
        <v>12</v>
      </c>
      <c r="Y1063" s="42">
        <v>31</v>
      </c>
      <c r="Z1063" s="39">
        <f>W1063+X1063/60+Y1063/3600</f>
        <v>3.2086111111111113</v>
      </c>
      <c r="AA1063" s="45" t="e">
        <f>ABS(Z1063-Q1063)/Q1063</f>
        <v>#DIV/0!</v>
      </c>
      <c r="AB1063" s="45"/>
      <c r="AC1063" s="39">
        <f>IF(ISBLANK(F1063),P1063,U1063)</f>
        <v>48.799166666666665</v>
      </c>
      <c r="AD1063" s="39">
        <f>IF(ISBLANK(F1063),Q1063,Z1063)</f>
        <v>3.2086111111111113</v>
      </c>
    </row>
    <row r="1064" spans="1:30" s="14" customFormat="1">
      <c r="A1064" s="12">
        <v>31</v>
      </c>
      <c r="B1064" s="12" t="s">
        <v>746</v>
      </c>
      <c r="C1064" s="14" t="str">
        <f>VLOOKUP(B1064,weights!A:B,2,FALSE)</f>
        <v>M</v>
      </c>
      <c r="D1064" s="13">
        <v>1062</v>
      </c>
      <c r="E1064" s="14" t="s">
        <v>1190</v>
      </c>
      <c r="G1064" s="15"/>
      <c r="H1064" s="18"/>
      <c r="I1064" s="18"/>
      <c r="J1064" s="14">
        <v>1063</v>
      </c>
      <c r="K1064" s="14">
        <f>VLOOKUP(B1064,weights!A:G,5,FALSE)</f>
        <v>8.7799999999999994</v>
      </c>
      <c r="L1064" s="14">
        <f>VLOOKUP(B1064,weights!A:G,6,FALSE)</f>
        <v>7</v>
      </c>
      <c r="M1064" s="14">
        <f>VLOOKUP(B1064,weights!A:G,7,FALSE)</f>
        <v>10</v>
      </c>
      <c r="N1064" t="s">
        <v>5646</v>
      </c>
      <c r="O1064">
        <v>510</v>
      </c>
      <c r="P1064">
        <v>48.529148967700003</v>
      </c>
      <c r="Q1064">
        <v>3.2553681513799999</v>
      </c>
      <c r="R1064" s="22"/>
      <c r="S1064" s="22"/>
      <c r="T1064" s="22"/>
      <c r="U1064" s="24">
        <f>R1064+S1064/60+T1064/3600</f>
        <v>0</v>
      </c>
      <c r="V1064" s="28">
        <f>ABS(U1064-P1064)/P1064</f>
        <v>1</v>
      </c>
      <c r="W1064" s="22"/>
      <c r="X1064" s="22"/>
      <c r="Y1064" s="22"/>
      <c r="Z1064" s="14">
        <f>W1064+X1064/60+Y1064/3600</f>
        <v>0</v>
      </c>
      <c r="AA1064" s="26">
        <f>ABS(Z1064-Q1064)/Q1064</f>
        <v>1</v>
      </c>
      <c r="AB1064" s="26"/>
      <c r="AC1064" s="14">
        <f>P1064</f>
        <v>48.529148967700003</v>
      </c>
      <c r="AD1064" s="14">
        <f>Q1064</f>
        <v>3.2553681513799999</v>
      </c>
    </row>
    <row r="1065" spans="1:30" s="14" customFormat="1">
      <c r="A1065" s="12">
        <v>32</v>
      </c>
      <c r="B1065" s="12" t="s">
        <v>746</v>
      </c>
      <c r="C1065" s="14" t="str">
        <f>VLOOKUP(B1065,weights!A:B,2,FALSE)</f>
        <v>M</v>
      </c>
      <c r="D1065" s="13">
        <v>1063</v>
      </c>
      <c r="E1065" s="14" t="s">
        <v>1191</v>
      </c>
      <c r="G1065" s="15"/>
      <c r="H1065" s="18"/>
      <c r="I1065" s="18"/>
      <c r="J1065" s="14">
        <v>1064</v>
      </c>
      <c r="K1065" s="14">
        <f>VLOOKUP(B1065,weights!A:G,5,FALSE)</f>
        <v>8.7799999999999994</v>
      </c>
      <c r="L1065" s="14">
        <f>VLOOKUP(B1065,weights!A:G,6,FALSE)</f>
        <v>7</v>
      </c>
      <c r="M1065" s="14">
        <f>VLOOKUP(B1065,weights!A:G,7,FALSE)</f>
        <v>10</v>
      </c>
      <c r="N1065" t="s">
        <v>4401</v>
      </c>
      <c r="O1065">
        <v>233</v>
      </c>
      <c r="P1065">
        <v>48.950819987599999</v>
      </c>
      <c r="Q1065">
        <v>3.1249090221100002</v>
      </c>
      <c r="R1065" s="22"/>
      <c r="S1065" s="22"/>
      <c r="T1065" s="22"/>
      <c r="U1065" s="24">
        <f>R1065+S1065/60+T1065/3600</f>
        <v>0</v>
      </c>
      <c r="V1065" s="28">
        <f>ABS(U1065-P1065)/P1065</f>
        <v>1</v>
      </c>
      <c r="W1065" s="22"/>
      <c r="X1065" s="22"/>
      <c r="Y1065" s="22"/>
      <c r="Z1065" s="14">
        <f>W1065+X1065/60+Y1065/3600</f>
        <v>0</v>
      </c>
      <c r="AA1065" s="26">
        <f>ABS(Z1065-Q1065)/Q1065</f>
        <v>1</v>
      </c>
      <c r="AB1065" s="26"/>
      <c r="AC1065" s="14">
        <f>P1065</f>
        <v>48.950819987599999</v>
      </c>
      <c r="AD1065" s="14">
        <f>Q1065</f>
        <v>3.1249090221100002</v>
      </c>
    </row>
    <row r="1066" spans="1:30" s="14" customFormat="1">
      <c r="A1066" s="38">
        <v>33</v>
      </c>
      <c r="B1066" s="38" t="s">
        <v>746</v>
      </c>
      <c r="C1066" s="39" t="str">
        <f>VLOOKUP(B1066,weights!A:B,2,FALSE)</f>
        <v>M</v>
      </c>
      <c r="D1066" s="40">
        <v>1064</v>
      </c>
      <c r="E1066" s="39" t="s">
        <v>1192</v>
      </c>
      <c r="F1066" s="39" t="s">
        <v>6033</v>
      </c>
      <c r="G1066" s="46"/>
      <c r="H1066" s="41"/>
      <c r="I1066" s="41"/>
      <c r="J1066" s="39">
        <v>1065</v>
      </c>
      <c r="K1066" s="39">
        <f>VLOOKUP(B1066,weights!A:G,5,FALSE)</f>
        <v>8.7799999999999994</v>
      </c>
      <c r="L1066" s="39">
        <f>VLOOKUP(B1066,weights!A:G,6,FALSE)</f>
        <v>7</v>
      </c>
      <c r="M1066" s="39">
        <f>VLOOKUP(B1066,weights!A:G,7,FALSE)</f>
        <v>10</v>
      </c>
      <c r="N1066" s="39"/>
      <c r="O1066" s="39"/>
      <c r="P1066" s="39"/>
      <c r="Q1066" s="39"/>
      <c r="R1066" s="42">
        <v>48</v>
      </c>
      <c r="S1066" s="42">
        <v>47</v>
      </c>
      <c r="T1066" s="42">
        <v>27</v>
      </c>
      <c r="U1066" s="43">
        <f>R1066+S1066/60+T1066/3600</f>
        <v>48.790833333333332</v>
      </c>
      <c r="V1066" s="44" t="e">
        <f>ABS(U1066-P1066)/P1066</f>
        <v>#DIV/0!</v>
      </c>
      <c r="W1066" s="42">
        <v>3</v>
      </c>
      <c r="X1066" s="42">
        <v>16</v>
      </c>
      <c r="Y1066" s="42">
        <v>26</v>
      </c>
      <c r="Z1066" s="39">
        <f>W1066+X1066/60+Y1066/3600</f>
        <v>3.2738888888888886</v>
      </c>
      <c r="AA1066" s="45" t="e">
        <f>ABS(Z1066-Q1066)/Q1066</f>
        <v>#DIV/0!</v>
      </c>
      <c r="AB1066" s="45"/>
      <c r="AC1066" s="39">
        <f>IF(ISBLANK(F1066),P1066,U1066)</f>
        <v>48.790833333333332</v>
      </c>
      <c r="AD1066" s="39">
        <f>IF(ISBLANK(F1066),Q1066,Z1066)</f>
        <v>3.2738888888888886</v>
      </c>
    </row>
    <row r="1067" spans="1:30" s="14" customFormat="1">
      <c r="A1067" s="38">
        <v>34</v>
      </c>
      <c r="B1067" s="38" t="s">
        <v>746</v>
      </c>
      <c r="C1067" s="39" t="str">
        <f>VLOOKUP(B1067,weights!A:B,2,FALSE)</f>
        <v>M</v>
      </c>
      <c r="D1067" s="40">
        <v>1065</v>
      </c>
      <c r="E1067" s="39" t="s">
        <v>1193</v>
      </c>
      <c r="F1067" s="39" t="s">
        <v>6033</v>
      </c>
      <c r="G1067" s="46"/>
      <c r="H1067" s="41"/>
      <c r="I1067" s="41"/>
      <c r="J1067" s="39">
        <v>1066</v>
      </c>
      <c r="K1067" s="39">
        <f>VLOOKUP(B1067,weights!A:G,5,FALSE)</f>
        <v>8.7799999999999994</v>
      </c>
      <c r="L1067" s="39">
        <f>VLOOKUP(B1067,weights!A:G,6,FALSE)</f>
        <v>7</v>
      </c>
      <c r="M1067" s="39">
        <f>VLOOKUP(B1067,weights!A:G,7,FALSE)</f>
        <v>10</v>
      </c>
      <c r="N1067" s="39"/>
      <c r="O1067" s="39"/>
      <c r="P1067" s="39"/>
      <c r="Q1067" s="39"/>
      <c r="R1067" s="42">
        <v>48</v>
      </c>
      <c r="S1067" s="42">
        <v>47</v>
      </c>
      <c r="T1067" s="42">
        <v>27</v>
      </c>
      <c r="U1067" s="43">
        <f>R1067+S1067/60+T1067/3600</f>
        <v>48.790833333333332</v>
      </c>
      <c r="V1067" s="44" t="e">
        <f>ABS(U1067-P1067)/P1067</f>
        <v>#DIV/0!</v>
      </c>
      <c r="W1067" s="42">
        <v>3</v>
      </c>
      <c r="X1067" s="42">
        <v>16</v>
      </c>
      <c r="Y1067" s="42">
        <v>26</v>
      </c>
      <c r="Z1067" s="39">
        <f>W1067+X1067/60+Y1067/3600</f>
        <v>3.2738888888888886</v>
      </c>
      <c r="AA1067" s="45" t="e">
        <f>ABS(Z1067-Q1067)/Q1067</f>
        <v>#DIV/0!</v>
      </c>
      <c r="AB1067" s="45"/>
      <c r="AC1067" s="39">
        <f>IF(ISBLANK(F1067),P1067,U1067)</f>
        <v>48.790833333333332</v>
      </c>
      <c r="AD1067" s="39">
        <f>IF(ISBLANK(F1067),Q1067,Z1067)</f>
        <v>3.2738888888888886</v>
      </c>
    </row>
    <row r="1068" spans="1:30" s="14" customFormat="1">
      <c r="A1068" s="38">
        <v>35</v>
      </c>
      <c r="B1068" s="38" t="s">
        <v>746</v>
      </c>
      <c r="C1068" s="39" t="str">
        <f>VLOOKUP(B1068,weights!A:B,2,FALSE)</f>
        <v>M</v>
      </c>
      <c r="D1068" s="40">
        <v>1066</v>
      </c>
      <c r="E1068" s="39" t="s">
        <v>1194</v>
      </c>
      <c r="F1068" s="39" t="s">
        <v>6034</v>
      </c>
      <c r="G1068" s="46"/>
      <c r="H1068" s="41"/>
      <c r="I1068" s="41"/>
      <c r="J1068" s="39">
        <v>1067</v>
      </c>
      <c r="K1068" s="39">
        <f>VLOOKUP(B1068,weights!A:G,5,FALSE)</f>
        <v>8.7799999999999994</v>
      </c>
      <c r="L1068" s="39">
        <f>VLOOKUP(B1068,weights!A:G,6,FALSE)</f>
        <v>7</v>
      </c>
      <c r="M1068" s="39">
        <f>VLOOKUP(B1068,weights!A:G,7,FALSE)</f>
        <v>10</v>
      </c>
      <c r="N1068" s="39"/>
      <c r="O1068" s="39"/>
      <c r="P1068" s="39"/>
      <c r="Q1068" s="39"/>
      <c r="R1068" s="42">
        <v>48</v>
      </c>
      <c r="S1068" s="42">
        <v>46</v>
      </c>
      <c r="T1068" s="42">
        <v>56</v>
      </c>
      <c r="U1068" s="43">
        <f>R1068+S1068/60+T1068/3600</f>
        <v>48.782222222222224</v>
      </c>
      <c r="V1068" s="44" t="e">
        <f>ABS(U1068-P1068)/P1068</f>
        <v>#DIV/0!</v>
      </c>
      <c r="W1068" s="42">
        <v>3</v>
      </c>
      <c r="X1068" s="42">
        <v>17</v>
      </c>
      <c r="Y1068" s="42">
        <v>52</v>
      </c>
      <c r="Z1068" s="39">
        <f>W1068+X1068/60+Y1068/3600</f>
        <v>3.2977777777777777</v>
      </c>
      <c r="AA1068" s="45" t="e">
        <f>ABS(Z1068-Q1068)/Q1068</f>
        <v>#DIV/0!</v>
      </c>
      <c r="AB1068" s="45"/>
      <c r="AC1068" s="39">
        <f>IF(ISBLANK(F1068),P1068,U1068)</f>
        <v>48.782222222222224</v>
      </c>
      <c r="AD1068" s="39">
        <f>IF(ISBLANK(F1068),Q1068,Z1068)</f>
        <v>3.2977777777777777</v>
      </c>
    </row>
    <row r="1069" spans="1:30" s="14" customFormat="1">
      <c r="A1069" s="38">
        <v>36</v>
      </c>
      <c r="B1069" s="38" t="s">
        <v>746</v>
      </c>
      <c r="C1069" s="39" t="str">
        <f>VLOOKUP(B1069,weights!A:B,2,FALSE)</f>
        <v>M</v>
      </c>
      <c r="D1069" s="40">
        <v>1067</v>
      </c>
      <c r="E1069" s="39" t="s">
        <v>1195</v>
      </c>
      <c r="F1069" s="39" t="s">
        <v>6034</v>
      </c>
      <c r="G1069" s="46"/>
      <c r="H1069" s="41"/>
      <c r="I1069" s="41"/>
      <c r="J1069" s="39"/>
      <c r="K1069" s="39">
        <f>VLOOKUP(B1069,weights!A:G,5,FALSE)</f>
        <v>8.7799999999999994</v>
      </c>
      <c r="L1069" s="39">
        <f>VLOOKUP(B1069,weights!A:G,6,FALSE)</f>
        <v>7</v>
      </c>
      <c r="M1069" s="39">
        <f>VLOOKUP(B1069,weights!A:G,7,FALSE)</f>
        <v>10</v>
      </c>
      <c r="N1069" s="39"/>
      <c r="O1069" s="39"/>
      <c r="P1069" s="39"/>
      <c r="Q1069" s="39"/>
      <c r="R1069" s="42">
        <v>48</v>
      </c>
      <c r="S1069" s="42">
        <v>46</v>
      </c>
      <c r="T1069" s="42">
        <v>56</v>
      </c>
      <c r="U1069" s="43">
        <f>R1069+S1069/60+T1069/3600</f>
        <v>48.782222222222224</v>
      </c>
      <c r="V1069" s="44" t="e">
        <f>ABS(U1069-P1069)/P1069</f>
        <v>#DIV/0!</v>
      </c>
      <c r="W1069" s="42">
        <v>3</v>
      </c>
      <c r="X1069" s="42">
        <v>17</v>
      </c>
      <c r="Y1069" s="42">
        <v>52</v>
      </c>
      <c r="Z1069" s="39">
        <f>W1069+X1069/60+Y1069/3600</f>
        <v>3.2977777777777777</v>
      </c>
      <c r="AA1069" s="45" t="e">
        <f>ABS(Z1069-Q1069)/Q1069</f>
        <v>#DIV/0!</v>
      </c>
      <c r="AB1069" s="45"/>
      <c r="AC1069" s="39">
        <f>IF(ISBLANK(F1069),P1069,U1069)</f>
        <v>48.782222222222224</v>
      </c>
      <c r="AD1069" s="39">
        <f>IF(ISBLANK(F1069),Q1069,Z1069)</f>
        <v>3.2977777777777777</v>
      </c>
    </row>
    <row r="1070" spans="1:30" s="14" customFormat="1">
      <c r="A1070" s="12">
        <v>37</v>
      </c>
      <c r="B1070" s="12" t="s">
        <v>746</v>
      </c>
      <c r="C1070" s="14" t="str">
        <f>VLOOKUP(B1070,weights!A:B,2,FALSE)</f>
        <v>M</v>
      </c>
      <c r="D1070" s="13">
        <v>1068</v>
      </c>
      <c r="E1070" s="14" t="s">
        <v>1196</v>
      </c>
      <c r="G1070" s="15"/>
      <c r="H1070" s="18"/>
      <c r="I1070" s="18"/>
      <c r="J1070" s="14">
        <v>1069</v>
      </c>
      <c r="K1070" s="14">
        <f>VLOOKUP(B1070,weights!A:G,5,FALSE)</f>
        <v>8.7799999999999994</v>
      </c>
      <c r="L1070" s="14">
        <f>VLOOKUP(B1070,weights!A:G,6,FALSE)</f>
        <v>7</v>
      </c>
      <c r="M1070" s="14">
        <f>VLOOKUP(B1070,weights!A:G,7,FALSE)</f>
        <v>10</v>
      </c>
      <c r="N1070" t="s">
        <v>5882</v>
      </c>
      <c r="O1070">
        <v>876</v>
      </c>
      <c r="P1070">
        <v>48.644373624000004</v>
      </c>
      <c r="Q1070">
        <v>2.8251699343299999</v>
      </c>
      <c r="R1070" s="22"/>
      <c r="S1070" s="22"/>
      <c r="T1070" s="22"/>
      <c r="U1070" s="24">
        <f>R1070+S1070/60+T1070/3600</f>
        <v>0</v>
      </c>
      <c r="V1070" s="28">
        <f>ABS(U1070-P1070)/P1070</f>
        <v>1</v>
      </c>
      <c r="W1070" s="22"/>
      <c r="X1070" s="22"/>
      <c r="Y1070" s="22"/>
      <c r="Z1070" s="14">
        <f>W1070+X1070/60+Y1070/3600</f>
        <v>0</v>
      </c>
      <c r="AA1070" s="26">
        <f>ABS(Z1070-Q1070)/Q1070</f>
        <v>1</v>
      </c>
      <c r="AB1070" s="26"/>
      <c r="AC1070" s="14">
        <f>P1070</f>
        <v>48.644373624000004</v>
      </c>
      <c r="AD1070" s="14">
        <f>Q1070</f>
        <v>2.8251699343299999</v>
      </c>
    </row>
    <row r="1071" spans="1:30" s="14" customFormat="1">
      <c r="A1071" s="12">
        <v>38</v>
      </c>
      <c r="B1071" s="12" t="s">
        <v>746</v>
      </c>
      <c r="C1071" s="14" t="str">
        <f>VLOOKUP(B1071,weights!A:B,2,FALSE)</f>
        <v>M</v>
      </c>
      <c r="D1071" s="13">
        <v>1069</v>
      </c>
      <c r="E1071" s="14" t="s">
        <v>1197</v>
      </c>
      <c r="G1071" s="15"/>
      <c r="H1071" s="18"/>
      <c r="I1071" s="18"/>
      <c r="J1071" s="14">
        <v>1070</v>
      </c>
      <c r="K1071" s="14">
        <f>VLOOKUP(B1071,weights!A:G,5,FALSE)</f>
        <v>8.7799999999999994</v>
      </c>
      <c r="L1071" s="14">
        <f>VLOOKUP(B1071,weights!A:G,6,FALSE)</f>
        <v>7</v>
      </c>
      <c r="M1071" s="14">
        <f>VLOOKUP(B1071,weights!A:G,7,FALSE)</f>
        <v>10</v>
      </c>
      <c r="N1071" t="s">
        <v>4938</v>
      </c>
      <c r="O1071">
        <v>737</v>
      </c>
      <c r="P1071">
        <v>48.614015242699999</v>
      </c>
      <c r="Q1071">
        <v>2.8882528927100002</v>
      </c>
      <c r="R1071" s="22"/>
      <c r="S1071" s="22"/>
      <c r="T1071" s="22"/>
      <c r="U1071" s="24">
        <f>R1071+S1071/60+T1071/3600</f>
        <v>0</v>
      </c>
      <c r="V1071" s="28">
        <f>ABS(U1071-P1071)/P1071</f>
        <v>1</v>
      </c>
      <c r="W1071" s="22"/>
      <c r="X1071" s="22"/>
      <c r="Y1071" s="22"/>
      <c r="Z1071" s="14">
        <f>W1071+X1071/60+Y1071/3600</f>
        <v>0</v>
      </c>
      <c r="AA1071" s="26">
        <f>ABS(Z1071-Q1071)/Q1071</f>
        <v>1</v>
      </c>
      <c r="AB1071" s="26"/>
      <c r="AC1071" s="14">
        <f>P1071</f>
        <v>48.614015242699999</v>
      </c>
      <c r="AD1071" s="14">
        <f>Q1071</f>
        <v>2.8882528927100002</v>
      </c>
    </row>
    <row r="1072" spans="1:30" s="14" customFormat="1">
      <c r="A1072" s="12">
        <v>39</v>
      </c>
      <c r="B1072" s="12" t="s">
        <v>746</v>
      </c>
      <c r="C1072" s="14" t="str">
        <f>VLOOKUP(B1072,weights!A:B,2,FALSE)</f>
        <v>M</v>
      </c>
      <c r="D1072" s="13">
        <v>1070</v>
      </c>
      <c r="E1072" s="14" t="s">
        <v>1198</v>
      </c>
      <c r="G1072" s="15"/>
      <c r="H1072" s="18"/>
      <c r="I1072" s="18"/>
      <c r="J1072" s="14">
        <v>1071</v>
      </c>
      <c r="K1072" s="14">
        <f>VLOOKUP(B1072,weights!A:G,5,FALSE)</f>
        <v>8.7799999999999994</v>
      </c>
      <c r="L1072" s="14">
        <f>VLOOKUP(B1072,weights!A:G,6,FALSE)</f>
        <v>7</v>
      </c>
      <c r="M1072" s="14">
        <f>VLOOKUP(B1072,weights!A:G,7,FALSE)</f>
        <v>10</v>
      </c>
      <c r="N1072" t="s">
        <v>4962</v>
      </c>
      <c r="O1072">
        <v>738</v>
      </c>
      <c r="P1072">
        <v>48.562124836800002</v>
      </c>
      <c r="Q1072">
        <v>3.0117693236299998</v>
      </c>
      <c r="R1072" s="22"/>
      <c r="S1072" s="22"/>
      <c r="T1072" s="22"/>
      <c r="U1072" s="24">
        <f>R1072+S1072/60+T1072/3600</f>
        <v>0</v>
      </c>
      <c r="V1072" s="28">
        <f>ABS(U1072-P1072)/P1072</f>
        <v>1</v>
      </c>
      <c r="W1072" s="22"/>
      <c r="X1072" s="22"/>
      <c r="Y1072" s="22"/>
      <c r="Z1072" s="14">
        <f>W1072+X1072/60+Y1072/3600</f>
        <v>0</v>
      </c>
      <c r="AA1072" s="26">
        <f>ABS(Z1072-Q1072)/Q1072</f>
        <v>1</v>
      </c>
      <c r="AB1072" s="26"/>
      <c r="AC1072" s="14">
        <f>P1072</f>
        <v>48.562124836800002</v>
      </c>
      <c r="AD1072" s="14">
        <f>Q1072</f>
        <v>3.0117693236299998</v>
      </c>
    </row>
    <row r="1073" spans="1:30" s="14" customFormat="1">
      <c r="A1073" s="12">
        <v>40</v>
      </c>
      <c r="B1073" s="12" t="s">
        <v>746</v>
      </c>
      <c r="C1073" s="14" t="str">
        <f>VLOOKUP(B1073,weights!A:B,2,FALSE)</f>
        <v>M</v>
      </c>
      <c r="D1073" s="13">
        <v>1071</v>
      </c>
      <c r="E1073" s="14" t="s">
        <v>1199</v>
      </c>
      <c r="G1073" s="15"/>
      <c r="H1073" s="18"/>
      <c r="I1073" s="18"/>
      <c r="J1073" s="14">
        <v>1072</v>
      </c>
      <c r="K1073" s="14">
        <f>VLOOKUP(B1073,weights!A:G,5,FALSE)</f>
        <v>8.7799999999999994</v>
      </c>
      <c r="L1073" s="14">
        <f>VLOOKUP(B1073,weights!A:G,6,FALSE)</f>
        <v>7</v>
      </c>
      <c r="M1073" s="14">
        <f>VLOOKUP(B1073,weights!A:G,7,FALSE)</f>
        <v>10</v>
      </c>
      <c r="N1073" t="s">
        <v>4650</v>
      </c>
      <c r="O1073">
        <v>85</v>
      </c>
      <c r="P1073">
        <v>48.513754591000001</v>
      </c>
      <c r="Q1073">
        <v>3.2500349825799999</v>
      </c>
      <c r="R1073" s="22"/>
      <c r="S1073" s="22"/>
      <c r="T1073" s="22"/>
      <c r="U1073" s="24">
        <f>R1073+S1073/60+T1073/3600</f>
        <v>0</v>
      </c>
      <c r="V1073" s="28">
        <f>ABS(U1073-P1073)/P1073</f>
        <v>1</v>
      </c>
      <c r="W1073" s="22"/>
      <c r="X1073" s="22"/>
      <c r="Y1073" s="22"/>
      <c r="Z1073" s="14">
        <f>W1073+X1073/60+Y1073/3600</f>
        <v>0</v>
      </c>
      <c r="AA1073" s="26">
        <f>ABS(Z1073-Q1073)/Q1073</f>
        <v>1</v>
      </c>
      <c r="AB1073" s="26"/>
      <c r="AC1073" s="14">
        <f>P1073</f>
        <v>48.513754591000001</v>
      </c>
      <c r="AD1073" s="14">
        <f>Q1073</f>
        <v>3.2500349825799999</v>
      </c>
    </row>
    <row r="1074" spans="1:30" s="14" customFormat="1">
      <c r="A1074" s="12">
        <v>41</v>
      </c>
      <c r="B1074" s="12" t="s">
        <v>746</v>
      </c>
      <c r="C1074" s="14" t="str">
        <f>VLOOKUP(B1074,weights!A:B,2,FALSE)</f>
        <v>M</v>
      </c>
      <c r="D1074" s="13">
        <v>1072</v>
      </c>
      <c r="E1074" s="14" t="s">
        <v>1200</v>
      </c>
      <c r="G1074" s="15"/>
      <c r="H1074" s="18"/>
      <c r="I1074" s="18"/>
      <c r="J1074" s="14">
        <v>1073</v>
      </c>
      <c r="K1074" s="14">
        <f>VLOOKUP(B1074,weights!A:G,5,FALSE)</f>
        <v>8.7799999999999994</v>
      </c>
      <c r="L1074" s="14">
        <f>VLOOKUP(B1074,weights!A:G,6,FALSE)</f>
        <v>7</v>
      </c>
      <c r="M1074" s="14">
        <f>VLOOKUP(B1074,weights!A:G,7,FALSE)</f>
        <v>10</v>
      </c>
      <c r="N1074" t="s">
        <v>5646</v>
      </c>
      <c r="O1074">
        <v>510</v>
      </c>
      <c r="P1074">
        <v>48.529148967700003</v>
      </c>
      <c r="Q1074">
        <v>3.2553681513799999</v>
      </c>
      <c r="R1074" s="22"/>
      <c r="S1074" s="22"/>
      <c r="T1074" s="22"/>
      <c r="U1074" s="24">
        <f>R1074+S1074/60+T1074/3600</f>
        <v>0</v>
      </c>
      <c r="V1074" s="28">
        <f>ABS(U1074-P1074)/P1074</f>
        <v>1</v>
      </c>
      <c r="W1074" s="22"/>
      <c r="X1074" s="22"/>
      <c r="Y1074" s="22"/>
      <c r="Z1074" s="14">
        <f>W1074+X1074/60+Y1074/3600</f>
        <v>0</v>
      </c>
      <c r="AA1074" s="26">
        <f>ABS(Z1074-Q1074)/Q1074</f>
        <v>1</v>
      </c>
      <c r="AB1074" s="26"/>
      <c r="AC1074" s="14">
        <f>P1074</f>
        <v>48.529148967700003</v>
      </c>
      <c r="AD1074" s="14">
        <f>Q1074</f>
        <v>3.2553681513799999</v>
      </c>
    </row>
    <row r="1075" spans="1:30" s="14" customFormat="1">
      <c r="A1075" s="12">
        <v>42</v>
      </c>
      <c r="B1075" s="12" t="s">
        <v>746</v>
      </c>
      <c r="C1075" s="14" t="str">
        <f>VLOOKUP(B1075,weights!A:B,2,FALSE)</f>
        <v>M</v>
      </c>
      <c r="D1075" s="13">
        <v>1073</v>
      </c>
      <c r="E1075" s="14" t="s">
        <v>1201</v>
      </c>
      <c r="G1075" s="15"/>
      <c r="H1075" s="18"/>
      <c r="I1075" s="18"/>
      <c r="J1075" s="14">
        <v>1074</v>
      </c>
      <c r="K1075" s="14">
        <f>VLOOKUP(B1075,weights!A:G,5,FALSE)</f>
        <v>8.7799999999999994</v>
      </c>
      <c r="L1075" s="14">
        <f>VLOOKUP(B1075,weights!A:G,6,FALSE)</f>
        <v>7</v>
      </c>
      <c r="M1075" s="14">
        <f>VLOOKUP(B1075,weights!A:G,7,FALSE)</f>
        <v>10</v>
      </c>
      <c r="N1075" t="s">
        <v>3562</v>
      </c>
      <c r="O1075">
        <v>657</v>
      </c>
      <c r="P1075">
        <v>48.545595346900001</v>
      </c>
      <c r="Q1075">
        <v>3.28731284848</v>
      </c>
      <c r="R1075" s="22"/>
      <c r="S1075" s="22"/>
      <c r="T1075" s="22"/>
      <c r="U1075" s="24">
        <f>R1075+S1075/60+T1075/3600</f>
        <v>0</v>
      </c>
      <c r="V1075" s="28">
        <f>ABS(U1075-P1075)/P1075</f>
        <v>1</v>
      </c>
      <c r="W1075" s="22"/>
      <c r="X1075" s="22"/>
      <c r="Y1075" s="22"/>
      <c r="Z1075" s="14">
        <f>W1075+X1075/60+Y1075/3600</f>
        <v>0</v>
      </c>
      <c r="AA1075" s="26">
        <f>ABS(Z1075-Q1075)/Q1075</f>
        <v>1</v>
      </c>
      <c r="AB1075" s="26"/>
      <c r="AC1075" s="14">
        <f>P1075</f>
        <v>48.545595346900001</v>
      </c>
      <c r="AD1075" s="14">
        <f>Q1075</f>
        <v>3.28731284848</v>
      </c>
    </row>
    <row r="1076" spans="1:30" s="14" customFormat="1">
      <c r="A1076" s="12">
        <v>43</v>
      </c>
      <c r="B1076" s="12" t="s">
        <v>746</v>
      </c>
      <c r="C1076" s="14" t="str">
        <f>VLOOKUP(B1076,weights!A:B,2,FALSE)</f>
        <v>M</v>
      </c>
      <c r="D1076" s="13">
        <v>1074</v>
      </c>
      <c r="E1076" s="14" t="s">
        <v>1202</v>
      </c>
      <c r="G1076" s="15"/>
      <c r="H1076" s="18"/>
      <c r="I1076" s="18"/>
      <c r="K1076" s="14">
        <f>VLOOKUP(B1076,weights!A:G,5,FALSE)</f>
        <v>8.7799999999999994</v>
      </c>
      <c r="L1076" s="14">
        <f>VLOOKUP(B1076,weights!A:G,6,FALSE)</f>
        <v>7</v>
      </c>
      <c r="M1076" s="14">
        <f>VLOOKUP(B1076,weights!A:G,7,FALSE)</f>
        <v>10</v>
      </c>
      <c r="N1076" t="s">
        <v>5390</v>
      </c>
      <c r="O1076">
        <v>271</v>
      </c>
      <c r="P1076">
        <v>48.555591556899998</v>
      </c>
      <c r="Q1076">
        <v>3.3028712225999999</v>
      </c>
      <c r="R1076" s="22"/>
      <c r="S1076" s="22"/>
      <c r="T1076" s="22"/>
      <c r="U1076" s="24">
        <f>R1076+S1076/60+T1076/3600</f>
        <v>0</v>
      </c>
      <c r="V1076" s="28">
        <f>ABS(U1076-P1076)/P1076</f>
        <v>1</v>
      </c>
      <c r="W1076" s="22"/>
      <c r="X1076" s="22"/>
      <c r="Y1076" s="22"/>
      <c r="Z1076" s="14">
        <f>W1076+X1076/60+Y1076/3600</f>
        <v>0</v>
      </c>
      <c r="AA1076" s="26">
        <f>ABS(Z1076-Q1076)/Q1076</f>
        <v>1</v>
      </c>
      <c r="AB1076" s="26"/>
      <c r="AC1076" s="14">
        <f>P1076</f>
        <v>48.555591556899998</v>
      </c>
      <c r="AD1076" s="14">
        <f>Q1076</f>
        <v>3.3028712225999999</v>
      </c>
    </row>
    <row r="1077" spans="1:30" s="14" customFormat="1">
      <c r="A1077" s="12">
        <v>0</v>
      </c>
      <c r="B1077" s="12" t="s">
        <v>722</v>
      </c>
      <c r="C1077" s="14" t="str">
        <f>VLOOKUP(B1077,weights!A:B,2,FALSE)</f>
        <v>M</v>
      </c>
      <c r="D1077" s="13">
        <v>1075</v>
      </c>
      <c r="E1077" s="14" t="s">
        <v>681</v>
      </c>
      <c r="G1077" s="15" t="s">
        <v>1503</v>
      </c>
      <c r="H1077" s="18"/>
      <c r="I1077" s="18" t="s">
        <v>1993</v>
      </c>
      <c r="J1077" s="14">
        <v>1076</v>
      </c>
      <c r="K1077" s="14">
        <f>VLOOKUP(B1077,weights!A:G,5,FALSE)</f>
        <v>8.56</v>
      </c>
      <c r="L1077" s="14">
        <f>VLOOKUP(B1077,weights!A:G,6,FALSE)</f>
        <v>7</v>
      </c>
      <c r="M1077" s="14">
        <f>VLOOKUP(B1077,weights!A:G,7,FALSE)</f>
        <v>10</v>
      </c>
      <c r="N1077" t="s">
        <v>4102</v>
      </c>
      <c r="O1077">
        <v>638</v>
      </c>
      <c r="P1077">
        <v>48.844139349899997</v>
      </c>
      <c r="Q1077">
        <v>2.3732599780700001</v>
      </c>
      <c r="R1077" s="22"/>
      <c r="S1077" s="22"/>
      <c r="T1077" s="22"/>
      <c r="U1077" s="24">
        <f>R1077+S1077/60+T1077/3600</f>
        <v>0</v>
      </c>
      <c r="V1077" s="28">
        <f>ABS(U1077-P1077)/P1077</f>
        <v>1</v>
      </c>
      <c r="W1077" s="22"/>
      <c r="X1077" s="22"/>
      <c r="Y1077" s="22"/>
      <c r="Z1077" s="14">
        <f>W1077+X1077/60+Y1077/3600</f>
        <v>0</v>
      </c>
      <c r="AA1077" s="26">
        <f>ABS(Z1077-Q1077)/Q1077</f>
        <v>1</v>
      </c>
      <c r="AB1077" s="26"/>
      <c r="AC1077" s="14">
        <f>P1077</f>
        <v>48.844139349899997</v>
      </c>
      <c r="AD1077" s="14">
        <f>Q1077</f>
        <v>2.3732599780700001</v>
      </c>
    </row>
    <row r="1078" spans="1:30" s="14" customFormat="1">
      <c r="A1078" s="12">
        <v>1</v>
      </c>
      <c r="B1078" s="12" t="s">
        <v>722</v>
      </c>
      <c r="C1078" s="14" t="str">
        <f>VLOOKUP(B1078,weights!A:B,2,FALSE)</f>
        <v>M</v>
      </c>
      <c r="D1078" s="13">
        <v>1076</v>
      </c>
      <c r="E1078" s="14" t="s">
        <v>712</v>
      </c>
      <c r="G1078" s="15" t="s">
        <v>666</v>
      </c>
      <c r="H1078" s="18"/>
      <c r="I1078" s="18" t="s">
        <v>1994</v>
      </c>
      <c r="J1078" s="14">
        <v>1077.1092000000001</v>
      </c>
      <c r="K1078" s="14">
        <f>VLOOKUP(B1078,weights!A:G,5,FALSE)</f>
        <v>8.56</v>
      </c>
      <c r="L1078" s="14">
        <f>VLOOKUP(B1078,weights!A:G,6,FALSE)</f>
        <v>7</v>
      </c>
      <c r="M1078" s="14">
        <f>VLOOKUP(B1078,weights!A:G,7,FALSE)</f>
        <v>10</v>
      </c>
      <c r="N1078" t="s">
        <v>4834</v>
      </c>
      <c r="O1078">
        <v>492</v>
      </c>
      <c r="P1078">
        <v>48.527243321500002</v>
      </c>
      <c r="Q1078">
        <v>2.65499028214</v>
      </c>
      <c r="R1078" s="22"/>
      <c r="S1078" s="22"/>
      <c r="T1078" s="22"/>
      <c r="U1078" s="24">
        <f>R1078+S1078/60+T1078/3600</f>
        <v>0</v>
      </c>
      <c r="V1078" s="28">
        <f>ABS(U1078-P1078)/P1078</f>
        <v>1</v>
      </c>
      <c r="W1078" s="22"/>
      <c r="X1078" s="22"/>
      <c r="Y1078" s="22"/>
      <c r="Z1078" s="14">
        <f>W1078+X1078/60+Y1078/3600</f>
        <v>0</v>
      </c>
      <c r="AA1078" s="26">
        <f>ABS(Z1078-Q1078)/Q1078</f>
        <v>1</v>
      </c>
      <c r="AB1078" s="26"/>
      <c r="AC1078" s="14">
        <f>P1078</f>
        <v>48.527243321500002</v>
      </c>
      <c r="AD1078" s="14">
        <f>Q1078</f>
        <v>2.65499028214</v>
      </c>
    </row>
    <row r="1079" spans="1:30" s="14" customFormat="1">
      <c r="A1079" s="12">
        <v>2</v>
      </c>
      <c r="B1079" s="12" t="s">
        <v>722</v>
      </c>
      <c r="C1079" s="14" t="str">
        <f>VLOOKUP(B1079,weights!A:B,2,FALSE)</f>
        <v>M</v>
      </c>
      <c r="D1079" s="13">
        <v>1077</v>
      </c>
      <c r="E1079" s="14" t="s">
        <v>1203</v>
      </c>
      <c r="G1079" s="15"/>
      <c r="H1079" s="18"/>
      <c r="I1079" s="18"/>
      <c r="J1079" s="14">
        <v>1078</v>
      </c>
      <c r="K1079" s="14">
        <f>VLOOKUP(B1079,weights!A:G,5,FALSE)</f>
        <v>8.56</v>
      </c>
      <c r="L1079" s="14">
        <f>VLOOKUP(B1079,weights!A:G,6,FALSE)</f>
        <v>7</v>
      </c>
      <c r="M1079" s="14">
        <f>VLOOKUP(B1079,weights!A:G,7,FALSE)</f>
        <v>10</v>
      </c>
      <c r="N1079" t="s">
        <v>3366</v>
      </c>
      <c r="O1079">
        <v>743</v>
      </c>
      <c r="P1079">
        <v>48.475523069700003</v>
      </c>
      <c r="Q1079">
        <v>2.69203326394</v>
      </c>
      <c r="R1079" s="22"/>
      <c r="S1079" s="22"/>
      <c r="T1079" s="22"/>
      <c r="U1079" s="24">
        <f>R1079+S1079/60+T1079/3600</f>
        <v>0</v>
      </c>
      <c r="V1079" s="28">
        <f>ABS(U1079-P1079)/P1079</f>
        <v>1</v>
      </c>
      <c r="W1079" s="22"/>
      <c r="X1079" s="22"/>
      <c r="Y1079" s="22"/>
      <c r="Z1079" s="14">
        <f>W1079+X1079/60+Y1079/3600</f>
        <v>0</v>
      </c>
      <c r="AA1079" s="26">
        <f>ABS(Z1079-Q1079)/Q1079</f>
        <v>1</v>
      </c>
      <c r="AB1079" s="26"/>
      <c r="AC1079" s="14">
        <f>P1079</f>
        <v>48.475523069700003</v>
      </c>
      <c r="AD1079" s="14">
        <f>Q1079</f>
        <v>2.69203326394</v>
      </c>
    </row>
    <row r="1080" spans="1:30" s="14" customFormat="1">
      <c r="A1080" s="12">
        <v>3</v>
      </c>
      <c r="B1080" s="12" t="s">
        <v>722</v>
      </c>
      <c r="C1080" s="14" t="str">
        <f>VLOOKUP(B1080,weights!A:B,2,FALSE)</f>
        <v>M</v>
      </c>
      <c r="D1080" s="13">
        <v>1078</v>
      </c>
      <c r="E1080" s="14" t="s">
        <v>1204</v>
      </c>
      <c r="F1080" s="14" t="s">
        <v>6035</v>
      </c>
      <c r="G1080" s="15"/>
      <c r="H1080" s="18"/>
      <c r="I1080" s="18"/>
      <c r="J1080" s="14">
        <v>1079</v>
      </c>
      <c r="K1080" s="14">
        <f>VLOOKUP(B1080,weights!A:G,5,FALSE)</f>
        <v>8.56</v>
      </c>
      <c r="L1080" s="14">
        <f>VLOOKUP(B1080,weights!A:G,6,FALSE)</f>
        <v>7</v>
      </c>
      <c r="M1080" s="14">
        <f>VLOOKUP(B1080,weights!A:G,7,FALSE)</f>
        <v>10</v>
      </c>
      <c r="R1080" s="42">
        <v>48</v>
      </c>
      <c r="S1080" s="22">
        <v>26</v>
      </c>
      <c r="T1080" s="22">
        <v>52</v>
      </c>
      <c r="U1080" s="24">
        <f>R1080+S1080/60+T1080/3600</f>
        <v>48.447777777777773</v>
      </c>
      <c r="V1080" s="28" t="e">
        <f>ABS(U1080-P1080)/P1080</f>
        <v>#DIV/0!</v>
      </c>
      <c r="W1080" s="22">
        <v>2</v>
      </c>
      <c r="X1080" s="22">
        <v>43</v>
      </c>
      <c r="Y1080" s="22">
        <v>46</v>
      </c>
      <c r="Z1080" s="14">
        <f>W1080+X1080/60+Y1080/3600</f>
        <v>2.7294444444444448</v>
      </c>
      <c r="AA1080" s="26" t="e">
        <f>ABS(Z1080-Q1080)/Q1080</f>
        <v>#DIV/0!</v>
      </c>
      <c r="AB1080" s="26"/>
      <c r="AC1080" s="14">
        <f>IF(ISBLANK(F1080),P1080,U1080)</f>
        <v>48.447777777777773</v>
      </c>
      <c r="AD1080" s="14">
        <f>IF(ISBLANK(F1080),Q1080,Z1080)</f>
        <v>2.7294444444444448</v>
      </c>
    </row>
    <row r="1081" spans="1:30" s="14" customFormat="1">
      <c r="A1081" s="12">
        <v>4</v>
      </c>
      <c r="B1081" s="12" t="s">
        <v>722</v>
      </c>
      <c r="C1081" s="14" t="str">
        <f>VLOOKUP(B1081,weights!A:B,2,FALSE)</f>
        <v>M</v>
      </c>
      <c r="D1081" s="13">
        <v>1079</v>
      </c>
      <c r="E1081" s="14" t="s">
        <v>1205</v>
      </c>
      <c r="G1081" s="15"/>
      <c r="H1081" s="18"/>
      <c r="I1081" s="18"/>
      <c r="J1081" s="14">
        <v>1080</v>
      </c>
      <c r="K1081" s="14">
        <f>VLOOKUP(B1081,weights!A:G,5,FALSE)</f>
        <v>8.56</v>
      </c>
      <c r="L1081" s="14">
        <f>VLOOKUP(B1081,weights!A:G,6,FALSE)</f>
        <v>7</v>
      </c>
      <c r="M1081" s="14">
        <f>VLOOKUP(B1081,weights!A:G,7,FALSE)</f>
        <v>10</v>
      </c>
      <c r="N1081" t="s">
        <v>4038</v>
      </c>
      <c r="O1081">
        <v>89</v>
      </c>
      <c r="P1081">
        <v>48.416377033899998</v>
      </c>
      <c r="Q1081">
        <v>2.7266615330800001</v>
      </c>
      <c r="R1081" s="22"/>
      <c r="S1081" s="22"/>
      <c r="T1081" s="22"/>
      <c r="U1081" s="24">
        <f>R1081+S1081/60+T1081/3600</f>
        <v>0</v>
      </c>
      <c r="V1081" s="28">
        <f>ABS(U1081-P1081)/P1081</f>
        <v>1</v>
      </c>
      <c r="W1081" s="22"/>
      <c r="X1081" s="22"/>
      <c r="Y1081" s="22"/>
      <c r="Z1081" s="14">
        <f>W1081+X1081/60+Y1081/3600</f>
        <v>0</v>
      </c>
      <c r="AA1081" s="26">
        <f>ABS(Z1081-Q1081)/Q1081</f>
        <v>1</v>
      </c>
      <c r="AB1081" s="26"/>
      <c r="AC1081" s="14">
        <f>P1081</f>
        <v>48.416377033899998</v>
      </c>
      <c r="AD1081" s="14">
        <f>Q1081</f>
        <v>2.7266615330800001</v>
      </c>
    </row>
    <row r="1082" spans="1:30" s="14" customFormat="1">
      <c r="A1082" s="12">
        <v>5</v>
      </c>
      <c r="B1082" s="12" t="s">
        <v>722</v>
      </c>
      <c r="C1082" s="14" t="str">
        <f>VLOOKUP(B1082,weights!A:B,2,FALSE)</f>
        <v>M</v>
      </c>
      <c r="D1082" s="13">
        <v>1080</v>
      </c>
      <c r="E1082" s="14" t="s">
        <v>1206</v>
      </c>
      <c r="G1082" s="15"/>
      <c r="H1082" s="18"/>
      <c r="I1082" s="18"/>
      <c r="J1082" s="14">
        <v>1081</v>
      </c>
      <c r="K1082" s="14">
        <f>VLOOKUP(B1082,weights!A:G,5,FALSE)</f>
        <v>8.56</v>
      </c>
      <c r="L1082" s="14">
        <f>VLOOKUP(B1082,weights!A:G,6,FALSE)</f>
        <v>7</v>
      </c>
      <c r="M1082" s="14">
        <f>VLOOKUP(B1082,weights!A:G,7,FALSE)</f>
        <v>10</v>
      </c>
      <c r="N1082" t="s">
        <v>5790</v>
      </c>
      <c r="O1082">
        <v>275</v>
      </c>
      <c r="P1082">
        <v>48.394308438800003</v>
      </c>
      <c r="Q1082">
        <v>2.7640281874400001</v>
      </c>
      <c r="R1082" s="22"/>
      <c r="S1082" s="22"/>
      <c r="T1082" s="22"/>
      <c r="U1082" s="24">
        <f>R1082+S1082/60+T1082/3600</f>
        <v>0</v>
      </c>
      <c r="V1082" s="28">
        <f>ABS(U1082-P1082)/P1082</f>
        <v>1</v>
      </c>
      <c r="W1082" s="22"/>
      <c r="X1082" s="22"/>
      <c r="Y1082" s="22"/>
      <c r="Z1082" s="14">
        <f>W1082+X1082/60+Y1082/3600</f>
        <v>0</v>
      </c>
      <c r="AA1082" s="26">
        <f>ABS(Z1082-Q1082)/Q1082</f>
        <v>1</v>
      </c>
      <c r="AB1082" s="26"/>
      <c r="AC1082" s="14">
        <f>P1082</f>
        <v>48.394308438800003</v>
      </c>
      <c r="AD1082" s="14">
        <f>Q1082</f>
        <v>2.7640281874400001</v>
      </c>
    </row>
    <row r="1083" spans="1:30" s="14" customFormat="1">
      <c r="A1083" s="12">
        <v>6</v>
      </c>
      <c r="B1083" s="12" t="s">
        <v>722</v>
      </c>
      <c r="C1083" s="14" t="str">
        <f>VLOOKUP(B1083,weights!A:B,2,FALSE)</f>
        <v>M</v>
      </c>
      <c r="D1083" s="13">
        <v>1081</v>
      </c>
      <c r="E1083" s="14" t="s">
        <v>1207</v>
      </c>
      <c r="G1083" s="15"/>
      <c r="H1083" s="18"/>
      <c r="I1083" s="18"/>
      <c r="J1083" s="14">
        <v>1082.1084000000001</v>
      </c>
      <c r="K1083" s="14">
        <f>VLOOKUP(B1083,weights!A:G,5,FALSE)</f>
        <v>8.56</v>
      </c>
      <c r="L1083" s="14">
        <f>VLOOKUP(B1083,weights!A:G,6,FALSE)</f>
        <v>7</v>
      </c>
      <c r="M1083" s="14">
        <f>VLOOKUP(B1083,weights!A:G,7,FALSE)</f>
        <v>10</v>
      </c>
      <c r="N1083" t="s">
        <v>4935</v>
      </c>
      <c r="O1083">
        <v>326</v>
      </c>
      <c r="P1083">
        <v>48.378534915099998</v>
      </c>
      <c r="Q1083">
        <v>2.7988830795699999</v>
      </c>
      <c r="R1083" s="22"/>
      <c r="S1083" s="22"/>
      <c r="T1083" s="22"/>
      <c r="U1083" s="24">
        <f>R1083+S1083/60+T1083/3600</f>
        <v>0</v>
      </c>
      <c r="V1083" s="28">
        <f>ABS(U1083-P1083)/P1083</f>
        <v>1</v>
      </c>
      <c r="W1083" s="22"/>
      <c r="X1083" s="22"/>
      <c r="Y1083" s="22"/>
      <c r="Z1083" s="14">
        <f>W1083+X1083/60+Y1083/3600</f>
        <v>0</v>
      </c>
      <c r="AA1083" s="26">
        <f>ABS(Z1083-Q1083)/Q1083</f>
        <v>1</v>
      </c>
      <c r="AB1083" s="26"/>
      <c r="AC1083" s="14">
        <f>P1083</f>
        <v>48.378534915099998</v>
      </c>
      <c r="AD1083" s="14">
        <f>Q1083</f>
        <v>2.7988830795699999</v>
      </c>
    </row>
    <row r="1084" spans="1:30" s="14" customFormat="1">
      <c r="A1084" s="12">
        <v>7</v>
      </c>
      <c r="B1084" s="12" t="s">
        <v>722</v>
      </c>
      <c r="C1084" s="14" t="str">
        <f>VLOOKUP(B1084,weights!A:B,2,FALSE)</f>
        <v>M</v>
      </c>
      <c r="D1084" s="13">
        <v>1082</v>
      </c>
      <c r="E1084" s="14" t="s">
        <v>1208</v>
      </c>
      <c r="G1084" s="15"/>
      <c r="H1084" s="18"/>
      <c r="I1084" s="18"/>
      <c r="J1084" s="14">
        <v>1083</v>
      </c>
      <c r="K1084" s="14">
        <f>VLOOKUP(B1084,weights!A:G,5,FALSE)</f>
        <v>8.56</v>
      </c>
      <c r="L1084" s="14">
        <f>VLOOKUP(B1084,weights!A:G,6,FALSE)</f>
        <v>7</v>
      </c>
      <c r="M1084" s="14">
        <f>VLOOKUP(B1084,weights!A:G,7,FALSE)</f>
        <v>10</v>
      </c>
      <c r="N1084" t="s">
        <v>5582</v>
      </c>
      <c r="O1084">
        <v>90</v>
      </c>
      <c r="P1084">
        <v>48.3823580058</v>
      </c>
      <c r="Q1084">
        <v>2.8159567670799999</v>
      </c>
      <c r="R1084" s="22"/>
      <c r="S1084" s="22"/>
      <c r="T1084" s="22"/>
      <c r="U1084" s="24">
        <f>R1084+S1084/60+T1084/3600</f>
        <v>0</v>
      </c>
      <c r="V1084" s="28">
        <f>ABS(U1084-P1084)/P1084</f>
        <v>1</v>
      </c>
      <c r="W1084" s="22"/>
      <c r="X1084" s="22"/>
      <c r="Y1084" s="22"/>
      <c r="Z1084" s="14">
        <f>W1084+X1084/60+Y1084/3600</f>
        <v>0</v>
      </c>
      <c r="AA1084" s="26">
        <f>ABS(Z1084-Q1084)/Q1084</f>
        <v>1</v>
      </c>
      <c r="AB1084" s="26"/>
      <c r="AC1084" s="14">
        <f>P1084</f>
        <v>48.3823580058</v>
      </c>
      <c r="AD1084" s="14">
        <f>Q1084</f>
        <v>2.8159567670799999</v>
      </c>
    </row>
    <row r="1085" spans="1:30" s="14" customFormat="1">
      <c r="A1085" s="12">
        <v>8</v>
      </c>
      <c r="B1085" s="12" t="s">
        <v>722</v>
      </c>
      <c r="C1085" s="14" t="str">
        <f>VLOOKUP(B1085,weights!A:B,2,FALSE)</f>
        <v>M</v>
      </c>
      <c r="D1085" s="13">
        <v>1083</v>
      </c>
      <c r="E1085" s="14" t="s">
        <v>1209</v>
      </c>
      <c r="G1085" s="15"/>
      <c r="H1085" s="18"/>
      <c r="I1085" s="18"/>
      <c r="K1085" s="14">
        <f>VLOOKUP(B1085,weights!A:G,5,FALSE)</f>
        <v>8.56</v>
      </c>
      <c r="L1085" s="14">
        <f>VLOOKUP(B1085,weights!A:G,6,FALSE)</f>
        <v>7</v>
      </c>
      <c r="M1085" s="14">
        <f>VLOOKUP(B1085,weights!A:G,7,FALSE)</f>
        <v>10</v>
      </c>
      <c r="N1085" t="s">
        <v>4898</v>
      </c>
      <c r="O1085">
        <v>916</v>
      </c>
      <c r="P1085">
        <v>48.379526103300002</v>
      </c>
      <c r="Q1085">
        <v>2.9425234127</v>
      </c>
      <c r="R1085" s="22"/>
      <c r="S1085" s="22"/>
      <c r="T1085" s="22"/>
      <c r="U1085" s="24">
        <f>R1085+S1085/60+T1085/3600</f>
        <v>0</v>
      </c>
      <c r="V1085" s="28">
        <f>ABS(U1085-P1085)/P1085</f>
        <v>1</v>
      </c>
      <c r="W1085" s="22"/>
      <c r="X1085" s="22"/>
      <c r="Y1085" s="22"/>
      <c r="Z1085" s="14">
        <f>W1085+X1085/60+Y1085/3600</f>
        <v>0</v>
      </c>
      <c r="AA1085" s="26">
        <f>ABS(Z1085-Q1085)/Q1085</f>
        <v>1</v>
      </c>
      <c r="AB1085" s="26"/>
      <c r="AC1085" s="14">
        <f>P1085</f>
        <v>48.379526103300002</v>
      </c>
      <c r="AD1085" s="14">
        <f>Q1085</f>
        <v>2.9425234127</v>
      </c>
    </row>
    <row r="1086" spans="1:30" s="14" customFormat="1">
      <c r="A1086" s="12">
        <v>9</v>
      </c>
      <c r="B1086" s="12" t="s">
        <v>722</v>
      </c>
      <c r="C1086" s="14" t="str">
        <f>VLOOKUP(B1086,weights!A:B,2,FALSE)</f>
        <v>M</v>
      </c>
      <c r="D1086" s="13">
        <v>1084</v>
      </c>
      <c r="E1086" s="14" t="s">
        <v>1210</v>
      </c>
      <c r="G1086" s="15"/>
      <c r="H1086" s="18"/>
      <c r="I1086" s="18"/>
      <c r="J1086" s="14">
        <v>1085</v>
      </c>
      <c r="K1086" s="14">
        <f>VLOOKUP(B1086,weights!A:G,5,FALSE)</f>
        <v>8.56</v>
      </c>
      <c r="L1086" s="14">
        <f>VLOOKUP(B1086,weights!A:G,6,FALSE)</f>
        <v>7</v>
      </c>
      <c r="M1086" s="14">
        <f>VLOOKUP(B1086,weights!A:G,7,FALSE)</f>
        <v>10</v>
      </c>
      <c r="N1086" t="s">
        <v>4916</v>
      </c>
      <c r="O1086">
        <v>185</v>
      </c>
      <c r="P1086">
        <v>48.336481780600003</v>
      </c>
      <c r="Q1086">
        <v>2.7380016239299998</v>
      </c>
      <c r="R1086" s="22"/>
      <c r="S1086" s="22"/>
      <c r="T1086" s="22"/>
      <c r="U1086" s="24">
        <f>R1086+S1086/60+T1086/3600</f>
        <v>0</v>
      </c>
      <c r="V1086" s="28">
        <f>ABS(U1086-P1086)/P1086</f>
        <v>1</v>
      </c>
      <c r="W1086" s="22"/>
      <c r="X1086" s="22"/>
      <c r="Y1086" s="22"/>
      <c r="Z1086" s="14">
        <f>W1086+X1086/60+Y1086/3600</f>
        <v>0</v>
      </c>
      <c r="AA1086" s="26">
        <f>ABS(Z1086-Q1086)/Q1086</f>
        <v>1</v>
      </c>
      <c r="AB1086" s="26"/>
      <c r="AC1086" s="14">
        <f>P1086</f>
        <v>48.336481780600003</v>
      </c>
      <c r="AD1086" s="14">
        <f>Q1086</f>
        <v>2.7380016239299998</v>
      </c>
    </row>
    <row r="1087" spans="1:30" s="14" customFormat="1">
      <c r="A1087" s="12">
        <v>10</v>
      </c>
      <c r="B1087" s="12" t="s">
        <v>722</v>
      </c>
      <c r="C1087" s="14" t="str">
        <f>VLOOKUP(B1087,weights!A:B,2,FALSE)</f>
        <v>M</v>
      </c>
      <c r="D1087" s="13">
        <v>1085</v>
      </c>
      <c r="E1087" s="14" t="s">
        <v>1211</v>
      </c>
      <c r="G1087" s="15"/>
      <c r="H1087" s="18"/>
      <c r="I1087" s="18"/>
      <c r="J1087" s="14">
        <v>1086</v>
      </c>
      <c r="K1087" s="14">
        <f>VLOOKUP(B1087,weights!A:G,5,FALSE)</f>
        <v>8.56</v>
      </c>
      <c r="L1087" s="14">
        <f>VLOOKUP(B1087,weights!A:G,6,FALSE)</f>
        <v>7</v>
      </c>
      <c r="M1087" s="14">
        <f>VLOOKUP(B1087,weights!A:G,7,FALSE)</f>
        <v>10</v>
      </c>
      <c r="N1087" t="s">
        <v>3429</v>
      </c>
      <c r="O1087">
        <v>917</v>
      </c>
      <c r="P1087">
        <v>48.332683643800003</v>
      </c>
      <c r="Q1087">
        <v>2.69248019059</v>
      </c>
      <c r="R1087" s="22"/>
      <c r="S1087" s="22"/>
      <c r="T1087" s="22"/>
      <c r="U1087" s="24">
        <f>R1087+S1087/60+T1087/3600</f>
        <v>0</v>
      </c>
      <c r="V1087" s="28">
        <f>ABS(U1087-P1087)/P1087</f>
        <v>1</v>
      </c>
      <c r="W1087" s="22"/>
      <c r="X1087" s="22"/>
      <c r="Y1087" s="22"/>
      <c r="Z1087" s="14">
        <f>W1087+X1087/60+Y1087/3600</f>
        <v>0</v>
      </c>
      <c r="AA1087" s="26">
        <f>ABS(Z1087-Q1087)/Q1087</f>
        <v>1</v>
      </c>
      <c r="AB1087" s="26"/>
      <c r="AC1087" s="14">
        <f>P1087</f>
        <v>48.332683643800003</v>
      </c>
      <c r="AD1087" s="14">
        <f>Q1087</f>
        <v>2.69248019059</v>
      </c>
    </row>
    <row r="1088" spans="1:30" s="14" customFormat="1">
      <c r="A1088" s="12">
        <v>11</v>
      </c>
      <c r="B1088" s="12" t="s">
        <v>722</v>
      </c>
      <c r="C1088" s="14" t="str">
        <f>VLOOKUP(B1088,weights!A:B,2,FALSE)</f>
        <v>M</v>
      </c>
      <c r="D1088" s="13">
        <v>1086</v>
      </c>
      <c r="E1088" s="14" t="s">
        <v>1212</v>
      </c>
      <c r="G1088" s="15"/>
      <c r="H1088" s="18"/>
      <c r="I1088" s="18"/>
      <c r="J1088" s="14">
        <v>1087</v>
      </c>
      <c r="K1088" s="14">
        <f>VLOOKUP(B1088,weights!A:G,5,FALSE)</f>
        <v>8.56</v>
      </c>
      <c r="L1088" s="14">
        <f>VLOOKUP(B1088,weights!A:G,6,FALSE)</f>
        <v>7</v>
      </c>
      <c r="M1088" s="14">
        <f>VLOOKUP(B1088,weights!A:G,7,FALSE)</f>
        <v>10</v>
      </c>
      <c r="N1088" t="s">
        <v>4987</v>
      </c>
      <c r="O1088">
        <v>277</v>
      </c>
      <c r="P1088">
        <v>48.267758106300001</v>
      </c>
      <c r="Q1088">
        <v>2.68564709266</v>
      </c>
      <c r="R1088" s="22"/>
      <c r="S1088" s="22"/>
      <c r="T1088" s="22"/>
      <c r="U1088" s="24">
        <f>R1088+S1088/60+T1088/3600</f>
        <v>0</v>
      </c>
      <c r="V1088" s="28">
        <f>ABS(U1088-P1088)/P1088</f>
        <v>1</v>
      </c>
      <c r="W1088" s="22"/>
      <c r="X1088" s="22"/>
      <c r="Y1088" s="22"/>
      <c r="Z1088" s="14">
        <f>W1088+X1088/60+Y1088/3600</f>
        <v>0</v>
      </c>
      <c r="AA1088" s="26">
        <f>ABS(Z1088-Q1088)/Q1088</f>
        <v>1</v>
      </c>
      <c r="AB1088" s="26"/>
      <c r="AC1088" s="14">
        <f>P1088</f>
        <v>48.267758106300001</v>
      </c>
      <c r="AD1088" s="14">
        <f>Q1088</f>
        <v>2.68564709266</v>
      </c>
    </row>
    <row r="1089" spans="1:30" s="14" customFormat="1">
      <c r="A1089" s="12">
        <v>12</v>
      </c>
      <c r="B1089" s="12" t="s">
        <v>722</v>
      </c>
      <c r="C1089" s="14" t="str">
        <f>VLOOKUP(B1089,weights!A:B,2,FALSE)</f>
        <v>M</v>
      </c>
      <c r="D1089" s="13">
        <v>1087</v>
      </c>
      <c r="E1089" s="14" t="s">
        <v>1213</v>
      </c>
      <c r="G1089" s="15"/>
      <c r="H1089" s="18"/>
      <c r="I1089" s="18"/>
      <c r="J1089" s="14">
        <v>1088</v>
      </c>
      <c r="K1089" s="14">
        <f>VLOOKUP(B1089,weights!A:G,5,FALSE)</f>
        <v>8.56</v>
      </c>
      <c r="L1089" s="14">
        <f>VLOOKUP(B1089,weights!A:G,6,FALSE)</f>
        <v>7</v>
      </c>
      <c r="M1089" s="14">
        <f>VLOOKUP(B1089,weights!A:G,7,FALSE)</f>
        <v>10</v>
      </c>
      <c r="N1089" t="s">
        <v>3262</v>
      </c>
      <c r="O1089">
        <v>82</v>
      </c>
      <c r="P1089">
        <v>48.229549940200002</v>
      </c>
      <c r="Q1089">
        <v>2.7039360515999999</v>
      </c>
      <c r="R1089" s="22"/>
      <c r="S1089" s="22"/>
      <c r="T1089" s="22"/>
      <c r="U1089" s="24">
        <f>R1089+S1089/60+T1089/3600</f>
        <v>0</v>
      </c>
      <c r="V1089" s="28">
        <f>ABS(U1089-P1089)/P1089</f>
        <v>1</v>
      </c>
      <c r="W1089" s="22"/>
      <c r="X1089" s="22"/>
      <c r="Y1089" s="22"/>
      <c r="Z1089" s="14">
        <f>W1089+X1089/60+Y1089/3600</f>
        <v>0</v>
      </c>
      <c r="AA1089" s="26">
        <f>ABS(Z1089-Q1089)/Q1089</f>
        <v>1</v>
      </c>
      <c r="AB1089" s="26"/>
      <c r="AC1089" s="14">
        <f>P1089</f>
        <v>48.229549940200002</v>
      </c>
      <c r="AD1089" s="14">
        <f>Q1089</f>
        <v>2.7039360515999999</v>
      </c>
    </row>
    <row r="1090" spans="1:30" s="14" customFormat="1">
      <c r="A1090" s="12">
        <v>13</v>
      </c>
      <c r="B1090" s="12" t="s">
        <v>722</v>
      </c>
      <c r="C1090" s="14" t="str">
        <f>VLOOKUP(B1090,weights!A:B,2,FALSE)</f>
        <v>M</v>
      </c>
      <c r="D1090" s="13">
        <v>1088</v>
      </c>
      <c r="E1090" s="14" t="s">
        <v>1214</v>
      </c>
      <c r="G1090" s="15"/>
      <c r="H1090" s="18"/>
      <c r="I1090" s="18"/>
      <c r="J1090" s="14">
        <v>1089</v>
      </c>
      <c r="K1090" s="14">
        <f>VLOOKUP(B1090,weights!A:G,5,FALSE)</f>
        <v>8.56</v>
      </c>
      <c r="L1090" s="14">
        <f>VLOOKUP(B1090,weights!A:G,6,FALSE)</f>
        <v>7</v>
      </c>
      <c r="M1090" s="14">
        <f>VLOOKUP(B1090,weights!A:G,7,FALSE)</f>
        <v>10</v>
      </c>
      <c r="N1090" t="s">
        <v>5722</v>
      </c>
      <c r="O1090">
        <v>729</v>
      </c>
      <c r="P1090">
        <v>48.180936855799999</v>
      </c>
      <c r="Q1090">
        <v>2.73624984291</v>
      </c>
      <c r="R1090" s="22"/>
      <c r="S1090" s="22"/>
      <c r="T1090" s="22"/>
      <c r="U1090" s="24">
        <f>R1090+S1090/60+T1090/3600</f>
        <v>0</v>
      </c>
      <c r="V1090" s="28">
        <f>ABS(U1090-P1090)/P1090</f>
        <v>1</v>
      </c>
      <c r="W1090" s="22"/>
      <c r="X1090" s="22"/>
      <c r="Y1090" s="22"/>
      <c r="Z1090" s="14">
        <f>W1090+X1090/60+Y1090/3600</f>
        <v>0</v>
      </c>
      <c r="AA1090" s="26">
        <f>ABS(Z1090-Q1090)/Q1090</f>
        <v>1</v>
      </c>
      <c r="AB1090" s="26"/>
      <c r="AC1090" s="14">
        <f>P1090</f>
        <v>48.180936855799999</v>
      </c>
      <c r="AD1090" s="14">
        <f>Q1090</f>
        <v>2.73624984291</v>
      </c>
    </row>
    <row r="1091" spans="1:30" s="14" customFormat="1">
      <c r="A1091" s="12">
        <v>14</v>
      </c>
      <c r="B1091" s="12" t="s">
        <v>722</v>
      </c>
      <c r="C1091" s="14" t="str">
        <f>VLOOKUP(B1091,weights!A:B,2,FALSE)</f>
        <v>M</v>
      </c>
      <c r="D1091" s="13">
        <v>1089</v>
      </c>
      <c r="E1091" s="14" t="s">
        <v>1215</v>
      </c>
      <c r="G1091" s="15"/>
      <c r="H1091" s="18"/>
      <c r="I1091" s="18"/>
      <c r="J1091" s="14">
        <v>1090</v>
      </c>
      <c r="K1091" s="14">
        <f>VLOOKUP(B1091,weights!A:G,5,FALSE)</f>
        <v>8.56</v>
      </c>
      <c r="L1091" s="14">
        <f>VLOOKUP(B1091,weights!A:G,6,FALSE)</f>
        <v>7</v>
      </c>
      <c r="M1091" s="14">
        <f>VLOOKUP(B1091,weights!A:G,7,FALSE)</f>
        <v>10</v>
      </c>
      <c r="N1091" t="s">
        <v>3874</v>
      </c>
      <c r="O1091">
        <v>445</v>
      </c>
      <c r="P1091">
        <v>48.147218039899997</v>
      </c>
      <c r="Q1091">
        <v>2.7627283872000001</v>
      </c>
      <c r="R1091" s="22"/>
      <c r="S1091" s="22"/>
      <c r="T1091" s="22"/>
      <c r="U1091" s="24">
        <f>R1091+S1091/60+T1091/3600</f>
        <v>0</v>
      </c>
      <c r="V1091" s="28">
        <f>ABS(U1091-P1091)/P1091</f>
        <v>1</v>
      </c>
      <c r="W1091" s="22"/>
      <c r="X1091" s="22"/>
      <c r="Y1091" s="22"/>
      <c r="Z1091" s="14">
        <f>W1091+X1091/60+Y1091/3600</f>
        <v>0</v>
      </c>
      <c r="AA1091" s="26">
        <f>ABS(Z1091-Q1091)/Q1091</f>
        <v>1</v>
      </c>
      <c r="AB1091" s="26"/>
      <c r="AC1091" s="14">
        <f>P1091</f>
        <v>48.147218039899997</v>
      </c>
      <c r="AD1091" s="14">
        <f>Q1091</f>
        <v>2.7627283872000001</v>
      </c>
    </row>
    <row r="1092" spans="1:30" s="14" customFormat="1">
      <c r="A1092" s="12">
        <v>15</v>
      </c>
      <c r="B1092" s="12" t="s">
        <v>722</v>
      </c>
      <c r="C1092" s="14" t="str">
        <f>VLOOKUP(B1092,weights!A:B,2,FALSE)</f>
        <v>M</v>
      </c>
      <c r="D1092" s="13">
        <v>1090</v>
      </c>
      <c r="E1092" s="14" t="s">
        <v>1216</v>
      </c>
      <c r="G1092" s="15"/>
      <c r="H1092" s="18"/>
      <c r="I1092" s="18"/>
      <c r="J1092" s="14">
        <v>1091</v>
      </c>
      <c r="K1092" s="14">
        <f>VLOOKUP(B1092,weights!A:G,5,FALSE)</f>
        <v>8.56</v>
      </c>
      <c r="L1092" s="14">
        <f>VLOOKUP(B1092,weights!A:G,6,FALSE)</f>
        <v>7</v>
      </c>
      <c r="M1092" s="14">
        <f>VLOOKUP(B1092,weights!A:G,7,FALSE)</f>
        <v>10</v>
      </c>
      <c r="N1092" t="s">
        <v>4023</v>
      </c>
      <c r="O1092">
        <v>803</v>
      </c>
      <c r="P1092">
        <v>48.096502778800001</v>
      </c>
      <c r="Q1092">
        <v>2.7723026176599999</v>
      </c>
      <c r="R1092" s="22"/>
      <c r="S1092" s="22"/>
      <c r="T1092" s="22"/>
      <c r="U1092" s="24">
        <f>R1092+S1092/60+T1092/3600</f>
        <v>0</v>
      </c>
      <c r="V1092" s="28">
        <f>ABS(U1092-P1092)/P1092</f>
        <v>1</v>
      </c>
      <c r="W1092" s="22"/>
      <c r="X1092" s="22"/>
      <c r="Y1092" s="22"/>
      <c r="Z1092" s="14">
        <f>W1092+X1092/60+Y1092/3600</f>
        <v>0</v>
      </c>
      <c r="AA1092" s="26">
        <f>ABS(Z1092-Q1092)/Q1092</f>
        <v>1</v>
      </c>
      <c r="AB1092" s="26"/>
      <c r="AC1092" s="14">
        <f>P1092</f>
        <v>48.096502778800001</v>
      </c>
      <c r="AD1092" s="14">
        <f>Q1092</f>
        <v>2.7723026176599999</v>
      </c>
    </row>
    <row r="1093" spans="1:30" s="14" customFormat="1">
      <c r="A1093" s="12">
        <v>16</v>
      </c>
      <c r="B1093" s="12" t="s">
        <v>722</v>
      </c>
      <c r="C1093" s="14" t="str">
        <f>VLOOKUP(B1093,weights!A:B,2,FALSE)</f>
        <v>M</v>
      </c>
      <c r="D1093" s="13">
        <v>1091</v>
      </c>
      <c r="E1093" s="14" t="s">
        <v>1217</v>
      </c>
      <c r="G1093" s="15"/>
      <c r="H1093" s="18"/>
      <c r="I1093" s="18"/>
      <c r="K1093" s="14">
        <f>VLOOKUP(B1093,weights!A:G,5,FALSE)</f>
        <v>8.56</v>
      </c>
      <c r="L1093" s="14">
        <f>VLOOKUP(B1093,weights!A:G,6,FALSE)</f>
        <v>7</v>
      </c>
      <c r="M1093" s="14">
        <f>VLOOKUP(B1093,weights!A:G,7,FALSE)</f>
        <v>10</v>
      </c>
      <c r="N1093" t="s">
        <v>4892</v>
      </c>
      <c r="O1093">
        <v>618</v>
      </c>
      <c r="P1093">
        <v>48.007031701499997</v>
      </c>
      <c r="Q1093">
        <v>2.74303831268</v>
      </c>
      <c r="R1093" s="22"/>
      <c r="S1093" s="22"/>
      <c r="T1093" s="22"/>
      <c r="U1093" s="24">
        <f>R1093+S1093/60+T1093/3600</f>
        <v>0</v>
      </c>
      <c r="V1093" s="28">
        <f>ABS(U1093-P1093)/P1093</f>
        <v>1</v>
      </c>
      <c r="W1093" s="22"/>
      <c r="X1093" s="22"/>
      <c r="Y1093" s="22"/>
      <c r="Z1093" s="14">
        <f>W1093+X1093/60+Y1093/3600</f>
        <v>0</v>
      </c>
      <c r="AA1093" s="26">
        <f>ABS(Z1093-Q1093)/Q1093</f>
        <v>1</v>
      </c>
      <c r="AB1093" s="26"/>
      <c r="AC1093" s="14">
        <f>P1093</f>
        <v>48.007031701499997</v>
      </c>
      <c r="AD1093" s="14">
        <f>Q1093</f>
        <v>2.74303831268</v>
      </c>
    </row>
    <row r="1094" spans="1:30" s="14" customFormat="1">
      <c r="A1094" s="12">
        <v>17</v>
      </c>
      <c r="B1094" s="12" t="s">
        <v>722</v>
      </c>
      <c r="C1094" s="14" t="str">
        <f>VLOOKUP(B1094,weights!A:B,2,FALSE)</f>
        <v>M</v>
      </c>
      <c r="D1094" s="13">
        <v>1092</v>
      </c>
      <c r="E1094" s="14" t="s">
        <v>1218</v>
      </c>
      <c r="G1094" s="15"/>
      <c r="H1094" s="18"/>
      <c r="I1094" s="18"/>
      <c r="J1094" s="14">
        <v>1093</v>
      </c>
      <c r="K1094" s="14">
        <f>VLOOKUP(B1094,weights!A:G,5,FALSE)</f>
        <v>8.56</v>
      </c>
      <c r="L1094" s="14">
        <f>VLOOKUP(B1094,weights!A:G,6,FALSE)</f>
        <v>7</v>
      </c>
      <c r="M1094" s="14">
        <f>VLOOKUP(B1094,weights!A:G,7,FALSE)</f>
        <v>10</v>
      </c>
      <c r="N1094" t="s">
        <v>4638</v>
      </c>
      <c r="O1094">
        <v>87</v>
      </c>
      <c r="P1094">
        <v>48.510265175299999</v>
      </c>
      <c r="Q1094">
        <v>2.6789739826900001</v>
      </c>
      <c r="R1094" s="22"/>
      <c r="S1094" s="22"/>
      <c r="T1094" s="22"/>
      <c r="U1094" s="24">
        <f>R1094+S1094/60+T1094/3600</f>
        <v>0</v>
      </c>
      <c r="V1094" s="28">
        <f>ABS(U1094-P1094)/P1094</f>
        <v>1</v>
      </c>
      <c r="W1094" s="22"/>
      <c r="X1094" s="22"/>
      <c r="Y1094" s="22"/>
      <c r="Z1094" s="14">
        <f>W1094+X1094/60+Y1094/3600</f>
        <v>0</v>
      </c>
      <c r="AA1094" s="26">
        <f>ABS(Z1094-Q1094)/Q1094</f>
        <v>1</v>
      </c>
      <c r="AB1094" s="26"/>
      <c r="AC1094" s="14">
        <f>P1094</f>
        <v>48.510265175299999</v>
      </c>
      <c r="AD1094" s="14">
        <f>Q1094</f>
        <v>2.6789739826900001</v>
      </c>
    </row>
    <row r="1095" spans="1:30" s="14" customFormat="1">
      <c r="A1095" s="12">
        <v>18</v>
      </c>
      <c r="B1095" s="12" t="s">
        <v>722</v>
      </c>
      <c r="C1095" s="14" t="str">
        <f>VLOOKUP(B1095,weights!A:B,2,FALSE)</f>
        <v>M</v>
      </c>
      <c r="D1095" s="13">
        <v>1093</v>
      </c>
      <c r="E1095" s="14" t="s">
        <v>1219</v>
      </c>
      <c r="G1095" s="15"/>
      <c r="H1095" s="18"/>
      <c r="I1095" s="18"/>
      <c r="J1095" s="14">
        <v>1094</v>
      </c>
      <c r="K1095" s="14">
        <f>VLOOKUP(B1095,weights!A:G,5,FALSE)</f>
        <v>8.56</v>
      </c>
      <c r="L1095" s="14">
        <f>VLOOKUP(B1095,weights!A:G,6,FALSE)</f>
        <v>7</v>
      </c>
      <c r="M1095" s="14">
        <f>VLOOKUP(B1095,weights!A:G,7,FALSE)</f>
        <v>10</v>
      </c>
      <c r="N1095" t="s">
        <v>3613</v>
      </c>
      <c r="O1095">
        <v>88</v>
      </c>
      <c r="P1095">
        <v>48.487076395199999</v>
      </c>
      <c r="Q1095">
        <v>2.6950373138099999</v>
      </c>
      <c r="R1095" s="22"/>
      <c r="S1095" s="22"/>
      <c r="T1095" s="22"/>
      <c r="U1095" s="24">
        <f>R1095+S1095/60+T1095/3600</f>
        <v>0</v>
      </c>
      <c r="V1095" s="28">
        <f>ABS(U1095-P1095)/P1095</f>
        <v>1</v>
      </c>
      <c r="W1095" s="22"/>
      <c r="X1095" s="22"/>
      <c r="Y1095" s="22"/>
      <c r="Z1095" s="14">
        <f>W1095+X1095/60+Y1095/3600</f>
        <v>0</v>
      </c>
      <c r="AA1095" s="26">
        <f>ABS(Z1095-Q1095)/Q1095</f>
        <v>1</v>
      </c>
      <c r="AB1095" s="26"/>
      <c r="AC1095" s="14">
        <f>P1095</f>
        <v>48.487076395199999</v>
      </c>
      <c r="AD1095" s="14">
        <f>Q1095</f>
        <v>2.6950373138099999</v>
      </c>
    </row>
    <row r="1096" spans="1:30" s="14" customFormat="1">
      <c r="A1096" s="12">
        <v>19</v>
      </c>
      <c r="B1096" s="12" t="s">
        <v>722</v>
      </c>
      <c r="C1096" s="14" t="str">
        <f>VLOOKUP(B1096,weights!A:B,2,FALSE)</f>
        <v>M</v>
      </c>
      <c r="D1096" s="13">
        <v>1094</v>
      </c>
      <c r="E1096" s="14" t="s">
        <v>1220</v>
      </c>
      <c r="G1096" s="15"/>
      <c r="H1096" s="18"/>
      <c r="I1096" s="18"/>
      <c r="J1096" s="14">
        <v>1095</v>
      </c>
      <c r="K1096" s="14">
        <f>VLOOKUP(B1096,weights!A:G,5,FALSE)</f>
        <v>8.56</v>
      </c>
      <c r="L1096" s="14">
        <f>VLOOKUP(B1096,weights!A:G,6,FALSE)</f>
        <v>7</v>
      </c>
      <c r="M1096" s="14">
        <f>VLOOKUP(B1096,weights!A:G,7,FALSE)</f>
        <v>10</v>
      </c>
      <c r="N1096" t="s">
        <v>4032</v>
      </c>
      <c r="O1096">
        <v>273</v>
      </c>
      <c r="P1096">
        <v>48.487222875500002</v>
      </c>
      <c r="Q1096">
        <v>2.7511536583799998</v>
      </c>
      <c r="R1096" s="22"/>
      <c r="S1096" s="22"/>
      <c r="T1096" s="22"/>
      <c r="U1096" s="24">
        <f>R1096+S1096/60+T1096/3600</f>
        <v>0</v>
      </c>
      <c r="V1096" s="28">
        <f>ABS(U1096-P1096)/P1096</f>
        <v>1</v>
      </c>
      <c r="W1096" s="22"/>
      <c r="X1096" s="22"/>
      <c r="Y1096" s="22"/>
      <c r="Z1096" s="14">
        <f>W1096+X1096/60+Y1096/3600</f>
        <v>0</v>
      </c>
      <c r="AA1096" s="26">
        <f>ABS(Z1096-Q1096)/Q1096</f>
        <v>1</v>
      </c>
      <c r="AB1096" s="26"/>
      <c r="AC1096" s="14">
        <f>P1096</f>
        <v>48.487222875500002</v>
      </c>
      <c r="AD1096" s="14">
        <f>Q1096</f>
        <v>2.7511536583799998</v>
      </c>
    </row>
    <row r="1097" spans="1:30" s="14" customFormat="1">
      <c r="A1097" s="12">
        <v>20</v>
      </c>
      <c r="B1097" s="12" t="s">
        <v>722</v>
      </c>
      <c r="C1097" s="14" t="str">
        <f>VLOOKUP(B1097,weights!A:B,2,FALSE)</f>
        <v>M</v>
      </c>
      <c r="D1097" s="13">
        <v>1095</v>
      </c>
      <c r="E1097" s="14" t="s">
        <v>1221</v>
      </c>
      <c r="G1097" s="15"/>
      <c r="H1097" s="18"/>
      <c r="I1097" s="18"/>
      <c r="J1097" s="14">
        <v>1096</v>
      </c>
      <c r="K1097" s="14">
        <f>VLOOKUP(B1097,weights!A:G,5,FALSE)</f>
        <v>8.56</v>
      </c>
      <c r="L1097" s="14">
        <f>VLOOKUP(B1097,weights!A:G,6,FALSE)</f>
        <v>7</v>
      </c>
      <c r="M1097" s="14">
        <f>VLOOKUP(B1097,weights!A:G,7,FALSE)</f>
        <v>10</v>
      </c>
      <c r="N1097" t="s">
        <v>4218</v>
      </c>
      <c r="O1097">
        <v>274</v>
      </c>
      <c r="P1097">
        <v>48.442882064199999</v>
      </c>
      <c r="Q1097">
        <v>2.7609267337399999</v>
      </c>
      <c r="R1097" s="22"/>
      <c r="S1097" s="22"/>
      <c r="T1097" s="22"/>
      <c r="U1097" s="24">
        <f>R1097+S1097/60+T1097/3600</f>
        <v>0</v>
      </c>
      <c r="V1097" s="28">
        <f>ABS(U1097-P1097)/P1097</f>
        <v>1</v>
      </c>
      <c r="W1097" s="22"/>
      <c r="X1097" s="22"/>
      <c r="Y1097" s="22"/>
      <c r="Z1097" s="14">
        <f>W1097+X1097/60+Y1097/3600</f>
        <v>0</v>
      </c>
      <c r="AA1097" s="26">
        <f>ABS(Z1097-Q1097)/Q1097</f>
        <v>1</v>
      </c>
      <c r="AB1097" s="26"/>
      <c r="AC1097" s="14">
        <f>P1097</f>
        <v>48.442882064199999</v>
      </c>
      <c r="AD1097" s="14">
        <f>Q1097</f>
        <v>2.7609267337399999</v>
      </c>
    </row>
    <row r="1098" spans="1:30" s="14" customFormat="1">
      <c r="A1098" s="12">
        <v>21</v>
      </c>
      <c r="B1098" s="12" t="s">
        <v>722</v>
      </c>
      <c r="C1098" s="14" t="str">
        <f>VLOOKUP(B1098,weights!A:B,2,FALSE)</f>
        <v>M</v>
      </c>
      <c r="D1098" s="13">
        <v>1096</v>
      </c>
      <c r="E1098" s="14" t="s">
        <v>1222</v>
      </c>
      <c r="G1098" s="15"/>
      <c r="H1098" s="18"/>
      <c r="I1098" s="18"/>
      <c r="J1098" s="14">
        <v>1097</v>
      </c>
      <c r="K1098" s="14">
        <f>VLOOKUP(B1098,weights!A:G,5,FALSE)</f>
        <v>8.56</v>
      </c>
      <c r="L1098" s="14">
        <f>VLOOKUP(B1098,weights!A:G,6,FALSE)</f>
        <v>7</v>
      </c>
      <c r="M1098" s="14">
        <f>VLOOKUP(B1098,weights!A:G,7,FALSE)</f>
        <v>10</v>
      </c>
      <c r="N1098" t="s">
        <v>6009</v>
      </c>
      <c r="O1098">
        <v>915</v>
      </c>
      <c r="P1098">
        <v>48.430970721400001</v>
      </c>
      <c r="Q1098">
        <v>2.7531775674999999</v>
      </c>
      <c r="R1098" s="22"/>
      <c r="S1098" s="22"/>
      <c r="T1098" s="22"/>
      <c r="U1098" s="24">
        <f>R1098+S1098/60+T1098/3600</f>
        <v>0</v>
      </c>
      <c r="V1098" s="28">
        <f>ABS(U1098-P1098)/P1098</f>
        <v>1</v>
      </c>
      <c r="W1098" s="22"/>
      <c r="X1098" s="22"/>
      <c r="Y1098" s="22"/>
      <c r="Z1098" s="14">
        <f>W1098+X1098/60+Y1098/3600</f>
        <v>0</v>
      </c>
      <c r="AA1098" s="26">
        <f>ABS(Z1098-Q1098)/Q1098</f>
        <v>1</v>
      </c>
      <c r="AB1098" s="26"/>
      <c r="AC1098" s="14">
        <f>P1098</f>
        <v>48.430970721400001</v>
      </c>
      <c r="AD1098" s="14">
        <f>Q1098</f>
        <v>2.7531775674999999</v>
      </c>
    </row>
    <row r="1099" spans="1:30" s="14" customFormat="1">
      <c r="A1099" s="12">
        <v>22</v>
      </c>
      <c r="B1099" s="12" t="s">
        <v>722</v>
      </c>
      <c r="C1099" s="14" t="str">
        <f>VLOOKUP(B1099,weights!A:B,2,FALSE)</f>
        <v>M</v>
      </c>
      <c r="D1099" s="13">
        <v>1097</v>
      </c>
      <c r="E1099" s="14" t="s">
        <v>1223</v>
      </c>
      <c r="G1099" s="15"/>
      <c r="H1099" s="18"/>
      <c r="I1099" s="18"/>
      <c r="J1099" s="14">
        <v>1098</v>
      </c>
      <c r="K1099" s="14">
        <f>VLOOKUP(B1099,weights!A:G,5,FALSE)</f>
        <v>8.56</v>
      </c>
      <c r="L1099" s="14">
        <f>VLOOKUP(B1099,weights!A:G,6,FALSE)</f>
        <v>7</v>
      </c>
      <c r="M1099" s="14">
        <f>VLOOKUP(B1099,weights!A:G,7,FALSE)</f>
        <v>10</v>
      </c>
      <c r="N1099" t="s">
        <v>3559</v>
      </c>
      <c r="O1099">
        <v>745</v>
      </c>
      <c r="P1099">
        <v>48.406805629399997</v>
      </c>
      <c r="Q1099">
        <v>2.79923355753</v>
      </c>
      <c r="R1099" s="22"/>
      <c r="S1099" s="22"/>
      <c r="T1099" s="22"/>
      <c r="U1099" s="24">
        <f>R1099+S1099/60+T1099/3600</f>
        <v>0</v>
      </c>
      <c r="V1099" s="28">
        <f>ABS(U1099-P1099)/P1099</f>
        <v>1</v>
      </c>
      <c r="W1099" s="22"/>
      <c r="X1099" s="22"/>
      <c r="Y1099" s="22"/>
      <c r="Z1099" s="14">
        <f>W1099+X1099/60+Y1099/3600</f>
        <v>0</v>
      </c>
      <c r="AA1099" s="26">
        <f>ABS(Z1099-Q1099)/Q1099</f>
        <v>1</v>
      </c>
      <c r="AB1099" s="26"/>
      <c r="AC1099" s="14">
        <f>P1099</f>
        <v>48.406805629399997</v>
      </c>
      <c r="AD1099" s="14">
        <f>Q1099</f>
        <v>2.79923355753</v>
      </c>
    </row>
    <row r="1100" spans="1:30" s="14" customFormat="1">
      <c r="A1100" s="12">
        <v>23</v>
      </c>
      <c r="B1100" s="12" t="s">
        <v>722</v>
      </c>
      <c r="C1100" s="14" t="str">
        <f>VLOOKUP(B1100,weights!A:B,2,FALSE)</f>
        <v>M</v>
      </c>
      <c r="D1100" s="13">
        <v>1098</v>
      </c>
      <c r="E1100" s="14" t="s">
        <v>1224</v>
      </c>
      <c r="G1100" s="15"/>
      <c r="H1100" s="18"/>
      <c r="I1100" s="18"/>
      <c r="J1100" s="14">
        <v>1099</v>
      </c>
      <c r="K1100" s="14">
        <f>VLOOKUP(B1100,weights!A:G,5,FALSE)</f>
        <v>8.56</v>
      </c>
      <c r="L1100" s="14">
        <f>VLOOKUP(B1100,weights!A:G,6,FALSE)</f>
        <v>7</v>
      </c>
      <c r="M1100" s="14">
        <f>VLOOKUP(B1100,weights!A:G,7,FALSE)</f>
        <v>10</v>
      </c>
      <c r="N1100" t="s">
        <v>5888</v>
      </c>
      <c r="O1100">
        <v>744</v>
      </c>
      <c r="P1100">
        <v>48.386770986499997</v>
      </c>
      <c r="Q1100">
        <v>2.8420373901699998</v>
      </c>
      <c r="R1100" s="22"/>
      <c r="S1100" s="22"/>
      <c r="T1100" s="22"/>
      <c r="U1100" s="24">
        <f>R1100+S1100/60+T1100/3600</f>
        <v>0</v>
      </c>
      <c r="V1100" s="28">
        <f>ABS(U1100-P1100)/P1100</f>
        <v>1</v>
      </c>
      <c r="W1100" s="22"/>
      <c r="X1100" s="22"/>
      <c r="Y1100" s="22"/>
      <c r="Z1100" s="14">
        <f>W1100+X1100/60+Y1100/3600</f>
        <v>0</v>
      </c>
      <c r="AA1100" s="26">
        <f>ABS(Z1100-Q1100)/Q1100</f>
        <v>1</v>
      </c>
      <c r="AB1100" s="26"/>
      <c r="AC1100" s="14">
        <f>P1100</f>
        <v>48.386770986499997</v>
      </c>
      <c r="AD1100" s="14">
        <f>Q1100</f>
        <v>2.8420373901699998</v>
      </c>
    </row>
    <row r="1101" spans="1:30" s="14" customFormat="1">
      <c r="A1101" s="12">
        <v>24</v>
      </c>
      <c r="B1101" s="12" t="s">
        <v>722</v>
      </c>
      <c r="C1101" s="14" t="str">
        <f>VLOOKUP(B1101,weights!A:B,2,FALSE)</f>
        <v>M</v>
      </c>
      <c r="D1101" s="13">
        <v>1099</v>
      </c>
      <c r="E1101" s="14" t="s">
        <v>1225</v>
      </c>
      <c r="G1101" s="15"/>
      <c r="H1101" s="18"/>
      <c r="I1101" s="18"/>
      <c r="J1101" s="14">
        <v>1083</v>
      </c>
      <c r="K1101" s="14">
        <f>VLOOKUP(B1101,weights!A:G,5,FALSE)</f>
        <v>8.56</v>
      </c>
      <c r="L1101" s="14">
        <f>VLOOKUP(B1101,weights!A:G,6,FALSE)</f>
        <v>7</v>
      </c>
      <c r="M1101" s="14">
        <f>VLOOKUP(B1101,weights!A:G,7,FALSE)</f>
        <v>10</v>
      </c>
      <c r="N1101" t="s">
        <v>4413</v>
      </c>
      <c r="O1101">
        <v>276</v>
      </c>
      <c r="P1101">
        <v>48.378795761699998</v>
      </c>
      <c r="Q1101">
        <v>2.8972017818800002</v>
      </c>
      <c r="R1101" s="22"/>
      <c r="S1101" s="22"/>
      <c r="T1101" s="22"/>
      <c r="U1101" s="24">
        <f>R1101+S1101/60+T1101/3600</f>
        <v>0</v>
      </c>
      <c r="V1101" s="28">
        <f>ABS(U1101-P1101)/P1101</f>
        <v>1</v>
      </c>
      <c r="W1101" s="22"/>
      <c r="X1101" s="22"/>
      <c r="Y1101" s="22"/>
      <c r="Z1101" s="14">
        <f>W1101+X1101/60+Y1101/3600</f>
        <v>0</v>
      </c>
      <c r="AA1101" s="26">
        <f>ABS(Z1101-Q1101)/Q1101</f>
        <v>1</v>
      </c>
      <c r="AB1101" s="26"/>
      <c r="AC1101" s="14">
        <f>P1101</f>
        <v>48.378795761699998</v>
      </c>
      <c r="AD1101" s="14">
        <f>Q1101</f>
        <v>2.8972017818800002</v>
      </c>
    </row>
    <row r="1102" spans="1:30" s="14" customFormat="1">
      <c r="A1102" s="12">
        <v>0</v>
      </c>
      <c r="B1102" s="12" t="s">
        <v>1121</v>
      </c>
      <c r="C1102" s="14" t="str">
        <f>VLOOKUP(B1102,weights!A:B,2,FALSE)</f>
        <v>P</v>
      </c>
      <c r="D1102" s="13">
        <v>1100</v>
      </c>
      <c r="E1102" s="14" t="s">
        <v>1154</v>
      </c>
      <c r="G1102" s="15" t="s">
        <v>246</v>
      </c>
      <c r="H1102" s="18" t="s">
        <v>1995</v>
      </c>
      <c r="I1102" s="18"/>
      <c r="K1102" s="14">
        <f>VLOOKUP(B1102,weights!A:G,5,FALSE)</f>
        <v>3.91</v>
      </c>
      <c r="L1102" s="14">
        <f>VLOOKUP(B1102,weights!A:G,6,FALSE)</f>
        <v>7</v>
      </c>
      <c r="M1102" s="14">
        <f>VLOOKUP(B1102,weights!A:G,7,FALSE)</f>
        <v>10</v>
      </c>
      <c r="N1102" t="s">
        <v>4444</v>
      </c>
      <c r="O1102">
        <v>733</v>
      </c>
      <c r="P1102">
        <v>48.7553892687</v>
      </c>
      <c r="Q1102">
        <v>1.9438351997000001</v>
      </c>
      <c r="R1102" s="22"/>
      <c r="S1102" s="22"/>
      <c r="T1102" s="22"/>
      <c r="U1102" s="24">
        <f>R1102+S1102/60+T1102/3600</f>
        <v>0</v>
      </c>
      <c r="V1102" s="28">
        <f>ABS(U1102-P1102)/P1102</f>
        <v>1</v>
      </c>
      <c r="W1102" s="22"/>
      <c r="X1102" s="22"/>
      <c r="Y1102" s="22"/>
      <c r="Z1102" s="14">
        <f>W1102+X1102/60+Y1102/3600</f>
        <v>0</v>
      </c>
      <c r="AA1102" s="26">
        <f>ABS(Z1102-Q1102)/Q1102</f>
        <v>1</v>
      </c>
      <c r="AB1102" s="26"/>
      <c r="AC1102" s="14">
        <f>P1102</f>
        <v>48.7553892687</v>
      </c>
      <c r="AD1102" s="14">
        <f>Q1102</f>
        <v>1.9438351997000001</v>
      </c>
    </row>
    <row r="1103" spans="1:30" s="14" customFormat="1">
      <c r="A1103" s="12">
        <v>1</v>
      </c>
      <c r="B1103" s="12" t="s">
        <v>1121</v>
      </c>
      <c r="C1103" s="14" t="str">
        <f>VLOOKUP(B1103,weights!A:B,2,FALSE)</f>
        <v>P</v>
      </c>
      <c r="D1103" s="13">
        <v>1101</v>
      </c>
      <c r="E1103" s="14" t="s">
        <v>1153</v>
      </c>
      <c r="G1103" s="15" t="s">
        <v>246</v>
      </c>
      <c r="H1103" s="18" t="s">
        <v>1996</v>
      </c>
      <c r="I1103" s="18"/>
      <c r="K1103" s="14">
        <f>VLOOKUP(B1103,weights!A:G,5,FALSE)</f>
        <v>3.91</v>
      </c>
      <c r="L1103" s="14">
        <f>VLOOKUP(B1103,weights!A:G,6,FALSE)</f>
        <v>7</v>
      </c>
      <c r="M1103" s="14">
        <f>VLOOKUP(B1103,weights!A:G,7,FALSE)</f>
        <v>10</v>
      </c>
      <c r="N1103" t="s">
        <v>5808</v>
      </c>
      <c r="O1103">
        <v>732</v>
      </c>
      <c r="P1103">
        <v>48.774802810700002</v>
      </c>
      <c r="Q1103">
        <v>2.00656687176</v>
      </c>
      <c r="R1103" s="22"/>
      <c r="S1103" s="22"/>
      <c r="T1103" s="22"/>
      <c r="U1103" s="24">
        <f>R1103+S1103/60+T1103/3600</f>
        <v>0</v>
      </c>
      <c r="V1103" s="28">
        <f>ABS(U1103-P1103)/P1103</f>
        <v>1</v>
      </c>
      <c r="W1103" s="22"/>
      <c r="X1103" s="22"/>
      <c r="Y1103" s="22"/>
      <c r="Z1103" s="14">
        <f>W1103+X1103/60+Y1103/3600</f>
        <v>0</v>
      </c>
      <c r="AA1103" s="26">
        <f>ABS(Z1103-Q1103)/Q1103</f>
        <v>1</v>
      </c>
      <c r="AB1103" s="26"/>
      <c r="AC1103" s="14">
        <f>P1103</f>
        <v>48.774802810700002</v>
      </c>
      <c r="AD1103" s="14">
        <f>Q1103</f>
        <v>2.00656687176</v>
      </c>
    </row>
    <row r="1104" spans="1:30" s="14" customFormat="1">
      <c r="A1104" s="12">
        <v>2</v>
      </c>
      <c r="B1104" s="12" t="s">
        <v>1121</v>
      </c>
      <c r="C1104" s="14" t="str">
        <f>VLOOKUP(B1104,weights!A:B,2,FALSE)</f>
        <v>P</v>
      </c>
      <c r="D1104" s="13">
        <v>1102</v>
      </c>
      <c r="E1104" s="14" t="s">
        <v>659</v>
      </c>
      <c r="G1104" s="15" t="s">
        <v>950</v>
      </c>
      <c r="H1104" s="18" t="s">
        <v>1825</v>
      </c>
      <c r="I1104" s="18" t="s">
        <v>1986</v>
      </c>
      <c r="K1104" s="14">
        <f>VLOOKUP(B1104,weights!A:G,5,FALSE)</f>
        <v>3.91</v>
      </c>
      <c r="L1104" s="14">
        <f>VLOOKUP(B1104,weights!A:G,6,FALSE)</f>
        <v>7</v>
      </c>
      <c r="M1104" s="14">
        <f>VLOOKUP(B1104,weights!A:G,7,FALSE)</f>
        <v>10</v>
      </c>
      <c r="N1104" t="s">
        <v>5634</v>
      </c>
      <c r="O1104">
        <v>468</v>
      </c>
      <c r="P1104">
        <v>48.787390239200001</v>
      </c>
      <c r="Q1104">
        <v>2.04462198988</v>
      </c>
      <c r="R1104" s="22"/>
      <c r="S1104" s="22"/>
      <c r="T1104" s="22"/>
      <c r="U1104" s="24">
        <f>R1104+S1104/60+T1104/3600</f>
        <v>0</v>
      </c>
      <c r="V1104" s="28">
        <f>ABS(U1104-P1104)/P1104</f>
        <v>1</v>
      </c>
      <c r="W1104" s="22"/>
      <c r="X1104" s="22"/>
      <c r="Y1104" s="22"/>
      <c r="Z1104" s="14">
        <f>W1104+X1104/60+Y1104/3600</f>
        <v>0</v>
      </c>
      <c r="AA1104" s="26">
        <f>ABS(Z1104-Q1104)/Q1104</f>
        <v>1</v>
      </c>
      <c r="AB1104" s="26"/>
      <c r="AC1104" s="14">
        <f>P1104</f>
        <v>48.787390239200001</v>
      </c>
      <c r="AD1104" s="14">
        <f>Q1104</f>
        <v>2.04462198988</v>
      </c>
    </row>
    <row r="1105" spans="1:30" s="14" customFormat="1">
      <c r="A1105" s="12">
        <v>3</v>
      </c>
      <c r="B1105" s="12" t="s">
        <v>1121</v>
      </c>
      <c r="C1105" s="14" t="str">
        <f>VLOOKUP(B1105,weights!A:B,2,FALSE)</f>
        <v>P</v>
      </c>
      <c r="D1105" s="13">
        <v>1103</v>
      </c>
      <c r="E1105" s="14" t="s">
        <v>591</v>
      </c>
      <c r="G1105" s="15" t="s">
        <v>950</v>
      </c>
      <c r="H1105" s="18" t="s">
        <v>1827</v>
      </c>
      <c r="I1105" s="18" t="s">
        <v>1982</v>
      </c>
      <c r="K1105" s="14">
        <f>VLOOKUP(B1105,weights!A:G,5,FALSE)</f>
        <v>3.91</v>
      </c>
      <c r="L1105" s="14">
        <f>VLOOKUP(B1105,weights!A:G,6,FALSE)</f>
        <v>7</v>
      </c>
      <c r="M1105" s="14">
        <f>VLOOKUP(B1105,weights!A:G,7,FALSE)</f>
        <v>10</v>
      </c>
      <c r="N1105" t="s">
        <v>5525</v>
      </c>
      <c r="O1105">
        <v>469</v>
      </c>
      <c r="P1105">
        <v>48.798707635200003</v>
      </c>
      <c r="Q1105">
        <v>2.07184700048</v>
      </c>
      <c r="R1105" s="22"/>
      <c r="S1105" s="22"/>
      <c r="T1105" s="22"/>
      <c r="U1105" s="24">
        <f>R1105+S1105/60+T1105/3600</f>
        <v>0</v>
      </c>
      <c r="V1105" s="28">
        <f>ABS(U1105-P1105)/P1105</f>
        <v>1</v>
      </c>
      <c r="W1105" s="22"/>
      <c r="X1105" s="22"/>
      <c r="Y1105" s="22"/>
      <c r="Z1105" s="14">
        <f>W1105+X1105/60+Y1105/3600</f>
        <v>0</v>
      </c>
      <c r="AA1105" s="26">
        <f>ABS(Z1105-Q1105)/Q1105</f>
        <v>1</v>
      </c>
      <c r="AB1105" s="26"/>
      <c r="AC1105" s="14">
        <f>P1105</f>
        <v>48.798707635200003</v>
      </c>
      <c r="AD1105" s="14">
        <f>Q1105</f>
        <v>2.07184700048</v>
      </c>
    </row>
    <row r="1106" spans="1:30" s="14" customFormat="1">
      <c r="A1106" s="12">
        <v>4</v>
      </c>
      <c r="B1106" s="12" t="s">
        <v>1121</v>
      </c>
      <c r="C1106" s="14" t="str">
        <f>VLOOKUP(B1106,weights!A:B,2,FALSE)</f>
        <v>P</v>
      </c>
      <c r="D1106" s="13">
        <v>1104</v>
      </c>
      <c r="E1106" s="14" t="s">
        <v>592</v>
      </c>
      <c r="G1106" s="15" t="s">
        <v>950</v>
      </c>
      <c r="H1106" s="18" t="s">
        <v>1829</v>
      </c>
      <c r="I1106" s="18" t="s">
        <v>1980</v>
      </c>
      <c r="K1106" s="14">
        <f>VLOOKUP(B1106,weights!A:G,5,FALSE)</f>
        <v>3.91</v>
      </c>
      <c r="L1106" s="14">
        <f>VLOOKUP(B1106,weights!A:G,6,FALSE)</f>
        <v>7</v>
      </c>
      <c r="M1106" s="14">
        <f>VLOOKUP(B1106,weights!A:G,7,FALSE)</f>
        <v>10</v>
      </c>
      <c r="N1106" t="s">
        <v>5900</v>
      </c>
      <c r="O1106">
        <v>705</v>
      </c>
      <c r="P1106">
        <v>48.795280246300003</v>
      </c>
      <c r="Q1106">
        <v>2.1360504896600001</v>
      </c>
      <c r="R1106" s="22"/>
      <c r="S1106" s="22"/>
      <c r="T1106" s="22"/>
      <c r="U1106" s="24">
        <f>R1106+S1106/60+T1106/3600</f>
        <v>0</v>
      </c>
      <c r="V1106" s="28">
        <f>ABS(U1106-P1106)/P1106</f>
        <v>1</v>
      </c>
      <c r="W1106" s="22"/>
      <c r="X1106" s="22"/>
      <c r="Y1106" s="22"/>
      <c r="Z1106" s="14">
        <f>W1106+X1106/60+Y1106/3600</f>
        <v>0</v>
      </c>
      <c r="AA1106" s="26">
        <f>ABS(Z1106-Q1106)/Q1106</f>
        <v>1</v>
      </c>
      <c r="AB1106" s="26"/>
      <c r="AC1106" s="14">
        <f>P1106</f>
        <v>48.795280246300003</v>
      </c>
      <c r="AD1106" s="14">
        <f>Q1106</f>
        <v>2.1360504896600001</v>
      </c>
    </row>
    <row r="1107" spans="1:30" s="14" customFormat="1">
      <c r="A1107" s="12">
        <v>5</v>
      </c>
      <c r="B1107" s="12" t="s">
        <v>1121</v>
      </c>
      <c r="C1107" s="14" t="str">
        <f>VLOOKUP(B1107,weights!A:B,2,FALSE)</f>
        <v>P</v>
      </c>
      <c r="D1107" s="13">
        <v>1105</v>
      </c>
      <c r="E1107" s="14" t="s">
        <v>1104</v>
      </c>
      <c r="G1107" s="15" t="s">
        <v>545</v>
      </c>
      <c r="H1107" s="18" t="s">
        <v>1997</v>
      </c>
      <c r="I1107" s="18"/>
      <c r="K1107" s="14">
        <f>VLOOKUP(B1107,weights!A:G,5,FALSE)</f>
        <v>3.91</v>
      </c>
      <c r="L1107" s="14">
        <f>VLOOKUP(B1107,weights!A:G,6,FALSE)</f>
        <v>7</v>
      </c>
      <c r="M1107" s="14">
        <f>VLOOKUP(B1107,weights!A:G,7,FALSE)</f>
        <v>10</v>
      </c>
      <c r="N1107" t="s">
        <v>3656</v>
      </c>
      <c r="O1107">
        <v>766</v>
      </c>
      <c r="P1107">
        <v>48.812571716299999</v>
      </c>
      <c r="Q1107">
        <v>2.1882598586499999</v>
      </c>
      <c r="R1107" s="22"/>
      <c r="S1107" s="22"/>
      <c r="T1107" s="22"/>
      <c r="U1107" s="24">
        <f>R1107+S1107/60+T1107/3600</f>
        <v>0</v>
      </c>
      <c r="V1107" s="28">
        <f>ABS(U1107-P1107)/P1107</f>
        <v>1</v>
      </c>
      <c r="W1107" s="22"/>
      <c r="X1107" s="22"/>
      <c r="Y1107" s="22"/>
      <c r="Z1107" s="14">
        <f>W1107+X1107/60+Y1107/3600</f>
        <v>0</v>
      </c>
      <c r="AA1107" s="26">
        <f>ABS(Z1107-Q1107)/Q1107</f>
        <v>1</v>
      </c>
      <c r="AB1107" s="26"/>
      <c r="AC1107" s="14">
        <f>P1107</f>
        <v>48.812571716299999</v>
      </c>
      <c r="AD1107" s="14">
        <f>Q1107</f>
        <v>2.1882598586499999</v>
      </c>
    </row>
    <row r="1108" spans="1:30" s="14" customFormat="1">
      <c r="A1108" s="12">
        <v>6</v>
      </c>
      <c r="B1108" s="12" t="s">
        <v>1121</v>
      </c>
      <c r="C1108" s="14" t="str">
        <f>VLOOKUP(B1108,weights!A:B,2,FALSE)</f>
        <v>P</v>
      </c>
      <c r="D1108" s="13">
        <v>1106</v>
      </c>
      <c r="E1108" s="14" t="s">
        <v>1105</v>
      </c>
      <c r="G1108" s="15" t="s">
        <v>545</v>
      </c>
      <c r="H1108" s="18" t="s">
        <v>1998</v>
      </c>
      <c r="I1108" s="18"/>
      <c r="K1108" s="14">
        <f>VLOOKUP(B1108,weights!A:G,5,FALSE)</f>
        <v>3.91</v>
      </c>
      <c r="L1108" s="14">
        <f>VLOOKUP(B1108,weights!A:G,6,FALSE)</f>
        <v>7</v>
      </c>
      <c r="M1108" s="14">
        <f>VLOOKUP(B1108,weights!A:G,7,FALSE)</f>
        <v>10</v>
      </c>
      <c r="N1108" t="s">
        <v>5707</v>
      </c>
      <c r="O1108">
        <v>198</v>
      </c>
      <c r="P1108">
        <v>48.827238772699999</v>
      </c>
      <c r="Q1108">
        <v>2.2007212566300001</v>
      </c>
      <c r="R1108" s="22"/>
      <c r="S1108" s="22"/>
      <c r="T1108" s="22"/>
      <c r="U1108" s="24">
        <f>R1108+S1108/60+T1108/3600</f>
        <v>0</v>
      </c>
      <c r="V1108" s="28">
        <f>ABS(U1108-P1108)/P1108</f>
        <v>1</v>
      </c>
      <c r="W1108" s="22"/>
      <c r="X1108" s="22"/>
      <c r="Y1108" s="22"/>
      <c r="Z1108" s="14">
        <f>W1108+X1108/60+Y1108/3600</f>
        <v>0</v>
      </c>
      <c r="AA1108" s="26">
        <f>ABS(Z1108-Q1108)/Q1108</f>
        <v>1</v>
      </c>
      <c r="AB1108" s="26"/>
      <c r="AC1108" s="14">
        <f>P1108</f>
        <v>48.827238772699999</v>
      </c>
      <c r="AD1108" s="14">
        <f>Q1108</f>
        <v>2.2007212566300001</v>
      </c>
    </row>
    <row r="1109" spans="1:30" s="14" customFormat="1">
      <c r="A1109" s="12">
        <v>7</v>
      </c>
      <c r="B1109" s="12" t="s">
        <v>1121</v>
      </c>
      <c r="C1109" s="14" t="str">
        <f>VLOOKUP(B1109,weights!A:B,2,FALSE)</f>
        <v>P</v>
      </c>
      <c r="D1109" s="13">
        <v>1107</v>
      </c>
      <c r="E1109" s="14" t="s">
        <v>825</v>
      </c>
      <c r="G1109" s="15" t="s">
        <v>1226</v>
      </c>
      <c r="H1109" s="18" t="s">
        <v>1875</v>
      </c>
      <c r="I1109" s="18" t="s">
        <v>1968</v>
      </c>
      <c r="K1109" s="14">
        <f>VLOOKUP(B1109,weights!A:G,5,FALSE)</f>
        <v>3.91</v>
      </c>
      <c r="L1109" s="14">
        <f>VLOOKUP(B1109,weights!A:G,6,FALSE)</f>
        <v>7</v>
      </c>
      <c r="M1109" s="14">
        <f>VLOOKUP(B1109,weights!A:G,7,FALSE)</f>
        <v>10</v>
      </c>
      <c r="N1109" t="s">
        <v>5521</v>
      </c>
      <c r="O1109">
        <v>297</v>
      </c>
      <c r="P1109">
        <v>48.846102948599999</v>
      </c>
      <c r="Q1109">
        <v>2.2176210808899999</v>
      </c>
      <c r="R1109" s="22"/>
      <c r="S1109" s="22"/>
      <c r="T1109" s="22"/>
      <c r="U1109" s="24">
        <f>R1109+S1109/60+T1109/3600</f>
        <v>0</v>
      </c>
      <c r="V1109" s="28">
        <f>ABS(U1109-P1109)/P1109</f>
        <v>1</v>
      </c>
      <c r="W1109" s="22"/>
      <c r="X1109" s="22"/>
      <c r="Y1109" s="22"/>
      <c r="Z1109" s="14">
        <f>W1109+X1109/60+Y1109/3600</f>
        <v>0</v>
      </c>
      <c r="AA1109" s="26">
        <f>ABS(Z1109-Q1109)/Q1109</f>
        <v>1</v>
      </c>
      <c r="AB1109" s="26"/>
      <c r="AC1109" s="14">
        <f>P1109</f>
        <v>48.846102948599999</v>
      </c>
      <c r="AD1109" s="14">
        <f>Q1109</f>
        <v>2.2176210808899999</v>
      </c>
    </row>
    <row r="1110" spans="1:30" s="14" customFormat="1">
      <c r="A1110" s="12">
        <v>8</v>
      </c>
      <c r="B1110" s="12" t="s">
        <v>1121</v>
      </c>
      <c r="C1110" s="14" t="str">
        <f>VLOOKUP(B1110,weights!A:B,2,FALSE)</f>
        <v>P</v>
      </c>
      <c r="D1110" s="13">
        <v>1108</v>
      </c>
      <c r="E1110" s="14" t="s">
        <v>1115</v>
      </c>
      <c r="G1110" s="15" t="s">
        <v>1227</v>
      </c>
      <c r="H1110" s="18" t="s">
        <v>1872</v>
      </c>
      <c r="I1110" s="18" t="s">
        <v>1971</v>
      </c>
      <c r="K1110" s="14">
        <f>VLOOKUP(B1110,weights!A:G,5,FALSE)</f>
        <v>3.91</v>
      </c>
      <c r="L1110" s="14">
        <f>VLOOKUP(B1110,weights!A:G,6,FALSE)</f>
        <v>7</v>
      </c>
      <c r="M1110" s="14">
        <f>VLOOKUP(B1110,weights!A:G,7,FALSE)</f>
        <v>10</v>
      </c>
      <c r="N1110" t="s">
        <v>5754</v>
      </c>
      <c r="O1110">
        <v>508</v>
      </c>
      <c r="P1110">
        <v>48.871714186600002</v>
      </c>
      <c r="Q1110">
        <v>2.2210295477700002</v>
      </c>
      <c r="R1110" s="22"/>
      <c r="S1110" s="22"/>
      <c r="T1110" s="22"/>
      <c r="U1110" s="24">
        <f>R1110+S1110/60+T1110/3600</f>
        <v>0</v>
      </c>
      <c r="V1110" s="28">
        <f>ABS(U1110-P1110)/P1110</f>
        <v>1</v>
      </c>
      <c r="W1110" s="22"/>
      <c r="X1110" s="22"/>
      <c r="Y1110" s="22"/>
      <c r="Z1110" s="14">
        <f>W1110+X1110/60+Y1110/3600</f>
        <v>0</v>
      </c>
      <c r="AA1110" s="26">
        <f>ABS(Z1110-Q1110)/Q1110</f>
        <v>1</v>
      </c>
      <c r="AB1110" s="26"/>
      <c r="AC1110" s="14">
        <f>P1110</f>
        <v>48.871714186600002</v>
      </c>
      <c r="AD1110" s="14">
        <f>Q1110</f>
        <v>2.2210295477700002</v>
      </c>
    </row>
    <row r="1111" spans="1:30" s="14" customFormat="1">
      <c r="A1111" s="12">
        <v>9</v>
      </c>
      <c r="B1111" s="12" t="s">
        <v>1121</v>
      </c>
      <c r="C1111" s="14" t="str">
        <f>VLOOKUP(B1111,weights!A:B,2,FALSE)</f>
        <v>P</v>
      </c>
      <c r="D1111" s="13">
        <v>1109</v>
      </c>
      <c r="E1111" s="14" t="s">
        <v>820</v>
      </c>
      <c r="G1111" s="15" t="s">
        <v>1228</v>
      </c>
      <c r="H1111" s="18" t="s">
        <v>1870</v>
      </c>
      <c r="I1111" s="18" t="s">
        <v>1973</v>
      </c>
      <c r="K1111" s="14">
        <f>VLOOKUP(B1111,weights!A:G,5,FALSE)</f>
        <v>3.91</v>
      </c>
      <c r="L1111" s="14">
        <f>VLOOKUP(B1111,weights!A:G,6,FALSE)</f>
        <v>7</v>
      </c>
      <c r="M1111" s="14">
        <f>VLOOKUP(B1111,weights!A:G,7,FALSE)</f>
        <v>10</v>
      </c>
      <c r="N1111" t="s">
        <v>5393</v>
      </c>
      <c r="O1111">
        <v>573</v>
      </c>
      <c r="P1111">
        <v>48.883362341900003</v>
      </c>
      <c r="Q1111">
        <v>2.2337816806499999</v>
      </c>
      <c r="R1111" s="22"/>
      <c r="S1111" s="22"/>
      <c r="T1111" s="22"/>
      <c r="U1111" s="24">
        <f>R1111+S1111/60+T1111/3600</f>
        <v>0</v>
      </c>
      <c r="V1111" s="28">
        <f>ABS(U1111-P1111)/P1111</f>
        <v>1</v>
      </c>
      <c r="W1111" s="22"/>
      <c r="X1111" s="22"/>
      <c r="Y1111" s="22"/>
      <c r="Z1111" s="14">
        <f>W1111+X1111/60+Y1111/3600</f>
        <v>0</v>
      </c>
      <c r="AA1111" s="26">
        <f>ABS(Z1111-Q1111)/Q1111</f>
        <v>1</v>
      </c>
      <c r="AB1111" s="26"/>
      <c r="AC1111" s="14">
        <f>P1111</f>
        <v>48.883362341900003</v>
      </c>
      <c r="AD1111" s="14">
        <f>Q1111</f>
        <v>2.2337816806499999</v>
      </c>
    </row>
    <row r="1112" spans="1:30" s="14" customFormat="1">
      <c r="A1112" s="12">
        <v>10</v>
      </c>
      <c r="B1112" s="12" t="s">
        <v>1121</v>
      </c>
      <c r="C1112" s="14" t="str">
        <f>VLOOKUP(B1112,weights!A:B,2,FALSE)</f>
        <v>P</v>
      </c>
      <c r="D1112" s="13">
        <v>1110</v>
      </c>
      <c r="E1112" s="14" t="s">
        <v>68</v>
      </c>
      <c r="G1112" s="15" t="s">
        <v>1229</v>
      </c>
      <c r="H1112" s="18" t="s">
        <v>1999</v>
      </c>
      <c r="I1112" s="18" t="s">
        <v>1581</v>
      </c>
      <c r="K1112" s="14">
        <f>VLOOKUP(B1112,weights!A:G,5,FALSE)</f>
        <v>3.91</v>
      </c>
      <c r="L1112" s="14">
        <f>VLOOKUP(B1112,weights!A:G,6,FALSE)</f>
        <v>7</v>
      </c>
      <c r="M1112" s="14">
        <f>VLOOKUP(B1112,weights!A:G,7,FALSE)</f>
        <v>10</v>
      </c>
      <c r="N1112" t="s">
        <v>4391</v>
      </c>
      <c r="O1112">
        <v>719</v>
      </c>
      <c r="P1112">
        <v>48.892187076399999</v>
      </c>
      <c r="Q1112">
        <v>2.2370180564000002</v>
      </c>
      <c r="R1112" s="22"/>
      <c r="S1112" s="22"/>
      <c r="T1112" s="22"/>
      <c r="U1112" s="24">
        <f>R1112+S1112/60+T1112/3600</f>
        <v>0</v>
      </c>
      <c r="V1112" s="28">
        <f>ABS(U1112-P1112)/P1112</f>
        <v>1</v>
      </c>
      <c r="W1112" s="22"/>
      <c r="X1112" s="22"/>
      <c r="Y1112" s="22"/>
      <c r="Z1112" s="14">
        <f>W1112+X1112/60+Y1112/3600</f>
        <v>0</v>
      </c>
      <c r="AA1112" s="26">
        <f>ABS(Z1112-Q1112)/Q1112</f>
        <v>1</v>
      </c>
      <c r="AB1112" s="26"/>
      <c r="AC1112" s="14">
        <f>P1112</f>
        <v>48.892187076399999</v>
      </c>
      <c r="AD1112" s="14">
        <f>Q1112</f>
        <v>2.2370180564000002</v>
      </c>
    </row>
    <row r="1124" spans="14:17">
      <c r="N1124"/>
      <c r="O1124"/>
      <c r="P1124"/>
      <c r="Q1124"/>
    </row>
    <row r="1125" spans="14:17">
      <c r="N1125"/>
      <c r="O1125"/>
      <c r="P1125"/>
      <c r="Q1125"/>
    </row>
    <row r="1139" spans="14:17">
      <c r="N1139"/>
      <c r="O1139"/>
      <c r="P1139"/>
      <c r="Q1139"/>
    </row>
  </sheetData>
  <autoFilter ref="A1:AD1112" xr:uid="{F8289D56-68DB-564D-A7F4-6FFF672E4395}">
    <sortState ref="A2:AD1112">
      <sortCondition ref="D1:D1112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23354-1556-9B4A-AF6A-F0593C6F620F}">
  <sheetPr filterMode="1"/>
  <dimension ref="A1:F924"/>
  <sheetViews>
    <sheetView zoomScale="131" workbookViewId="0">
      <selection activeCell="A946" sqref="A946"/>
    </sheetView>
  </sheetViews>
  <sheetFormatPr baseColWidth="10" defaultRowHeight="13"/>
  <cols>
    <col min="1" max="1" width="35.6640625" customWidth="1"/>
    <col min="2" max="2" width="8" bestFit="1" customWidth="1"/>
    <col min="3" max="4" width="14.5" bestFit="1" customWidth="1"/>
    <col min="5" max="5" width="41.6640625" bestFit="1" customWidth="1"/>
    <col min="6" max="6" width="7.83203125" bestFit="1" customWidth="1"/>
  </cols>
  <sheetData>
    <row r="1" spans="1:6">
      <c r="A1" t="s">
        <v>3115</v>
      </c>
      <c r="B1" t="s">
        <v>3112</v>
      </c>
      <c r="C1" t="s">
        <v>3113</v>
      </c>
      <c r="D1" t="s">
        <v>3114</v>
      </c>
      <c r="E1" t="s">
        <v>3116</v>
      </c>
      <c r="F1" t="s">
        <v>6017</v>
      </c>
    </row>
    <row r="2" spans="1:6" hidden="1">
      <c r="A2" t="s">
        <v>3119</v>
      </c>
      <c r="B2">
        <v>42</v>
      </c>
      <c r="C2" t="s">
        <v>3117</v>
      </c>
      <c r="D2" t="s">
        <v>3118</v>
      </c>
      <c r="E2" t="s">
        <v>110</v>
      </c>
      <c r="F2">
        <f>SUMPRODUCT((LEN(E2)-LEN(SUBSTITUTE(E2,"/","")))) + 1</f>
        <v>1</v>
      </c>
    </row>
    <row r="3" spans="1:6" hidden="1">
      <c r="A3" t="s">
        <v>3122</v>
      </c>
      <c r="B3">
        <v>656</v>
      </c>
      <c r="C3" t="s">
        <v>3120</v>
      </c>
      <c r="D3" t="s">
        <v>3121</v>
      </c>
      <c r="E3" t="s">
        <v>1532</v>
      </c>
      <c r="F3">
        <f>SUMPRODUCT((LEN(E3)-LEN(SUBSTITUTE(E3,"/","")))) + 1</f>
        <v>1</v>
      </c>
    </row>
    <row r="4" spans="1:6" hidden="1">
      <c r="A4" t="s">
        <v>3125</v>
      </c>
      <c r="B4">
        <v>280</v>
      </c>
      <c r="C4" t="s">
        <v>3123</v>
      </c>
      <c r="D4" t="s">
        <v>3124</v>
      </c>
      <c r="E4" t="s">
        <v>1524</v>
      </c>
      <c r="F4">
        <f>SUMPRODUCT((LEN(E4)-LEN(SUBSTITUTE(E4,"/","")))) + 1</f>
        <v>1</v>
      </c>
    </row>
    <row r="5" spans="1:6" hidden="1">
      <c r="A5" t="s">
        <v>3128</v>
      </c>
      <c r="B5">
        <v>579</v>
      </c>
      <c r="C5" t="s">
        <v>3126</v>
      </c>
      <c r="D5" t="s">
        <v>3127</v>
      </c>
      <c r="E5" t="s">
        <v>3129</v>
      </c>
      <c r="F5">
        <f>SUMPRODUCT((LEN(E5)-LEN(SUBSTITUTE(E5,"/","")))) + 1</f>
        <v>2</v>
      </c>
    </row>
    <row r="6" spans="1:6" hidden="1">
      <c r="A6" t="s">
        <v>3132</v>
      </c>
      <c r="B6">
        <v>558</v>
      </c>
      <c r="C6" t="s">
        <v>3130</v>
      </c>
      <c r="D6" t="s">
        <v>3131</v>
      </c>
      <c r="E6" t="s">
        <v>143</v>
      </c>
      <c r="F6">
        <f>SUMPRODUCT((LEN(E6)-LEN(SUBSTITUTE(E6,"/","")))) + 1</f>
        <v>1</v>
      </c>
    </row>
    <row r="7" spans="1:6" hidden="1">
      <c r="A7" t="s">
        <v>3135</v>
      </c>
      <c r="B7">
        <v>725</v>
      </c>
      <c r="C7" t="s">
        <v>3133</v>
      </c>
      <c r="D7" t="s">
        <v>3134</v>
      </c>
      <c r="E7" t="s">
        <v>3136</v>
      </c>
      <c r="F7">
        <f>SUMPRODUCT((LEN(E7)-LEN(SUBSTITUTE(E7,"/","")))) + 1</f>
        <v>2</v>
      </c>
    </row>
    <row r="8" spans="1:6" hidden="1">
      <c r="A8" t="s">
        <v>3139</v>
      </c>
      <c r="B8">
        <v>491</v>
      </c>
      <c r="C8" t="s">
        <v>3137</v>
      </c>
      <c r="D8" t="s">
        <v>3138</v>
      </c>
      <c r="E8" t="s">
        <v>3136</v>
      </c>
      <c r="F8">
        <f>SUMPRODUCT((LEN(E8)-LEN(SUBSTITUTE(E8,"/","")))) + 1</f>
        <v>2</v>
      </c>
    </row>
    <row r="9" spans="1:6" hidden="1">
      <c r="A9" t="s">
        <v>3142</v>
      </c>
      <c r="B9">
        <v>511</v>
      </c>
      <c r="C9" t="s">
        <v>3140</v>
      </c>
      <c r="D9" t="s">
        <v>3141</v>
      </c>
      <c r="E9" t="s">
        <v>3143</v>
      </c>
      <c r="F9">
        <f>SUMPRODUCT((LEN(E9)-LEN(SUBSTITUTE(E9,"/","")))) + 1</f>
        <v>1</v>
      </c>
    </row>
    <row r="10" spans="1:6" hidden="1">
      <c r="A10" t="s">
        <v>3146</v>
      </c>
      <c r="B10">
        <v>706</v>
      </c>
      <c r="C10" t="s">
        <v>3144</v>
      </c>
      <c r="D10" t="s">
        <v>3145</v>
      </c>
      <c r="E10" t="s">
        <v>3147</v>
      </c>
      <c r="F10">
        <f>SUMPRODUCT((LEN(E10)-LEN(SUBSTITUTE(E10,"/","")))) + 1</f>
        <v>2</v>
      </c>
    </row>
    <row r="11" spans="1:6" hidden="1">
      <c r="A11" t="s">
        <v>3150</v>
      </c>
      <c r="B11">
        <v>687</v>
      </c>
      <c r="C11" t="s">
        <v>3148</v>
      </c>
      <c r="D11" t="s">
        <v>3149</v>
      </c>
      <c r="E11" t="s">
        <v>523</v>
      </c>
      <c r="F11">
        <f>SUMPRODUCT((LEN(E11)-LEN(SUBSTITUTE(E11,"/","")))) + 1</f>
        <v>1</v>
      </c>
    </row>
    <row r="12" spans="1:6" hidden="1">
      <c r="A12" t="s">
        <v>3153</v>
      </c>
      <c r="B12">
        <v>319</v>
      </c>
      <c r="C12" t="s">
        <v>3151</v>
      </c>
      <c r="D12" t="s">
        <v>3152</v>
      </c>
      <c r="E12" t="s">
        <v>111</v>
      </c>
      <c r="F12">
        <f>SUMPRODUCT((LEN(E12)-LEN(SUBSTITUTE(E12,"/","")))) + 1</f>
        <v>1</v>
      </c>
    </row>
    <row r="13" spans="1:6" hidden="1">
      <c r="A13" t="s">
        <v>3156</v>
      </c>
      <c r="B13">
        <v>701</v>
      </c>
      <c r="C13" t="s">
        <v>3154</v>
      </c>
      <c r="D13" t="s">
        <v>3155</v>
      </c>
      <c r="E13" t="s">
        <v>198</v>
      </c>
      <c r="F13">
        <f>SUMPRODUCT((LEN(E13)-LEN(SUBSTITUTE(E13,"/","")))) + 1</f>
        <v>1</v>
      </c>
    </row>
    <row r="14" spans="1:6" hidden="1">
      <c r="A14" t="s">
        <v>3159</v>
      </c>
      <c r="B14">
        <v>828</v>
      </c>
      <c r="C14" t="s">
        <v>3157</v>
      </c>
      <c r="D14" t="s">
        <v>3158</v>
      </c>
      <c r="E14" t="s">
        <v>116</v>
      </c>
      <c r="F14">
        <f>SUMPRODUCT((LEN(E14)-LEN(SUBSTITUTE(E14,"/","")))) + 1</f>
        <v>1</v>
      </c>
    </row>
    <row r="15" spans="1:6" hidden="1">
      <c r="A15" t="s">
        <v>3162</v>
      </c>
      <c r="B15">
        <v>119</v>
      </c>
      <c r="C15" t="s">
        <v>3160</v>
      </c>
      <c r="D15" t="s">
        <v>3161</v>
      </c>
      <c r="E15" t="s">
        <v>745</v>
      </c>
      <c r="F15">
        <f>SUMPRODUCT((LEN(E15)-LEN(SUBSTITUTE(E15,"/","")))) + 1</f>
        <v>1</v>
      </c>
    </row>
    <row r="16" spans="1:6" hidden="1">
      <c r="A16" t="s">
        <v>3165</v>
      </c>
      <c r="B16">
        <v>336</v>
      </c>
      <c r="C16" t="s">
        <v>3163</v>
      </c>
      <c r="D16" t="s">
        <v>3164</v>
      </c>
      <c r="E16" t="s">
        <v>71</v>
      </c>
      <c r="F16">
        <f>SUMPRODUCT((LEN(E16)-LEN(SUBSTITUTE(E16,"/","")))) + 1</f>
        <v>1</v>
      </c>
    </row>
    <row r="17" spans="1:6" hidden="1">
      <c r="A17" t="s">
        <v>3168</v>
      </c>
      <c r="B17">
        <v>316</v>
      </c>
      <c r="C17" t="s">
        <v>3166</v>
      </c>
      <c r="D17" t="s">
        <v>3167</v>
      </c>
      <c r="E17" t="s">
        <v>109</v>
      </c>
      <c r="F17">
        <f>SUMPRODUCT((LEN(E17)-LEN(SUBSTITUTE(E17,"/","")))) + 1</f>
        <v>1</v>
      </c>
    </row>
    <row r="18" spans="1:6" hidden="1">
      <c r="A18" t="s">
        <v>3171</v>
      </c>
      <c r="B18">
        <v>78</v>
      </c>
      <c r="C18" t="s">
        <v>3169</v>
      </c>
      <c r="D18" t="s">
        <v>3170</v>
      </c>
      <c r="E18" t="s">
        <v>3172</v>
      </c>
      <c r="F18">
        <f>SUMPRODUCT((LEN(E18)-LEN(SUBSTITUTE(E18,"/","")))) + 1</f>
        <v>1</v>
      </c>
    </row>
    <row r="19" spans="1:6" hidden="1">
      <c r="A19" t="s">
        <v>3175</v>
      </c>
      <c r="B19">
        <v>494</v>
      </c>
      <c r="C19" t="s">
        <v>3173</v>
      </c>
      <c r="D19" t="s">
        <v>3174</v>
      </c>
      <c r="E19" t="s">
        <v>143</v>
      </c>
      <c r="F19">
        <f>SUMPRODUCT((LEN(E19)-LEN(SUBSTITUTE(E19,"/","")))) + 1</f>
        <v>1</v>
      </c>
    </row>
    <row r="20" spans="1:6" hidden="1">
      <c r="A20" t="s">
        <v>3178</v>
      </c>
      <c r="B20">
        <v>385</v>
      </c>
      <c r="C20" t="s">
        <v>3176</v>
      </c>
      <c r="D20" t="s">
        <v>3177</v>
      </c>
      <c r="E20" t="s">
        <v>3179</v>
      </c>
      <c r="F20">
        <f>SUMPRODUCT((LEN(E20)-LEN(SUBSTITUTE(E20,"/","")))) + 1</f>
        <v>1</v>
      </c>
    </row>
    <row r="21" spans="1:6" hidden="1">
      <c r="A21" t="s">
        <v>3182</v>
      </c>
      <c r="B21">
        <v>584</v>
      </c>
      <c r="C21" t="s">
        <v>3180</v>
      </c>
      <c r="D21" t="s">
        <v>3181</v>
      </c>
      <c r="E21" t="s">
        <v>3183</v>
      </c>
      <c r="F21">
        <f>SUMPRODUCT((LEN(E21)-LEN(SUBSTITUTE(E21,"/","")))) + 1</f>
        <v>2</v>
      </c>
    </row>
    <row r="22" spans="1:6" hidden="1">
      <c r="A22" t="s">
        <v>3186</v>
      </c>
      <c r="B22">
        <v>3</v>
      </c>
      <c r="C22" t="s">
        <v>3184</v>
      </c>
      <c r="D22" t="s">
        <v>3185</v>
      </c>
      <c r="E22" t="s">
        <v>116</v>
      </c>
      <c r="F22">
        <f>SUMPRODUCT((LEN(E22)-LEN(SUBSTITUTE(E22,"/","")))) + 1</f>
        <v>1</v>
      </c>
    </row>
    <row r="23" spans="1:6" hidden="1">
      <c r="A23" t="s">
        <v>3189</v>
      </c>
      <c r="B23">
        <v>615</v>
      </c>
      <c r="C23" t="s">
        <v>3187</v>
      </c>
      <c r="D23" t="s">
        <v>3188</v>
      </c>
      <c r="E23" t="s">
        <v>1525</v>
      </c>
      <c r="F23">
        <f>SUMPRODUCT((LEN(E23)-LEN(SUBSTITUTE(E23,"/","")))) + 1</f>
        <v>1</v>
      </c>
    </row>
    <row r="24" spans="1:6" hidden="1">
      <c r="A24" t="s">
        <v>3192</v>
      </c>
      <c r="B24">
        <v>398</v>
      </c>
      <c r="C24" t="s">
        <v>3190</v>
      </c>
      <c r="D24" t="s">
        <v>3191</v>
      </c>
      <c r="E24" t="s">
        <v>3172</v>
      </c>
      <c r="F24">
        <f>SUMPRODUCT((LEN(E24)-LEN(SUBSTITUTE(E24,"/","")))) + 1</f>
        <v>1</v>
      </c>
    </row>
    <row r="25" spans="1:6" hidden="1">
      <c r="A25" t="s">
        <v>3195</v>
      </c>
      <c r="B25">
        <v>103</v>
      </c>
      <c r="C25" t="s">
        <v>3193</v>
      </c>
      <c r="D25" t="s">
        <v>3194</v>
      </c>
      <c r="E25" t="s">
        <v>115</v>
      </c>
      <c r="F25">
        <f>SUMPRODUCT((LEN(E25)-LEN(SUBSTITUTE(E25,"/","")))) + 1</f>
        <v>1</v>
      </c>
    </row>
    <row r="26" spans="1:6" hidden="1">
      <c r="A26" t="s">
        <v>3198</v>
      </c>
      <c r="B26">
        <v>255</v>
      </c>
      <c r="C26" t="s">
        <v>3196</v>
      </c>
      <c r="D26" t="s">
        <v>3197</v>
      </c>
      <c r="E26" t="s">
        <v>1532</v>
      </c>
      <c r="F26">
        <f>SUMPRODUCT((LEN(E26)-LEN(SUBSTITUTE(E26,"/","")))) + 1</f>
        <v>1</v>
      </c>
    </row>
    <row r="27" spans="1:6" hidden="1">
      <c r="A27" t="s">
        <v>3201</v>
      </c>
      <c r="B27">
        <v>839</v>
      </c>
      <c r="C27" t="s">
        <v>3199</v>
      </c>
      <c r="D27" t="s">
        <v>3200</v>
      </c>
      <c r="E27" t="s">
        <v>76</v>
      </c>
      <c r="F27">
        <f>SUMPRODUCT((LEN(E27)-LEN(SUBSTITUTE(E27,"/","")))) + 1</f>
        <v>1</v>
      </c>
    </row>
    <row r="28" spans="1:6" hidden="1">
      <c r="A28" t="s">
        <v>3204</v>
      </c>
      <c r="B28">
        <v>23</v>
      </c>
      <c r="C28" t="s">
        <v>3202</v>
      </c>
      <c r="D28" t="s">
        <v>3203</v>
      </c>
      <c r="E28" t="s">
        <v>3205</v>
      </c>
      <c r="F28">
        <f>SUMPRODUCT((LEN(E28)-LEN(SUBSTITUTE(E28,"/","")))) + 1</f>
        <v>2</v>
      </c>
    </row>
    <row r="29" spans="1:6" hidden="1">
      <c r="A29" t="s">
        <v>3208</v>
      </c>
      <c r="B29">
        <v>135</v>
      </c>
      <c r="C29" t="s">
        <v>3206</v>
      </c>
      <c r="D29" t="s">
        <v>3207</v>
      </c>
      <c r="E29" t="s">
        <v>110</v>
      </c>
      <c r="F29">
        <f>SUMPRODUCT((LEN(E29)-LEN(SUBSTITUTE(E29,"/","")))) + 1</f>
        <v>1</v>
      </c>
    </row>
    <row r="30" spans="1:6" hidden="1">
      <c r="A30" t="s">
        <v>3211</v>
      </c>
      <c r="B30">
        <v>751</v>
      </c>
      <c r="C30" t="s">
        <v>3209</v>
      </c>
      <c r="D30" t="s">
        <v>3210</v>
      </c>
      <c r="E30" t="s">
        <v>1532</v>
      </c>
      <c r="F30">
        <f>SUMPRODUCT((LEN(E30)-LEN(SUBSTITUTE(E30,"/","")))) + 1</f>
        <v>1</v>
      </c>
    </row>
    <row r="31" spans="1:6" hidden="1">
      <c r="A31" t="s">
        <v>3214</v>
      </c>
      <c r="B31">
        <v>439</v>
      </c>
      <c r="C31" t="s">
        <v>3212</v>
      </c>
      <c r="D31" t="s">
        <v>3213</v>
      </c>
      <c r="E31" t="s">
        <v>1524</v>
      </c>
      <c r="F31">
        <f>SUMPRODUCT((LEN(E31)-LEN(SUBSTITUTE(E31,"/","")))) + 1</f>
        <v>1</v>
      </c>
    </row>
    <row r="32" spans="1:6" hidden="1">
      <c r="A32" t="s">
        <v>3217</v>
      </c>
      <c r="B32">
        <v>918</v>
      </c>
      <c r="C32" t="s">
        <v>3215</v>
      </c>
      <c r="D32" t="s">
        <v>3216</v>
      </c>
      <c r="E32" t="s">
        <v>3172</v>
      </c>
      <c r="F32">
        <f>SUMPRODUCT((LEN(E32)-LEN(SUBSTITUTE(E32,"/","")))) + 1</f>
        <v>1</v>
      </c>
    </row>
    <row r="33" spans="1:6" hidden="1">
      <c r="A33" t="s">
        <v>3220</v>
      </c>
      <c r="B33">
        <v>370</v>
      </c>
      <c r="C33" t="s">
        <v>3218</v>
      </c>
      <c r="D33" t="s">
        <v>3219</v>
      </c>
      <c r="E33" t="s">
        <v>74</v>
      </c>
      <c r="F33">
        <f>SUMPRODUCT((LEN(E33)-LEN(SUBSTITUTE(E33,"/","")))) + 1</f>
        <v>1</v>
      </c>
    </row>
    <row r="34" spans="1:6" hidden="1">
      <c r="A34" t="s">
        <v>3223</v>
      </c>
      <c r="B34">
        <v>848</v>
      </c>
      <c r="C34" t="s">
        <v>3221</v>
      </c>
      <c r="D34" t="s">
        <v>3222</v>
      </c>
      <c r="E34" t="s">
        <v>213</v>
      </c>
      <c r="F34">
        <f>SUMPRODUCT((LEN(E34)-LEN(SUBSTITUTE(E34,"/","")))) + 1</f>
        <v>1</v>
      </c>
    </row>
    <row r="35" spans="1:6" hidden="1">
      <c r="A35" t="s">
        <v>3226</v>
      </c>
      <c r="B35">
        <v>539</v>
      </c>
      <c r="C35" t="s">
        <v>3224</v>
      </c>
      <c r="D35" t="s">
        <v>3225</v>
      </c>
      <c r="E35" t="s">
        <v>317</v>
      </c>
      <c r="F35">
        <f>SUMPRODUCT((LEN(E35)-LEN(SUBSTITUTE(E35,"/","")))) + 1</f>
        <v>1</v>
      </c>
    </row>
    <row r="36" spans="1:6" hidden="1">
      <c r="A36" t="s">
        <v>3229</v>
      </c>
      <c r="B36">
        <v>585</v>
      </c>
      <c r="C36" t="s">
        <v>3227</v>
      </c>
      <c r="D36" t="s">
        <v>3228</v>
      </c>
      <c r="E36" t="s">
        <v>3230</v>
      </c>
      <c r="F36">
        <f>SUMPRODUCT((LEN(E36)-LEN(SUBSTITUTE(E36,"/","")))) + 1</f>
        <v>3</v>
      </c>
    </row>
    <row r="37" spans="1:6" hidden="1">
      <c r="A37" t="s">
        <v>3233</v>
      </c>
      <c r="B37">
        <v>606</v>
      </c>
      <c r="C37" t="s">
        <v>3231</v>
      </c>
      <c r="D37" t="s">
        <v>3232</v>
      </c>
      <c r="E37" t="s">
        <v>3179</v>
      </c>
      <c r="F37">
        <f>SUMPRODUCT((LEN(E37)-LEN(SUBSTITUTE(E37,"/","")))) + 1</f>
        <v>1</v>
      </c>
    </row>
    <row r="38" spans="1:6" hidden="1">
      <c r="A38" t="s">
        <v>3236</v>
      </c>
      <c r="B38">
        <v>476</v>
      </c>
      <c r="C38" t="s">
        <v>3234</v>
      </c>
      <c r="D38" t="s">
        <v>3235</v>
      </c>
      <c r="E38" t="s">
        <v>3237</v>
      </c>
      <c r="F38">
        <f>SUMPRODUCT((LEN(E38)-LEN(SUBSTITUTE(E38,"/","")))) + 1</f>
        <v>3</v>
      </c>
    </row>
    <row r="39" spans="1:6" hidden="1">
      <c r="A39" t="s">
        <v>3240</v>
      </c>
      <c r="B39">
        <v>674</v>
      </c>
      <c r="C39" t="s">
        <v>3238</v>
      </c>
      <c r="D39" t="s">
        <v>3239</v>
      </c>
      <c r="E39" t="s">
        <v>3241</v>
      </c>
      <c r="F39">
        <f>SUMPRODUCT((LEN(E39)-LEN(SUBSTITUTE(E39,"/","")))) + 1</f>
        <v>1</v>
      </c>
    </row>
    <row r="40" spans="1:6" hidden="1">
      <c r="A40" t="s">
        <v>3244</v>
      </c>
      <c r="B40">
        <v>466</v>
      </c>
      <c r="C40" t="s">
        <v>3242</v>
      </c>
      <c r="D40" t="s">
        <v>3243</v>
      </c>
      <c r="E40" t="s">
        <v>198</v>
      </c>
      <c r="F40">
        <f>SUMPRODUCT((LEN(E40)-LEN(SUBSTITUTE(E40,"/","")))) + 1</f>
        <v>1</v>
      </c>
    </row>
    <row r="41" spans="1:6" hidden="1">
      <c r="A41" t="s">
        <v>3247</v>
      </c>
      <c r="B41">
        <v>796</v>
      </c>
      <c r="C41" t="s">
        <v>3245</v>
      </c>
      <c r="D41" t="s">
        <v>3246</v>
      </c>
      <c r="E41" t="s">
        <v>1532</v>
      </c>
      <c r="F41">
        <f>SUMPRODUCT((LEN(E41)-LEN(SUBSTITUTE(E41,"/","")))) + 1</f>
        <v>1</v>
      </c>
    </row>
    <row r="42" spans="1:6" hidden="1">
      <c r="A42" t="s">
        <v>3250</v>
      </c>
      <c r="B42">
        <v>216</v>
      </c>
      <c r="C42" t="s">
        <v>3248</v>
      </c>
      <c r="D42" t="s">
        <v>3249</v>
      </c>
      <c r="E42" t="s">
        <v>195</v>
      </c>
      <c r="F42">
        <f>SUMPRODUCT((LEN(E42)-LEN(SUBSTITUTE(E42,"/","")))) + 1</f>
        <v>1</v>
      </c>
    </row>
    <row r="43" spans="1:6" hidden="1">
      <c r="A43" t="s">
        <v>3253</v>
      </c>
      <c r="B43">
        <v>794</v>
      </c>
      <c r="C43" t="s">
        <v>3251</v>
      </c>
      <c r="D43" t="s">
        <v>3252</v>
      </c>
      <c r="E43" t="s">
        <v>1532</v>
      </c>
      <c r="F43">
        <f>SUMPRODUCT((LEN(E43)-LEN(SUBSTITUTE(E43,"/","")))) + 1</f>
        <v>1</v>
      </c>
    </row>
    <row r="44" spans="1:6" hidden="1">
      <c r="A44" t="s">
        <v>3256</v>
      </c>
      <c r="B44">
        <v>683</v>
      </c>
      <c r="C44" t="s">
        <v>3254</v>
      </c>
      <c r="D44" t="s">
        <v>3255</v>
      </c>
      <c r="E44" t="s">
        <v>1532</v>
      </c>
      <c r="F44">
        <f>SUMPRODUCT((LEN(E44)-LEN(SUBSTITUTE(E44,"/","")))) + 1</f>
        <v>1</v>
      </c>
    </row>
    <row r="45" spans="1:6" hidden="1">
      <c r="A45" t="s">
        <v>3259</v>
      </c>
      <c r="B45">
        <v>303</v>
      </c>
      <c r="C45" t="s">
        <v>3257</v>
      </c>
      <c r="D45" t="s">
        <v>3258</v>
      </c>
      <c r="E45" t="s">
        <v>116</v>
      </c>
      <c r="F45">
        <f>SUMPRODUCT((LEN(E45)-LEN(SUBSTITUTE(E45,"/","")))) + 1</f>
        <v>1</v>
      </c>
    </row>
    <row r="46" spans="1:6" hidden="1">
      <c r="A46" t="s">
        <v>3262</v>
      </c>
      <c r="B46">
        <v>82</v>
      </c>
      <c r="C46" t="s">
        <v>3260</v>
      </c>
      <c r="D46" t="s">
        <v>3261</v>
      </c>
      <c r="E46" t="s">
        <v>3263</v>
      </c>
      <c r="F46">
        <f>SUMPRODUCT((LEN(E46)-LEN(SUBSTITUTE(E46,"/","")))) + 1</f>
        <v>1</v>
      </c>
    </row>
    <row r="47" spans="1:6" hidden="1">
      <c r="A47" t="s">
        <v>3266</v>
      </c>
      <c r="B47">
        <v>527</v>
      </c>
      <c r="C47" t="s">
        <v>3264</v>
      </c>
      <c r="D47" t="s">
        <v>3265</v>
      </c>
      <c r="E47" t="s">
        <v>1525</v>
      </c>
      <c r="F47">
        <f>SUMPRODUCT((LEN(E47)-LEN(SUBSTITUTE(E47,"/","")))) + 1</f>
        <v>1</v>
      </c>
    </row>
    <row r="48" spans="1:6" hidden="1">
      <c r="A48" t="s">
        <v>3269</v>
      </c>
      <c r="B48">
        <v>715</v>
      </c>
      <c r="C48" t="s">
        <v>3267</v>
      </c>
      <c r="D48" t="s">
        <v>3268</v>
      </c>
      <c r="E48" t="s">
        <v>3270</v>
      </c>
      <c r="F48">
        <f>SUMPRODUCT((LEN(E48)-LEN(SUBSTITUTE(E48,"/","")))) + 1</f>
        <v>2</v>
      </c>
    </row>
    <row r="49" spans="1:6" hidden="1">
      <c r="A49" t="s">
        <v>3273</v>
      </c>
      <c r="B49">
        <v>394</v>
      </c>
      <c r="C49" t="s">
        <v>3271</v>
      </c>
      <c r="D49" t="s">
        <v>3272</v>
      </c>
      <c r="E49" t="s">
        <v>1538</v>
      </c>
      <c r="F49">
        <f>SUMPRODUCT((LEN(E49)-LEN(SUBSTITUTE(E49,"/","")))) + 1</f>
        <v>1</v>
      </c>
    </row>
    <row r="50" spans="1:6" hidden="1">
      <c r="A50" t="s">
        <v>3276</v>
      </c>
      <c r="B50">
        <v>18</v>
      </c>
      <c r="C50" t="s">
        <v>3274</v>
      </c>
      <c r="D50" t="s">
        <v>3275</v>
      </c>
      <c r="E50" t="s">
        <v>3277</v>
      </c>
      <c r="F50">
        <f>SUMPRODUCT((LEN(E50)-LEN(SUBSTITUTE(E50,"/","")))) + 1</f>
        <v>2</v>
      </c>
    </row>
    <row r="51" spans="1:6" hidden="1">
      <c r="A51" t="s">
        <v>3280</v>
      </c>
      <c r="B51">
        <v>561</v>
      </c>
      <c r="C51" t="s">
        <v>3278</v>
      </c>
      <c r="D51" t="s">
        <v>3279</v>
      </c>
      <c r="E51" t="s">
        <v>198</v>
      </c>
      <c r="F51">
        <f>SUMPRODUCT((LEN(E51)-LEN(SUBSTITUTE(E51,"/","")))) + 1</f>
        <v>1</v>
      </c>
    </row>
    <row r="52" spans="1:6" hidden="1">
      <c r="A52" t="s">
        <v>3283</v>
      </c>
      <c r="B52">
        <v>472</v>
      </c>
      <c r="C52" t="s">
        <v>3281</v>
      </c>
      <c r="D52" t="s">
        <v>3282</v>
      </c>
      <c r="E52" t="s">
        <v>3284</v>
      </c>
      <c r="F52">
        <f>SUMPRODUCT((LEN(E52)-LEN(SUBSTITUTE(E52,"/","")))) + 1</f>
        <v>2</v>
      </c>
    </row>
    <row r="53" spans="1:6" hidden="1">
      <c r="A53" t="s">
        <v>3287</v>
      </c>
      <c r="B53">
        <v>324</v>
      </c>
      <c r="C53" t="s">
        <v>3285</v>
      </c>
      <c r="D53" t="s">
        <v>3286</v>
      </c>
      <c r="E53" t="s">
        <v>3288</v>
      </c>
      <c r="F53">
        <f>SUMPRODUCT((LEN(E53)-LEN(SUBSTITUTE(E53,"/","")))) + 1</f>
        <v>3</v>
      </c>
    </row>
    <row r="54" spans="1:6" hidden="1">
      <c r="A54" t="s">
        <v>3291</v>
      </c>
      <c r="B54">
        <v>531</v>
      </c>
      <c r="C54" t="s">
        <v>3289</v>
      </c>
      <c r="D54" t="s">
        <v>3290</v>
      </c>
      <c r="E54" t="s">
        <v>523</v>
      </c>
      <c r="F54">
        <f>SUMPRODUCT((LEN(E54)-LEN(SUBSTITUTE(E54,"/","")))) + 1</f>
        <v>1</v>
      </c>
    </row>
    <row r="55" spans="1:6" hidden="1">
      <c r="A55" t="s">
        <v>3294</v>
      </c>
      <c r="B55">
        <v>419</v>
      </c>
      <c r="C55" t="s">
        <v>3292</v>
      </c>
      <c r="D55" t="s">
        <v>3293</v>
      </c>
      <c r="E55" t="s">
        <v>3179</v>
      </c>
      <c r="F55">
        <f>SUMPRODUCT((LEN(E55)-LEN(SUBSTITUTE(E55,"/","")))) + 1</f>
        <v>1</v>
      </c>
    </row>
    <row r="56" spans="1:6" hidden="1">
      <c r="A56" t="s">
        <v>3297</v>
      </c>
      <c r="B56">
        <v>411</v>
      </c>
      <c r="C56" t="s">
        <v>3295</v>
      </c>
      <c r="D56" t="s">
        <v>3296</v>
      </c>
      <c r="E56" t="s">
        <v>3298</v>
      </c>
      <c r="F56">
        <f>SUMPRODUCT((LEN(E56)-LEN(SUBSTITUTE(E56,"/","")))) + 1</f>
        <v>1</v>
      </c>
    </row>
    <row r="57" spans="1:6" hidden="1">
      <c r="A57" t="s">
        <v>3301</v>
      </c>
      <c r="B57">
        <v>878</v>
      </c>
      <c r="C57" t="s">
        <v>3299</v>
      </c>
      <c r="D57" t="s">
        <v>3300</v>
      </c>
      <c r="E57" t="s">
        <v>196</v>
      </c>
      <c r="F57">
        <f>SUMPRODUCT((LEN(E57)-LEN(SUBSTITUTE(E57,"/","")))) + 1</f>
        <v>1</v>
      </c>
    </row>
    <row r="58" spans="1:6" hidden="1">
      <c r="A58" t="s">
        <v>3304</v>
      </c>
      <c r="B58">
        <v>221</v>
      </c>
      <c r="C58" t="s">
        <v>3302</v>
      </c>
      <c r="D58" t="s">
        <v>3303</v>
      </c>
      <c r="E58" t="s">
        <v>3305</v>
      </c>
      <c r="F58">
        <f>SUMPRODUCT((LEN(E58)-LEN(SUBSTITUTE(E58,"/","")))) + 1</f>
        <v>2</v>
      </c>
    </row>
    <row r="59" spans="1:6" hidden="1">
      <c r="A59" t="s">
        <v>3308</v>
      </c>
      <c r="B59">
        <v>524</v>
      </c>
      <c r="C59" t="s">
        <v>3306</v>
      </c>
      <c r="D59" t="s">
        <v>3307</v>
      </c>
      <c r="E59" t="s">
        <v>3309</v>
      </c>
      <c r="F59">
        <f>SUMPRODUCT((LEN(E59)-LEN(SUBSTITUTE(E59,"/","")))) + 1</f>
        <v>1</v>
      </c>
    </row>
    <row r="60" spans="1:6" hidden="1">
      <c r="A60" t="s">
        <v>3312</v>
      </c>
      <c r="B60">
        <v>611</v>
      </c>
      <c r="C60" t="s">
        <v>3310</v>
      </c>
      <c r="D60" t="s">
        <v>3311</v>
      </c>
      <c r="E60" t="s">
        <v>3241</v>
      </c>
      <c r="F60">
        <f>SUMPRODUCT((LEN(E60)-LEN(SUBSTITUTE(E60,"/","")))) + 1</f>
        <v>1</v>
      </c>
    </row>
    <row r="61" spans="1:6" hidden="1">
      <c r="A61" t="s">
        <v>3315</v>
      </c>
      <c r="B61">
        <v>25</v>
      </c>
      <c r="C61" t="s">
        <v>3313</v>
      </c>
      <c r="D61" t="s">
        <v>3314</v>
      </c>
      <c r="E61" t="s">
        <v>661</v>
      </c>
      <c r="F61">
        <f>SUMPRODUCT((LEN(E61)-LEN(SUBSTITUTE(E61,"/","")))) + 1</f>
        <v>1</v>
      </c>
    </row>
    <row r="62" spans="1:6" hidden="1">
      <c r="A62" t="s">
        <v>3318</v>
      </c>
      <c r="B62">
        <v>496</v>
      </c>
      <c r="C62" t="s">
        <v>3316</v>
      </c>
      <c r="D62" t="s">
        <v>3317</v>
      </c>
      <c r="E62" t="s">
        <v>115</v>
      </c>
      <c r="F62">
        <f>SUMPRODUCT((LEN(E62)-LEN(SUBSTITUTE(E62,"/","")))) + 1</f>
        <v>1</v>
      </c>
    </row>
    <row r="63" spans="1:6" hidden="1">
      <c r="A63" t="s">
        <v>3321</v>
      </c>
      <c r="B63">
        <v>146</v>
      </c>
      <c r="C63" t="s">
        <v>3319</v>
      </c>
      <c r="D63" t="s">
        <v>3320</v>
      </c>
      <c r="E63" t="s">
        <v>3322</v>
      </c>
      <c r="F63">
        <f>SUMPRODUCT((LEN(E63)-LEN(SUBSTITUTE(E63,"/","")))) + 1</f>
        <v>2</v>
      </c>
    </row>
    <row r="64" spans="1:6" hidden="1">
      <c r="A64" t="s">
        <v>3325</v>
      </c>
      <c r="B64">
        <v>79</v>
      </c>
      <c r="C64" t="s">
        <v>3323</v>
      </c>
      <c r="D64" t="s">
        <v>3324</v>
      </c>
      <c r="E64" t="s">
        <v>3241</v>
      </c>
      <c r="F64">
        <f>SUMPRODUCT((LEN(E64)-LEN(SUBSTITUTE(E64,"/","")))) + 1</f>
        <v>1</v>
      </c>
    </row>
    <row r="65" spans="1:6" hidden="1">
      <c r="A65" t="s">
        <v>3328</v>
      </c>
      <c r="B65">
        <v>269</v>
      </c>
      <c r="C65" t="s">
        <v>3326</v>
      </c>
      <c r="D65" t="s">
        <v>3327</v>
      </c>
      <c r="E65" t="s">
        <v>3309</v>
      </c>
      <c r="F65">
        <f>SUMPRODUCT((LEN(E65)-LEN(SUBSTITUTE(E65,"/","")))) + 1</f>
        <v>1</v>
      </c>
    </row>
    <row r="66" spans="1:6" hidden="1">
      <c r="A66" t="s">
        <v>3331</v>
      </c>
      <c r="B66">
        <v>718</v>
      </c>
      <c r="C66" t="s">
        <v>3329</v>
      </c>
      <c r="D66" t="s">
        <v>3330</v>
      </c>
      <c r="E66" t="s">
        <v>3332</v>
      </c>
      <c r="F66">
        <f>SUMPRODUCT((LEN(E66)-LEN(SUBSTITUTE(E66,"/","")))) + 1</f>
        <v>2</v>
      </c>
    </row>
    <row r="67" spans="1:6" hidden="1">
      <c r="A67" t="s">
        <v>3335</v>
      </c>
      <c r="B67">
        <v>96</v>
      </c>
      <c r="C67" t="s">
        <v>3333</v>
      </c>
      <c r="D67" t="s">
        <v>3334</v>
      </c>
      <c r="E67" t="s">
        <v>1532</v>
      </c>
      <c r="F67">
        <f>SUMPRODUCT((LEN(E67)-LEN(SUBSTITUTE(E67,"/","")))) + 1</f>
        <v>1</v>
      </c>
    </row>
    <row r="68" spans="1:6" hidden="1">
      <c r="A68" t="s">
        <v>3338</v>
      </c>
      <c r="B68">
        <v>70</v>
      </c>
      <c r="C68" t="s">
        <v>3336</v>
      </c>
      <c r="D68" t="s">
        <v>3337</v>
      </c>
      <c r="E68" t="s">
        <v>71</v>
      </c>
      <c r="F68">
        <f>SUMPRODUCT((LEN(E68)-LEN(SUBSTITUTE(E68,"/","")))) + 1</f>
        <v>1</v>
      </c>
    </row>
    <row r="69" spans="1:6" hidden="1">
      <c r="A69" t="s">
        <v>3341</v>
      </c>
      <c r="B69">
        <v>880</v>
      </c>
      <c r="C69" t="s">
        <v>3339</v>
      </c>
      <c r="D69" t="s">
        <v>3340</v>
      </c>
      <c r="E69" t="s">
        <v>196</v>
      </c>
      <c r="F69">
        <f>SUMPRODUCT((LEN(E69)-LEN(SUBSTITUTE(E69,"/","")))) + 1</f>
        <v>1</v>
      </c>
    </row>
    <row r="70" spans="1:6" hidden="1">
      <c r="A70" t="s">
        <v>3344</v>
      </c>
      <c r="B70">
        <v>588</v>
      </c>
      <c r="C70" t="s">
        <v>3342</v>
      </c>
      <c r="D70" t="s">
        <v>3343</v>
      </c>
      <c r="E70" t="s">
        <v>1525</v>
      </c>
      <c r="F70">
        <f>SUMPRODUCT((LEN(E70)-LEN(SUBSTITUTE(E70,"/","")))) + 1</f>
        <v>1</v>
      </c>
    </row>
    <row r="71" spans="1:6" hidden="1">
      <c r="A71" t="s">
        <v>3347</v>
      </c>
      <c r="B71">
        <v>310</v>
      </c>
      <c r="C71" t="s">
        <v>3345</v>
      </c>
      <c r="D71" t="s">
        <v>3346</v>
      </c>
      <c r="E71" t="s">
        <v>116</v>
      </c>
      <c r="F71">
        <f>SUMPRODUCT((LEN(E71)-LEN(SUBSTITUTE(E71,"/","")))) + 1</f>
        <v>1</v>
      </c>
    </row>
    <row r="72" spans="1:6" hidden="1">
      <c r="A72" t="s">
        <v>3350</v>
      </c>
      <c r="B72">
        <v>548</v>
      </c>
      <c r="C72" t="s">
        <v>3348</v>
      </c>
      <c r="D72" t="s">
        <v>3349</v>
      </c>
      <c r="E72" t="s">
        <v>519</v>
      </c>
      <c r="F72">
        <f>SUMPRODUCT((LEN(E72)-LEN(SUBSTITUTE(E72,"/","")))) + 1</f>
        <v>1</v>
      </c>
    </row>
    <row r="73" spans="1:6" hidden="1">
      <c r="A73" t="s">
        <v>3353</v>
      </c>
      <c r="B73">
        <v>635</v>
      </c>
      <c r="C73" t="s">
        <v>3351</v>
      </c>
      <c r="D73" t="s">
        <v>3352</v>
      </c>
      <c r="E73" t="s">
        <v>3354</v>
      </c>
      <c r="F73">
        <f>SUMPRODUCT((LEN(E73)-LEN(SUBSTITUTE(E73,"/","")))) + 1</f>
        <v>2</v>
      </c>
    </row>
    <row r="74" spans="1:6" hidden="1">
      <c r="A74" t="s">
        <v>3357</v>
      </c>
      <c r="B74">
        <v>320</v>
      </c>
      <c r="C74" t="s">
        <v>3355</v>
      </c>
      <c r="D74" t="s">
        <v>3356</v>
      </c>
      <c r="E74" t="s">
        <v>219</v>
      </c>
      <c r="F74">
        <f>SUMPRODUCT((LEN(E74)-LEN(SUBSTITUTE(E74,"/","")))) + 1</f>
        <v>1</v>
      </c>
    </row>
    <row r="75" spans="1:6" hidden="1">
      <c r="A75" t="s">
        <v>3360</v>
      </c>
      <c r="B75">
        <v>75</v>
      </c>
      <c r="C75" t="s">
        <v>3358</v>
      </c>
      <c r="D75" t="s">
        <v>3359</v>
      </c>
      <c r="E75" t="s">
        <v>1538</v>
      </c>
      <c r="F75">
        <f>SUMPRODUCT((LEN(E75)-LEN(SUBSTITUTE(E75,"/","")))) + 1</f>
        <v>1</v>
      </c>
    </row>
    <row r="76" spans="1:6" hidden="1">
      <c r="A76" t="s">
        <v>3363</v>
      </c>
      <c r="B76">
        <v>299</v>
      </c>
      <c r="C76" t="s">
        <v>3361</v>
      </c>
      <c r="D76" t="s">
        <v>3362</v>
      </c>
      <c r="E76" t="s">
        <v>3172</v>
      </c>
      <c r="F76">
        <f>SUMPRODUCT((LEN(E76)-LEN(SUBSTITUTE(E76,"/","")))) + 1</f>
        <v>1</v>
      </c>
    </row>
    <row r="77" spans="1:6" hidden="1">
      <c r="A77" t="s">
        <v>3366</v>
      </c>
      <c r="B77">
        <v>743</v>
      </c>
      <c r="C77" t="s">
        <v>3364</v>
      </c>
      <c r="D77" t="s">
        <v>3365</v>
      </c>
      <c r="E77" t="s">
        <v>3263</v>
      </c>
      <c r="F77">
        <f>SUMPRODUCT((LEN(E77)-LEN(SUBSTITUTE(E77,"/","")))) + 1</f>
        <v>1</v>
      </c>
    </row>
    <row r="78" spans="1:6" hidden="1">
      <c r="A78" t="s">
        <v>3369</v>
      </c>
      <c r="B78">
        <v>369</v>
      </c>
      <c r="C78" t="s">
        <v>3367</v>
      </c>
      <c r="D78" t="s">
        <v>3368</v>
      </c>
      <c r="E78" t="s">
        <v>196</v>
      </c>
      <c r="F78">
        <f>SUMPRODUCT((LEN(E78)-LEN(SUBSTITUTE(E78,"/","")))) + 1</f>
        <v>1</v>
      </c>
    </row>
    <row r="79" spans="1:6" hidden="1">
      <c r="A79" t="s">
        <v>3372</v>
      </c>
      <c r="B79">
        <v>86</v>
      </c>
      <c r="C79" t="s">
        <v>3370</v>
      </c>
      <c r="D79" t="s">
        <v>3371</v>
      </c>
      <c r="E79" t="s">
        <v>1538</v>
      </c>
      <c r="F79">
        <f>SUMPRODUCT((LEN(E79)-LEN(SUBSTITUTE(E79,"/","")))) + 1</f>
        <v>1</v>
      </c>
    </row>
    <row r="80" spans="1:6" hidden="1">
      <c r="A80" t="s">
        <v>3375</v>
      </c>
      <c r="B80">
        <v>523</v>
      </c>
      <c r="C80" t="s">
        <v>3373</v>
      </c>
      <c r="D80" t="s">
        <v>3374</v>
      </c>
      <c r="E80" t="s">
        <v>3172</v>
      </c>
      <c r="F80">
        <f>SUMPRODUCT((LEN(E80)-LEN(SUBSTITUTE(E80,"/","")))) + 1</f>
        <v>1</v>
      </c>
    </row>
    <row r="81" spans="1:6" hidden="1">
      <c r="A81" t="s">
        <v>3378</v>
      </c>
      <c r="B81">
        <v>292</v>
      </c>
      <c r="C81" t="s">
        <v>3376</v>
      </c>
      <c r="D81" t="s">
        <v>3377</v>
      </c>
      <c r="E81" t="s">
        <v>1524</v>
      </c>
      <c r="F81">
        <f>SUMPRODUCT((LEN(E81)-LEN(SUBSTITUTE(E81,"/","")))) + 1</f>
        <v>1</v>
      </c>
    </row>
    <row r="82" spans="1:6" hidden="1">
      <c r="A82" t="s">
        <v>3381</v>
      </c>
      <c r="B82">
        <v>353</v>
      </c>
      <c r="C82" t="s">
        <v>3379</v>
      </c>
      <c r="D82" t="s">
        <v>3380</v>
      </c>
      <c r="E82" t="s">
        <v>3382</v>
      </c>
      <c r="F82">
        <f>SUMPRODUCT((LEN(E82)-LEN(SUBSTITUTE(E82,"/","")))) + 1</f>
        <v>1</v>
      </c>
    </row>
    <row r="83" spans="1:6" hidden="1">
      <c r="A83" t="s">
        <v>3385</v>
      </c>
      <c r="B83">
        <v>567</v>
      </c>
      <c r="C83" t="s">
        <v>3383</v>
      </c>
      <c r="D83" t="s">
        <v>3384</v>
      </c>
      <c r="E83" t="s">
        <v>3386</v>
      </c>
      <c r="F83">
        <f>SUMPRODUCT((LEN(E83)-LEN(SUBSTITUTE(E83,"/","")))) + 1</f>
        <v>2</v>
      </c>
    </row>
    <row r="84" spans="1:6" hidden="1">
      <c r="A84" t="s">
        <v>3389</v>
      </c>
      <c r="B84">
        <v>253</v>
      </c>
      <c r="C84" t="s">
        <v>3387</v>
      </c>
      <c r="D84" t="s">
        <v>3388</v>
      </c>
      <c r="E84" t="s">
        <v>3390</v>
      </c>
      <c r="F84">
        <f>SUMPRODUCT((LEN(E84)-LEN(SUBSTITUTE(E84,"/","")))) + 1</f>
        <v>2</v>
      </c>
    </row>
    <row r="85" spans="1:6" hidden="1">
      <c r="A85" t="s">
        <v>3393</v>
      </c>
      <c r="B85">
        <v>607</v>
      </c>
      <c r="C85" t="s">
        <v>3391</v>
      </c>
      <c r="D85" t="s">
        <v>3392</v>
      </c>
      <c r="E85" t="s">
        <v>3179</v>
      </c>
      <c r="F85">
        <f>SUMPRODUCT((LEN(E85)-LEN(SUBSTITUTE(E85,"/","")))) + 1</f>
        <v>1</v>
      </c>
    </row>
    <row r="86" spans="1:6" hidden="1">
      <c r="A86" t="s">
        <v>3396</v>
      </c>
      <c r="B86">
        <v>77</v>
      </c>
      <c r="C86" t="s">
        <v>3394</v>
      </c>
      <c r="D86" t="s">
        <v>3395</v>
      </c>
      <c r="E86" t="s">
        <v>3179</v>
      </c>
      <c r="F86">
        <f>SUMPRODUCT((LEN(E86)-LEN(SUBSTITUTE(E86,"/","")))) + 1</f>
        <v>1</v>
      </c>
    </row>
    <row r="87" spans="1:6" hidden="1">
      <c r="A87" t="s">
        <v>3399</v>
      </c>
      <c r="B87">
        <v>543</v>
      </c>
      <c r="C87" t="s">
        <v>3397</v>
      </c>
      <c r="D87" t="s">
        <v>3398</v>
      </c>
      <c r="E87" t="s">
        <v>3241</v>
      </c>
      <c r="F87">
        <f>SUMPRODUCT((LEN(E87)-LEN(SUBSTITUTE(E87,"/","")))) + 1</f>
        <v>1</v>
      </c>
    </row>
    <row r="88" spans="1:6" hidden="1">
      <c r="A88" t="s">
        <v>3402</v>
      </c>
      <c r="B88">
        <v>142</v>
      </c>
      <c r="C88" t="s">
        <v>3400</v>
      </c>
      <c r="D88" t="s">
        <v>3401</v>
      </c>
      <c r="E88" t="s">
        <v>3382</v>
      </c>
      <c r="F88">
        <f>SUMPRODUCT((LEN(E88)-LEN(SUBSTITUTE(E88,"/","")))) + 1</f>
        <v>1</v>
      </c>
    </row>
    <row r="89" spans="1:6" hidden="1">
      <c r="A89" t="s">
        <v>3405</v>
      </c>
      <c r="B89">
        <v>886</v>
      </c>
      <c r="C89" t="s">
        <v>3403</v>
      </c>
      <c r="D89" t="s">
        <v>3404</v>
      </c>
      <c r="E89" t="s">
        <v>220</v>
      </c>
      <c r="F89">
        <f>SUMPRODUCT((LEN(E89)-LEN(SUBSTITUTE(E89,"/","")))) + 1</f>
        <v>1</v>
      </c>
    </row>
    <row r="90" spans="1:6" hidden="1">
      <c r="A90" t="s">
        <v>3408</v>
      </c>
      <c r="B90">
        <v>668</v>
      </c>
      <c r="C90" t="s">
        <v>3406</v>
      </c>
      <c r="D90" t="s">
        <v>3407</v>
      </c>
      <c r="E90" t="s">
        <v>3241</v>
      </c>
      <c r="F90">
        <f>SUMPRODUCT((LEN(E90)-LEN(SUBSTITUTE(E90,"/","")))) + 1</f>
        <v>1</v>
      </c>
    </row>
    <row r="91" spans="1:6" hidden="1">
      <c r="A91" t="s">
        <v>3411</v>
      </c>
      <c r="B91">
        <v>93</v>
      </c>
      <c r="C91" t="s">
        <v>3409</v>
      </c>
      <c r="D91" t="s">
        <v>3410</v>
      </c>
      <c r="E91" t="s">
        <v>3298</v>
      </c>
      <c r="F91">
        <f>SUMPRODUCT((LEN(E91)-LEN(SUBSTITUTE(E91,"/","")))) + 1</f>
        <v>1</v>
      </c>
    </row>
    <row r="92" spans="1:6" hidden="1">
      <c r="A92" t="s">
        <v>3414</v>
      </c>
      <c r="B92">
        <v>795</v>
      </c>
      <c r="C92" t="s">
        <v>3412</v>
      </c>
      <c r="D92" t="s">
        <v>3413</v>
      </c>
      <c r="E92" t="s">
        <v>1532</v>
      </c>
      <c r="F92">
        <f>SUMPRODUCT((LEN(E92)-LEN(SUBSTITUTE(E92,"/","")))) + 1</f>
        <v>1</v>
      </c>
    </row>
    <row r="93" spans="1:6" hidden="1">
      <c r="A93" t="s">
        <v>3417</v>
      </c>
      <c r="B93">
        <v>34</v>
      </c>
      <c r="C93" t="s">
        <v>3415</v>
      </c>
      <c r="D93" t="s">
        <v>3416</v>
      </c>
      <c r="E93" t="s">
        <v>195</v>
      </c>
      <c r="F93">
        <f>SUMPRODUCT((LEN(E93)-LEN(SUBSTITUTE(E93,"/","")))) + 1</f>
        <v>1</v>
      </c>
    </row>
    <row r="94" spans="1:6" hidden="1">
      <c r="A94" t="s">
        <v>3420</v>
      </c>
      <c r="B94">
        <v>340</v>
      </c>
      <c r="C94" t="s">
        <v>3418</v>
      </c>
      <c r="D94" t="s">
        <v>3419</v>
      </c>
      <c r="E94" t="s">
        <v>195</v>
      </c>
      <c r="F94">
        <f>SUMPRODUCT((LEN(E94)-LEN(SUBSTITUTE(E94,"/","")))) + 1</f>
        <v>1</v>
      </c>
    </row>
    <row r="95" spans="1:6" hidden="1">
      <c r="A95" t="s">
        <v>3423</v>
      </c>
      <c r="B95">
        <v>100</v>
      </c>
      <c r="C95" t="s">
        <v>3421</v>
      </c>
      <c r="D95" t="s">
        <v>3422</v>
      </c>
      <c r="E95" t="s">
        <v>1532</v>
      </c>
      <c r="F95">
        <f>SUMPRODUCT((LEN(E95)-LEN(SUBSTITUTE(E95,"/","")))) + 1</f>
        <v>1</v>
      </c>
    </row>
    <row r="96" spans="1:6" hidden="1">
      <c r="A96" t="s">
        <v>3426</v>
      </c>
      <c r="B96">
        <v>679</v>
      </c>
      <c r="C96" t="s">
        <v>3424</v>
      </c>
      <c r="D96" t="s">
        <v>3425</v>
      </c>
      <c r="E96" t="s">
        <v>1525</v>
      </c>
      <c r="F96">
        <f>SUMPRODUCT((LEN(E96)-LEN(SUBSTITUTE(E96,"/","")))) + 1</f>
        <v>1</v>
      </c>
    </row>
    <row r="97" spans="1:6" hidden="1">
      <c r="A97" t="s">
        <v>3429</v>
      </c>
      <c r="B97">
        <v>917</v>
      </c>
      <c r="C97" t="s">
        <v>3427</v>
      </c>
      <c r="D97" t="s">
        <v>3428</v>
      </c>
      <c r="E97" t="s">
        <v>3263</v>
      </c>
      <c r="F97">
        <f>SUMPRODUCT((LEN(E97)-LEN(SUBSTITUTE(E97,"/","")))) + 1</f>
        <v>1</v>
      </c>
    </row>
    <row r="98" spans="1:6" hidden="1">
      <c r="A98" t="s">
        <v>3432</v>
      </c>
      <c r="B98">
        <v>313</v>
      </c>
      <c r="C98" t="s">
        <v>3430</v>
      </c>
      <c r="D98" t="s">
        <v>3431</v>
      </c>
      <c r="E98" t="s">
        <v>109</v>
      </c>
      <c r="F98">
        <f>SUMPRODUCT((LEN(E98)-LEN(SUBSTITUTE(E98,"/","")))) + 1</f>
        <v>1</v>
      </c>
    </row>
    <row r="99" spans="1:6" hidden="1">
      <c r="A99" t="s">
        <v>3435</v>
      </c>
      <c r="B99">
        <v>895</v>
      </c>
      <c r="C99" t="s">
        <v>3433</v>
      </c>
      <c r="D99" t="s">
        <v>3434</v>
      </c>
      <c r="E99" t="s">
        <v>1538</v>
      </c>
      <c r="F99">
        <f>SUMPRODUCT((LEN(E99)-LEN(SUBSTITUTE(E99,"/","")))) + 1</f>
        <v>1</v>
      </c>
    </row>
    <row r="100" spans="1:6" hidden="1">
      <c r="A100" t="s">
        <v>3438</v>
      </c>
      <c r="B100">
        <v>161</v>
      </c>
      <c r="C100" t="s">
        <v>3436</v>
      </c>
      <c r="D100" t="s">
        <v>3437</v>
      </c>
      <c r="E100" t="s">
        <v>1538</v>
      </c>
      <c r="F100">
        <f>SUMPRODUCT((LEN(E100)-LEN(SUBSTITUTE(E100,"/","")))) + 1</f>
        <v>1</v>
      </c>
    </row>
    <row r="101" spans="1:6" hidden="1">
      <c r="A101" t="s">
        <v>3441</v>
      </c>
      <c r="B101">
        <v>212</v>
      </c>
      <c r="C101" t="s">
        <v>3439</v>
      </c>
      <c r="D101" t="s">
        <v>3440</v>
      </c>
      <c r="E101" t="s">
        <v>219</v>
      </c>
      <c r="F101">
        <f>SUMPRODUCT((LEN(E101)-LEN(SUBSTITUTE(E101,"/","")))) + 1</f>
        <v>1</v>
      </c>
    </row>
    <row r="102" spans="1:6" hidden="1">
      <c r="A102" t="s">
        <v>3444</v>
      </c>
      <c r="B102">
        <v>692</v>
      </c>
      <c r="C102" t="s">
        <v>3442</v>
      </c>
      <c r="D102" t="s">
        <v>3443</v>
      </c>
      <c r="E102" t="s">
        <v>317</v>
      </c>
      <c r="F102">
        <f>SUMPRODUCT((LEN(E102)-LEN(SUBSTITUTE(E102,"/","")))) + 1</f>
        <v>1</v>
      </c>
    </row>
    <row r="103" spans="1:6" hidden="1">
      <c r="A103" t="s">
        <v>3447</v>
      </c>
      <c r="B103">
        <v>192</v>
      </c>
      <c r="C103" t="s">
        <v>3445</v>
      </c>
      <c r="D103" t="s">
        <v>3446</v>
      </c>
      <c r="E103" t="s">
        <v>1532</v>
      </c>
      <c r="F103">
        <f>SUMPRODUCT((LEN(E103)-LEN(SUBSTITUTE(E103,"/","")))) + 1</f>
        <v>1</v>
      </c>
    </row>
    <row r="104" spans="1:6" hidden="1">
      <c r="A104" t="s">
        <v>3450</v>
      </c>
      <c r="B104">
        <v>256</v>
      </c>
      <c r="C104" t="s">
        <v>3448</v>
      </c>
      <c r="D104" t="s">
        <v>3449</v>
      </c>
      <c r="E104" t="s">
        <v>1532</v>
      </c>
      <c r="F104">
        <f>SUMPRODUCT((LEN(E104)-LEN(SUBSTITUTE(E104,"/","")))) + 1</f>
        <v>1</v>
      </c>
    </row>
    <row r="105" spans="1:6" hidden="1">
      <c r="A105" t="s">
        <v>3453</v>
      </c>
      <c r="B105">
        <v>893</v>
      </c>
      <c r="C105" t="s">
        <v>3451</v>
      </c>
      <c r="D105" t="s">
        <v>3452</v>
      </c>
      <c r="E105" t="s">
        <v>1532</v>
      </c>
      <c r="F105">
        <f>SUMPRODUCT((LEN(E105)-LEN(SUBSTITUTE(E105,"/","")))) + 1</f>
        <v>1</v>
      </c>
    </row>
    <row r="106" spans="1:6" hidden="1">
      <c r="A106" t="s">
        <v>3456</v>
      </c>
      <c r="B106">
        <v>167</v>
      </c>
      <c r="C106" t="s">
        <v>3454</v>
      </c>
      <c r="D106" t="s">
        <v>3455</v>
      </c>
      <c r="E106" t="s">
        <v>3179</v>
      </c>
      <c r="F106">
        <f>SUMPRODUCT((LEN(E106)-LEN(SUBSTITUTE(E106,"/","")))) + 1</f>
        <v>1</v>
      </c>
    </row>
    <row r="107" spans="1:6" hidden="1">
      <c r="A107" t="s">
        <v>3459</v>
      </c>
      <c r="B107">
        <v>849</v>
      </c>
      <c r="C107" t="s">
        <v>3457</v>
      </c>
      <c r="D107" t="s">
        <v>3458</v>
      </c>
      <c r="E107" t="s">
        <v>661</v>
      </c>
      <c r="F107">
        <f>SUMPRODUCT((LEN(E107)-LEN(SUBSTITUTE(E107,"/","")))) + 1</f>
        <v>1</v>
      </c>
    </row>
    <row r="108" spans="1:6" hidden="1">
      <c r="A108" t="s">
        <v>3462</v>
      </c>
      <c r="B108">
        <v>44</v>
      </c>
      <c r="C108" t="s">
        <v>3460</v>
      </c>
      <c r="D108" t="s">
        <v>3461</v>
      </c>
      <c r="E108" t="s">
        <v>72</v>
      </c>
      <c r="F108">
        <f>SUMPRODUCT((LEN(E108)-LEN(SUBSTITUTE(E108,"/","")))) + 1</f>
        <v>1</v>
      </c>
    </row>
    <row r="109" spans="1:6" hidden="1">
      <c r="A109" t="s">
        <v>3465</v>
      </c>
      <c r="B109">
        <v>289</v>
      </c>
      <c r="C109" t="s">
        <v>3463</v>
      </c>
      <c r="D109" t="s">
        <v>3464</v>
      </c>
      <c r="E109" t="s">
        <v>1538</v>
      </c>
      <c r="F109">
        <f>SUMPRODUCT((LEN(E109)-LEN(SUBSTITUTE(E109,"/","")))) + 1</f>
        <v>1</v>
      </c>
    </row>
    <row r="110" spans="1:6" hidden="1">
      <c r="A110" t="s">
        <v>3468</v>
      </c>
      <c r="B110">
        <v>788</v>
      </c>
      <c r="C110" t="s">
        <v>3466</v>
      </c>
      <c r="D110" t="s">
        <v>3467</v>
      </c>
      <c r="E110" t="s">
        <v>3241</v>
      </c>
      <c r="F110">
        <f>SUMPRODUCT((LEN(E110)-LEN(SUBSTITUTE(E110,"/","")))) + 1</f>
        <v>1</v>
      </c>
    </row>
    <row r="111" spans="1:6" hidden="1">
      <c r="A111" t="s">
        <v>3471</v>
      </c>
      <c r="B111">
        <v>196</v>
      </c>
      <c r="C111" t="s">
        <v>3469</v>
      </c>
      <c r="D111" t="s">
        <v>3470</v>
      </c>
      <c r="E111" t="s">
        <v>1524</v>
      </c>
      <c r="F111">
        <f>SUMPRODUCT((LEN(E111)-LEN(SUBSTITUTE(E111,"/","")))) + 1</f>
        <v>1</v>
      </c>
    </row>
    <row r="112" spans="1:6" hidden="1">
      <c r="A112" t="s">
        <v>3474</v>
      </c>
      <c r="B112">
        <v>420</v>
      </c>
      <c r="C112" t="s">
        <v>3472</v>
      </c>
      <c r="D112" t="s">
        <v>3473</v>
      </c>
      <c r="E112" t="s">
        <v>3179</v>
      </c>
      <c r="F112">
        <f>SUMPRODUCT((LEN(E112)-LEN(SUBSTITUTE(E112,"/","")))) + 1</f>
        <v>1</v>
      </c>
    </row>
    <row r="113" spans="1:6" hidden="1">
      <c r="A113" t="s">
        <v>3477</v>
      </c>
      <c r="B113">
        <v>416</v>
      </c>
      <c r="C113" t="s">
        <v>3475</v>
      </c>
      <c r="D113" t="s">
        <v>3476</v>
      </c>
      <c r="E113" t="s">
        <v>1538</v>
      </c>
      <c r="F113">
        <f>SUMPRODUCT((LEN(E113)-LEN(SUBSTITUTE(E113,"/","")))) + 1</f>
        <v>1</v>
      </c>
    </row>
    <row r="114" spans="1:6" hidden="1">
      <c r="A114" t="s">
        <v>3480</v>
      </c>
      <c r="B114">
        <v>99</v>
      </c>
      <c r="C114" t="s">
        <v>3478</v>
      </c>
      <c r="D114" t="s">
        <v>3479</v>
      </c>
      <c r="E114" t="s">
        <v>1525</v>
      </c>
      <c r="F114">
        <f>SUMPRODUCT((LEN(E114)-LEN(SUBSTITUTE(E114,"/","")))) + 1</f>
        <v>1</v>
      </c>
    </row>
    <row r="115" spans="1:6" hidden="1">
      <c r="A115" t="s">
        <v>3483</v>
      </c>
      <c r="B115">
        <v>658</v>
      </c>
      <c r="C115" t="s">
        <v>3481</v>
      </c>
      <c r="D115" t="s">
        <v>3482</v>
      </c>
      <c r="E115" t="s">
        <v>1524</v>
      </c>
      <c r="F115">
        <f>SUMPRODUCT((LEN(E115)-LEN(SUBSTITUTE(E115,"/","")))) + 1</f>
        <v>1</v>
      </c>
    </row>
    <row r="116" spans="1:6" hidden="1">
      <c r="A116" t="s">
        <v>3486</v>
      </c>
      <c r="B116">
        <v>562</v>
      </c>
      <c r="C116" t="s">
        <v>3484</v>
      </c>
      <c r="D116" t="s">
        <v>3485</v>
      </c>
      <c r="E116" t="s">
        <v>143</v>
      </c>
      <c r="F116">
        <f>SUMPRODUCT((LEN(E116)-LEN(SUBSTITUTE(E116,"/","")))) + 1</f>
        <v>1</v>
      </c>
    </row>
    <row r="117" spans="1:6" hidden="1">
      <c r="A117" t="s">
        <v>3489</v>
      </c>
      <c r="B117">
        <v>533</v>
      </c>
      <c r="C117" t="s">
        <v>3487</v>
      </c>
      <c r="D117" t="s">
        <v>3488</v>
      </c>
      <c r="E117" t="s">
        <v>523</v>
      </c>
      <c r="F117">
        <f>SUMPRODUCT((LEN(E117)-LEN(SUBSTITUTE(E117,"/","")))) + 1</f>
        <v>1</v>
      </c>
    </row>
    <row r="118" spans="1:6" hidden="1">
      <c r="A118" t="s">
        <v>3492</v>
      </c>
      <c r="B118">
        <v>50</v>
      </c>
      <c r="C118" t="s">
        <v>3490</v>
      </c>
      <c r="D118" t="s">
        <v>3491</v>
      </c>
      <c r="E118" t="s">
        <v>3382</v>
      </c>
      <c r="F118">
        <f>SUMPRODUCT((LEN(E118)-LEN(SUBSTITUTE(E118,"/","")))) + 1</f>
        <v>1</v>
      </c>
    </row>
    <row r="119" spans="1:6" hidden="1">
      <c r="A119" t="s">
        <v>3495</v>
      </c>
      <c r="B119">
        <v>215</v>
      </c>
      <c r="C119" t="s">
        <v>3493</v>
      </c>
      <c r="D119" t="s">
        <v>3494</v>
      </c>
      <c r="E119" t="s">
        <v>71</v>
      </c>
      <c r="F119">
        <f>SUMPRODUCT((LEN(E119)-LEN(SUBSTITUTE(E119,"/","")))) + 1</f>
        <v>1</v>
      </c>
    </row>
    <row r="120" spans="1:6" hidden="1">
      <c r="A120" t="s">
        <v>3498</v>
      </c>
      <c r="B120">
        <v>60</v>
      </c>
      <c r="C120" t="s">
        <v>3496</v>
      </c>
      <c r="D120" t="s">
        <v>3497</v>
      </c>
      <c r="E120" t="s">
        <v>74</v>
      </c>
      <c r="F120">
        <f>SUMPRODUCT((LEN(E120)-LEN(SUBSTITUTE(E120,"/","")))) + 1</f>
        <v>1</v>
      </c>
    </row>
    <row r="121" spans="1:6" hidden="1">
      <c r="A121" t="s">
        <v>3501</v>
      </c>
      <c r="B121">
        <v>368</v>
      </c>
      <c r="C121" t="s">
        <v>3499</v>
      </c>
      <c r="D121" t="s">
        <v>3500</v>
      </c>
      <c r="E121" t="s">
        <v>196</v>
      </c>
      <c r="F121">
        <f>SUMPRODUCT((LEN(E121)-LEN(SUBSTITUTE(E121,"/","")))) + 1</f>
        <v>1</v>
      </c>
    </row>
    <row r="122" spans="1:6" hidden="1">
      <c r="A122" t="s">
        <v>3504</v>
      </c>
      <c r="B122">
        <v>362</v>
      </c>
      <c r="C122" t="s">
        <v>3502</v>
      </c>
      <c r="D122" t="s">
        <v>3503</v>
      </c>
      <c r="E122" t="s">
        <v>219</v>
      </c>
      <c r="F122">
        <f>SUMPRODUCT((LEN(E122)-LEN(SUBSTITUTE(E122,"/","")))) + 1</f>
        <v>1</v>
      </c>
    </row>
    <row r="123" spans="1:6" hidden="1">
      <c r="A123" t="s">
        <v>3507</v>
      </c>
      <c r="B123">
        <v>564</v>
      </c>
      <c r="C123" t="s">
        <v>3505</v>
      </c>
      <c r="D123" t="s">
        <v>3506</v>
      </c>
      <c r="E123" t="s">
        <v>143</v>
      </c>
      <c r="F123">
        <f>SUMPRODUCT((LEN(E123)-LEN(SUBSTITUTE(E123,"/","")))) + 1</f>
        <v>1</v>
      </c>
    </row>
    <row r="124" spans="1:6" hidden="1">
      <c r="A124" t="s">
        <v>3510</v>
      </c>
      <c r="B124">
        <v>132</v>
      </c>
      <c r="C124" t="s">
        <v>3508</v>
      </c>
      <c r="D124" t="s">
        <v>3509</v>
      </c>
      <c r="E124" t="s">
        <v>195</v>
      </c>
      <c r="F124">
        <f>SUMPRODUCT((LEN(E124)-LEN(SUBSTITUTE(E124,"/","")))) + 1</f>
        <v>1</v>
      </c>
    </row>
    <row r="125" spans="1:6" hidden="1">
      <c r="A125" t="s">
        <v>3513</v>
      </c>
      <c r="B125">
        <v>690</v>
      </c>
      <c r="C125" t="s">
        <v>3511</v>
      </c>
      <c r="D125" t="s">
        <v>3512</v>
      </c>
      <c r="E125" t="s">
        <v>317</v>
      </c>
      <c r="F125">
        <f>SUMPRODUCT((LEN(E125)-LEN(SUBSTITUTE(E125,"/","")))) + 1</f>
        <v>1</v>
      </c>
    </row>
    <row r="126" spans="1:6" hidden="1">
      <c r="A126" t="s">
        <v>3516</v>
      </c>
      <c r="B126">
        <v>230</v>
      </c>
      <c r="C126" t="s">
        <v>3514</v>
      </c>
      <c r="D126" t="s">
        <v>3515</v>
      </c>
      <c r="E126" t="s">
        <v>72</v>
      </c>
      <c r="F126">
        <f>SUMPRODUCT((LEN(E126)-LEN(SUBSTITUTE(E126,"/","")))) + 1</f>
        <v>1</v>
      </c>
    </row>
    <row r="127" spans="1:6" hidden="1">
      <c r="A127" t="s">
        <v>3519</v>
      </c>
      <c r="B127">
        <v>248</v>
      </c>
      <c r="C127" t="s">
        <v>3517</v>
      </c>
      <c r="D127" t="s">
        <v>3518</v>
      </c>
      <c r="E127" t="s">
        <v>74</v>
      </c>
      <c r="F127">
        <f>SUMPRODUCT((LEN(E127)-LEN(SUBSTITUTE(E127,"/","")))) + 1</f>
        <v>1</v>
      </c>
    </row>
    <row r="128" spans="1:6" hidden="1">
      <c r="A128" t="s">
        <v>3522</v>
      </c>
      <c r="B128">
        <v>458</v>
      </c>
      <c r="C128" t="s">
        <v>3520</v>
      </c>
      <c r="D128" t="s">
        <v>3521</v>
      </c>
      <c r="E128" t="s">
        <v>521</v>
      </c>
      <c r="F128">
        <f>SUMPRODUCT((LEN(E128)-LEN(SUBSTITUTE(E128,"/","")))) + 1</f>
        <v>1</v>
      </c>
    </row>
    <row r="129" spans="1:6" hidden="1">
      <c r="A129" t="s">
        <v>3525</v>
      </c>
      <c r="B129">
        <v>582</v>
      </c>
      <c r="C129" t="s">
        <v>3523</v>
      </c>
      <c r="D129" t="s">
        <v>3524</v>
      </c>
      <c r="E129" t="s">
        <v>3129</v>
      </c>
      <c r="F129">
        <f>SUMPRODUCT((LEN(E129)-LEN(SUBSTITUTE(E129,"/","")))) + 1</f>
        <v>2</v>
      </c>
    </row>
    <row r="130" spans="1:6" hidden="1">
      <c r="A130" t="s">
        <v>3528</v>
      </c>
      <c r="B130">
        <v>489</v>
      </c>
      <c r="C130" t="s">
        <v>3526</v>
      </c>
      <c r="D130" t="s">
        <v>3527</v>
      </c>
      <c r="E130" t="s">
        <v>3129</v>
      </c>
      <c r="F130">
        <f>SUMPRODUCT((LEN(E130)-LEN(SUBSTITUTE(E130,"/","")))) + 1</f>
        <v>2</v>
      </c>
    </row>
    <row r="131" spans="1:6" hidden="1">
      <c r="A131" t="s">
        <v>3531</v>
      </c>
      <c r="B131">
        <v>722</v>
      </c>
      <c r="C131" t="s">
        <v>3529</v>
      </c>
      <c r="D131" t="s">
        <v>3530</v>
      </c>
      <c r="E131" t="s">
        <v>3129</v>
      </c>
      <c r="F131">
        <f>SUMPRODUCT((LEN(E131)-LEN(SUBSTITUTE(E131,"/","")))) + 1</f>
        <v>2</v>
      </c>
    </row>
    <row r="132" spans="1:6" hidden="1">
      <c r="A132" t="s">
        <v>3534</v>
      </c>
      <c r="B132">
        <v>487</v>
      </c>
      <c r="C132" t="s">
        <v>3532</v>
      </c>
      <c r="D132" t="s">
        <v>3533</v>
      </c>
      <c r="E132" t="s">
        <v>3535</v>
      </c>
      <c r="F132">
        <f>SUMPRODUCT((LEN(E132)-LEN(SUBSTITUTE(E132,"/","")))) + 1</f>
        <v>2</v>
      </c>
    </row>
    <row r="133" spans="1:6" hidden="1">
      <c r="A133" t="s">
        <v>3538</v>
      </c>
      <c r="B133">
        <v>453</v>
      </c>
      <c r="C133" t="s">
        <v>3536</v>
      </c>
      <c r="D133" t="s">
        <v>3537</v>
      </c>
      <c r="E133" t="s">
        <v>519</v>
      </c>
      <c r="F133">
        <f>SUMPRODUCT((LEN(E133)-LEN(SUBSTITUTE(E133,"/","")))) + 1</f>
        <v>1</v>
      </c>
    </row>
    <row r="134" spans="1:6" hidden="1">
      <c r="A134" t="s">
        <v>3541</v>
      </c>
      <c r="B134">
        <v>741</v>
      </c>
      <c r="C134" t="s">
        <v>3539</v>
      </c>
      <c r="D134" t="s">
        <v>3540</v>
      </c>
      <c r="E134" t="s">
        <v>1538</v>
      </c>
      <c r="F134">
        <f>SUMPRODUCT((LEN(E134)-LEN(SUBSTITUTE(E134,"/","")))) + 1</f>
        <v>1</v>
      </c>
    </row>
    <row r="135" spans="1:6" hidden="1">
      <c r="A135" t="s">
        <v>3544</v>
      </c>
      <c r="B135">
        <v>423</v>
      </c>
      <c r="C135" t="s">
        <v>3542</v>
      </c>
      <c r="D135" t="s">
        <v>3543</v>
      </c>
      <c r="E135" t="s">
        <v>3179</v>
      </c>
      <c r="F135">
        <f>SUMPRODUCT((LEN(E135)-LEN(SUBSTITUTE(E135,"/","")))) + 1</f>
        <v>1</v>
      </c>
    </row>
    <row r="136" spans="1:6" hidden="1">
      <c r="A136" t="s">
        <v>3547</v>
      </c>
      <c r="B136">
        <v>194</v>
      </c>
      <c r="C136" t="s">
        <v>3545</v>
      </c>
      <c r="D136" t="s">
        <v>3546</v>
      </c>
      <c r="E136" t="s">
        <v>1532</v>
      </c>
      <c r="F136">
        <f>SUMPRODUCT((LEN(E136)-LEN(SUBSTITUTE(E136,"/","")))) + 1</f>
        <v>1</v>
      </c>
    </row>
    <row r="137" spans="1:6" hidden="1">
      <c r="A137" t="s">
        <v>3550</v>
      </c>
      <c r="B137">
        <v>266</v>
      </c>
      <c r="C137" t="s">
        <v>3548</v>
      </c>
      <c r="D137" t="s">
        <v>3549</v>
      </c>
      <c r="E137" t="s">
        <v>3241</v>
      </c>
      <c r="F137">
        <f>SUMPRODUCT((LEN(E137)-LEN(SUBSTITUTE(E137,"/","")))) + 1</f>
        <v>1</v>
      </c>
    </row>
    <row r="138" spans="1:6" hidden="1">
      <c r="A138" t="s">
        <v>3553</v>
      </c>
      <c r="B138">
        <v>436</v>
      </c>
      <c r="C138" t="s">
        <v>3551</v>
      </c>
      <c r="D138" t="s">
        <v>3552</v>
      </c>
      <c r="E138" t="s">
        <v>1532</v>
      </c>
      <c r="F138">
        <f>SUMPRODUCT((LEN(E138)-LEN(SUBSTITUTE(E138,"/","")))) + 1</f>
        <v>1</v>
      </c>
    </row>
    <row r="139" spans="1:6" hidden="1">
      <c r="A139" t="s">
        <v>3556</v>
      </c>
      <c r="B139">
        <v>612</v>
      </c>
      <c r="C139" t="s">
        <v>3554</v>
      </c>
      <c r="D139" t="s">
        <v>3555</v>
      </c>
      <c r="E139" t="s">
        <v>3241</v>
      </c>
      <c r="F139">
        <f>SUMPRODUCT((LEN(E139)-LEN(SUBSTITUTE(E139,"/","")))) + 1</f>
        <v>1</v>
      </c>
    </row>
    <row r="140" spans="1:6" hidden="1">
      <c r="A140" t="s">
        <v>3559</v>
      </c>
      <c r="B140">
        <v>745</v>
      </c>
      <c r="C140" t="s">
        <v>3557</v>
      </c>
      <c r="D140" t="s">
        <v>3558</v>
      </c>
      <c r="E140" t="s">
        <v>3263</v>
      </c>
      <c r="F140">
        <f>SUMPRODUCT((LEN(E140)-LEN(SUBSTITUTE(E140,"/","")))) + 1</f>
        <v>1</v>
      </c>
    </row>
    <row r="141" spans="1:6" hidden="1">
      <c r="A141" t="s">
        <v>3562</v>
      </c>
      <c r="B141">
        <v>657</v>
      </c>
      <c r="C141" t="s">
        <v>3560</v>
      </c>
      <c r="D141" t="s">
        <v>3561</v>
      </c>
      <c r="E141" t="s">
        <v>3563</v>
      </c>
      <c r="F141">
        <f>SUMPRODUCT((LEN(E141)-LEN(SUBSTITUTE(E141,"/","")))) + 1</f>
        <v>1</v>
      </c>
    </row>
    <row r="142" spans="1:6" hidden="1">
      <c r="A142" t="s">
        <v>3566</v>
      </c>
      <c r="B142">
        <v>761</v>
      </c>
      <c r="C142" t="s">
        <v>3564</v>
      </c>
      <c r="D142" t="s">
        <v>3565</v>
      </c>
      <c r="E142" t="s">
        <v>1524</v>
      </c>
      <c r="F142">
        <f>SUMPRODUCT((LEN(E142)-LEN(SUBSTITUTE(E142,"/","")))) + 1</f>
        <v>1</v>
      </c>
    </row>
    <row r="143" spans="1:6" hidden="1">
      <c r="A143" t="s">
        <v>3569</v>
      </c>
      <c r="B143">
        <v>516</v>
      </c>
      <c r="C143" t="s">
        <v>3567</v>
      </c>
      <c r="D143" t="s">
        <v>3568</v>
      </c>
      <c r="E143" t="s">
        <v>3179</v>
      </c>
      <c r="F143">
        <f>SUMPRODUCT((LEN(E143)-LEN(SUBSTITUTE(E143,"/","")))) + 1</f>
        <v>1</v>
      </c>
    </row>
    <row r="144" spans="1:6" hidden="1">
      <c r="A144" t="s">
        <v>3572</v>
      </c>
      <c r="B144">
        <v>499</v>
      </c>
      <c r="C144" t="s">
        <v>3570</v>
      </c>
      <c r="D144" t="s">
        <v>3571</v>
      </c>
      <c r="E144" t="s">
        <v>3573</v>
      </c>
      <c r="F144">
        <f>SUMPRODUCT((LEN(E144)-LEN(SUBSTITUTE(E144,"/","")))) + 1</f>
        <v>2</v>
      </c>
    </row>
    <row r="145" spans="1:6" hidden="1">
      <c r="A145" t="s">
        <v>3576</v>
      </c>
      <c r="B145">
        <v>360</v>
      </c>
      <c r="C145" t="s">
        <v>3574</v>
      </c>
      <c r="D145" t="s">
        <v>3575</v>
      </c>
      <c r="E145" t="s">
        <v>3563</v>
      </c>
      <c r="F145">
        <f>SUMPRODUCT((LEN(E145)-LEN(SUBSTITUTE(E145,"/","")))) + 1</f>
        <v>1</v>
      </c>
    </row>
    <row r="146" spans="1:6" hidden="1">
      <c r="A146" t="s">
        <v>3579</v>
      </c>
      <c r="B146">
        <v>168</v>
      </c>
      <c r="C146" t="s">
        <v>3577</v>
      </c>
      <c r="D146" t="s">
        <v>3578</v>
      </c>
      <c r="E146" t="s">
        <v>3172</v>
      </c>
      <c r="F146">
        <f>SUMPRODUCT((LEN(E146)-LEN(SUBSTITUTE(E146,"/","")))) + 1</f>
        <v>1</v>
      </c>
    </row>
    <row r="147" spans="1:6" hidden="1">
      <c r="A147" t="s">
        <v>3582</v>
      </c>
      <c r="B147">
        <v>542</v>
      </c>
      <c r="C147" t="s">
        <v>3580</v>
      </c>
      <c r="D147" t="s">
        <v>3581</v>
      </c>
      <c r="E147" t="s">
        <v>1538</v>
      </c>
      <c r="F147">
        <f>SUMPRODUCT((LEN(E147)-LEN(SUBSTITUTE(E147,"/","")))) + 1</f>
        <v>1</v>
      </c>
    </row>
    <row r="148" spans="1:6" hidden="1">
      <c r="A148" t="s">
        <v>3585</v>
      </c>
      <c r="B148">
        <v>673</v>
      </c>
      <c r="C148" t="s">
        <v>3583</v>
      </c>
      <c r="D148" t="s">
        <v>3584</v>
      </c>
      <c r="E148" t="s">
        <v>3241</v>
      </c>
      <c r="F148">
        <f>SUMPRODUCT((LEN(E148)-LEN(SUBSTITUTE(E148,"/","")))) + 1</f>
        <v>1</v>
      </c>
    </row>
    <row r="149" spans="1:6" hidden="1">
      <c r="A149" t="s">
        <v>3588</v>
      </c>
      <c r="B149">
        <v>342</v>
      </c>
      <c r="C149" t="s">
        <v>3586</v>
      </c>
      <c r="D149" t="s">
        <v>3587</v>
      </c>
      <c r="E149" t="s">
        <v>195</v>
      </c>
      <c r="F149">
        <f>SUMPRODUCT((LEN(E149)-LEN(SUBSTITUTE(E149,"/","")))) + 1</f>
        <v>1</v>
      </c>
    </row>
    <row r="150" spans="1:6" hidden="1">
      <c r="A150" t="s">
        <v>3591</v>
      </c>
      <c r="B150">
        <v>380</v>
      </c>
      <c r="C150" t="s">
        <v>3589</v>
      </c>
      <c r="D150" t="s">
        <v>3590</v>
      </c>
      <c r="E150" t="s">
        <v>220</v>
      </c>
      <c r="F150">
        <f>SUMPRODUCT((LEN(E150)-LEN(SUBSTITUTE(E150,"/","")))) + 1</f>
        <v>1</v>
      </c>
    </row>
    <row r="151" spans="1:6" hidden="1">
      <c r="A151" t="s">
        <v>3594</v>
      </c>
      <c r="B151">
        <v>463</v>
      </c>
      <c r="C151" t="s">
        <v>3592</v>
      </c>
      <c r="D151" t="s">
        <v>3593</v>
      </c>
      <c r="E151" t="s">
        <v>661</v>
      </c>
      <c r="F151">
        <f>SUMPRODUCT((LEN(E151)-LEN(SUBSTITUTE(E151,"/","")))) + 1</f>
        <v>1</v>
      </c>
    </row>
    <row r="152" spans="1:6" hidden="1">
      <c r="A152" t="s">
        <v>3597</v>
      </c>
      <c r="B152">
        <v>485</v>
      </c>
      <c r="C152" t="s">
        <v>3595</v>
      </c>
      <c r="D152" t="s">
        <v>3596</v>
      </c>
      <c r="E152" t="s">
        <v>3598</v>
      </c>
      <c r="F152">
        <f>SUMPRODUCT((LEN(E152)-LEN(SUBSTITUTE(E152,"/","")))) + 1</f>
        <v>4</v>
      </c>
    </row>
    <row r="153" spans="1:6" hidden="1">
      <c r="A153" t="s">
        <v>3601</v>
      </c>
      <c r="B153">
        <v>860</v>
      </c>
      <c r="C153" t="s">
        <v>3599</v>
      </c>
      <c r="D153" t="s">
        <v>3600</v>
      </c>
      <c r="E153" t="s">
        <v>195</v>
      </c>
      <c r="F153">
        <f>SUMPRODUCT((LEN(E153)-LEN(SUBSTITUTE(E153,"/","")))) + 1</f>
        <v>1</v>
      </c>
    </row>
    <row r="154" spans="1:6" hidden="1">
      <c r="A154" t="s">
        <v>3604</v>
      </c>
      <c r="B154">
        <v>125</v>
      </c>
      <c r="C154" t="s">
        <v>3602</v>
      </c>
      <c r="D154" t="s">
        <v>3603</v>
      </c>
      <c r="E154" t="s">
        <v>71</v>
      </c>
      <c r="F154">
        <f>SUMPRODUCT((LEN(E154)-LEN(SUBSTITUTE(E154,"/","")))) + 1</f>
        <v>1</v>
      </c>
    </row>
    <row r="155" spans="1:6" hidden="1">
      <c r="A155" t="s">
        <v>3607</v>
      </c>
      <c r="B155">
        <v>791</v>
      </c>
      <c r="C155" t="s">
        <v>3605</v>
      </c>
      <c r="D155" t="s">
        <v>3606</v>
      </c>
      <c r="E155" t="s">
        <v>3172</v>
      </c>
      <c r="F155">
        <f>SUMPRODUCT((LEN(E155)-LEN(SUBSTITUTE(E155,"/","")))) + 1</f>
        <v>1</v>
      </c>
    </row>
    <row r="156" spans="1:6" hidden="1">
      <c r="A156" t="s">
        <v>3610</v>
      </c>
      <c r="B156">
        <v>779</v>
      </c>
      <c r="C156" t="s">
        <v>3608</v>
      </c>
      <c r="D156" t="s">
        <v>3609</v>
      </c>
      <c r="E156" t="s">
        <v>3179</v>
      </c>
      <c r="F156">
        <f>SUMPRODUCT((LEN(E156)-LEN(SUBSTITUTE(E156,"/","")))) + 1</f>
        <v>1</v>
      </c>
    </row>
    <row r="157" spans="1:6" hidden="1">
      <c r="A157" t="s">
        <v>3613</v>
      </c>
      <c r="B157">
        <v>88</v>
      </c>
      <c r="C157" t="s">
        <v>3611</v>
      </c>
      <c r="D157" t="s">
        <v>3612</v>
      </c>
      <c r="E157" t="s">
        <v>3263</v>
      </c>
      <c r="F157">
        <f>SUMPRODUCT((LEN(E157)-LEN(SUBSTITUTE(E157,"/","")))) + 1</f>
        <v>1</v>
      </c>
    </row>
    <row r="158" spans="1:6" hidden="1">
      <c r="A158" t="s">
        <v>3616</v>
      </c>
      <c r="B158">
        <v>318</v>
      </c>
      <c r="C158" t="s">
        <v>3614</v>
      </c>
      <c r="D158" t="s">
        <v>3615</v>
      </c>
      <c r="E158" t="s">
        <v>111</v>
      </c>
      <c r="F158">
        <f>SUMPRODUCT((LEN(E158)-LEN(SUBSTITUTE(E158,"/","")))) + 1</f>
        <v>1</v>
      </c>
    </row>
    <row r="159" spans="1:6" hidden="1">
      <c r="A159" t="s">
        <v>3619</v>
      </c>
      <c r="B159">
        <v>201</v>
      </c>
      <c r="C159" t="s">
        <v>3617</v>
      </c>
      <c r="D159" t="s">
        <v>3618</v>
      </c>
      <c r="E159" t="s">
        <v>115</v>
      </c>
      <c r="F159">
        <f>SUMPRODUCT((LEN(E159)-LEN(SUBSTITUTE(E159,"/","")))) + 1</f>
        <v>1</v>
      </c>
    </row>
    <row r="160" spans="1:6" hidden="1">
      <c r="A160" t="s">
        <v>3622</v>
      </c>
      <c r="B160">
        <v>209</v>
      </c>
      <c r="C160" t="s">
        <v>3620</v>
      </c>
      <c r="D160" t="s">
        <v>3621</v>
      </c>
      <c r="E160" t="s">
        <v>111</v>
      </c>
      <c r="F160">
        <f>SUMPRODUCT((LEN(E160)-LEN(SUBSTITUTE(E160,"/","")))) + 1</f>
        <v>1</v>
      </c>
    </row>
    <row r="161" spans="1:6" hidden="1">
      <c r="A161" t="s">
        <v>3625</v>
      </c>
      <c r="B161">
        <v>245</v>
      </c>
      <c r="C161" t="s">
        <v>3623</v>
      </c>
      <c r="D161" t="s">
        <v>3624</v>
      </c>
      <c r="E161" t="s">
        <v>74</v>
      </c>
      <c r="F161">
        <f>SUMPRODUCT((LEN(E161)-LEN(SUBSTITUTE(E161,"/","")))) + 1</f>
        <v>1</v>
      </c>
    </row>
    <row r="162" spans="1:6" hidden="1">
      <c r="A162" t="s">
        <v>3628</v>
      </c>
      <c r="B162">
        <v>449</v>
      </c>
      <c r="C162" t="s">
        <v>3626</v>
      </c>
      <c r="D162" t="s">
        <v>3627</v>
      </c>
      <c r="E162" t="s">
        <v>3563</v>
      </c>
      <c r="F162">
        <f>SUMPRODUCT((LEN(E162)-LEN(SUBSTITUTE(E162,"/","")))) + 1</f>
        <v>1</v>
      </c>
    </row>
    <row r="163" spans="1:6" hidden="1">
      <c r="A163" t="s">
        <v>3631</v>
      </c>
      <c r="B163">
        <v>424</v>
      </c>
      <c r="C163" t="s">
        <v>3629</v>
      </c>
      <c r="D163" t="s">
        <v>3630</v>
      </c>
      <c r="E163" t="s">
        <v>3179</v>
      </c>
      <c r="F163">
        <f>SUMPRODUCT((LEN(E163)-LEN(SUBSTITUTE(E163,"/","")))) + 1</f>
        <v>1</v>
      </c>
    </row>
    <row r="164" spans="1:6" hidden="1">
      <c r="A164" t="s">
        <v>3634</v>
      </c>
      <c r="B164">
        <v>222</v>
      </c>
      <c r="C164" t="s">
        <v>3632</v>
      </c>
      <c r="D164" t="s">
        <v>3633</v>
      </c>
      <c r="E164" t="s">
        <v>3635</v>
      </c>
      <c r="F164">
        <f>SUMPRODUCT((LEN(E164)-LEN(SUBSTITUTE(E164,"/","")))) + 1</f>
        <v>5</v>
      </c>
    </row>
    <row r="165" spans="1:6" hidden="1">
      <c r="A165" t="s">
        <v>3638</v>
      </c>
      <c r="B165">
        <v>616</v>
      </c>
      <c r="C165" t="s">
        <v>3636</v>
      </c>
      <c r="D165" t="s">
        <v>3637</v>
      </c>
      <c r="E165" t="s">
        <v>3639</v>
      </c>
      <c r="F165">
        <f>SUMPRODUCT((LEN(E165)-LEN(SUBSTITUTE(E165,"/","")))) + 1</f>
        <v>3</v>
      </c>
    </row>
    <row r="166" spans="1:6" hidden="1">
      <c r="A166" t="s">
        <v>3642</v>
      </c>
      <c r="B166">
        <v>483</v>
      </c>
      <c r="C166" t="s">
        <v>3640</v>
      </c>
      <c r="D166" t="s">
        <v>3641</v>
      </c>
      <c r="E166" t="s">
        <v>3643</v>
      </c>
      <c r="F166">
        <f>SUMPRODUCT((LEN(E166)-LEN(SUBSTITUTE(E166,"/","")))) + 1</f>
        <v>2</v>
      </c>
    </row>
    <row r="167" spans="1:6" hidden="1">
      <c r="A167" t="s">
        <v>3646</v>
      </c>
      <c r="B167">
        <v>259</v>
      </c>
      <c r="C167" t="s">
        <v>3644</v>
      </c>
      <c r="D167" t="s">
        <v>3645</v>
      </c>
      <c r="E167" t="s">
        <v>1524</v>
      </c>
      <c r="F167">
        <f>SUMPRODUCT((LEN(E167)-LEN(SUBSTITUTE(E167,"/","")))) + 1</f>
        <v>1</v>
      </c>
    </row>
    <row r="168" spans="1:6" hidden="1">
      <c r="A168" t="s">
        <v>3649</v>
      </c>
      <c r="B168">
        <v>808</v>
      </c>
      <c r="C168" t="s">
        <v>3647</v>
      </c>
      <c r="D168" t="s">
        <v>3648</v>
      </c>
      <c r="E168" t="s">
        <v>3172</v>
      </c>
      <c r="F168">
        <f>SUMPRODUCT((LEN(E168)-LEN(SUBSTITUTE(E168,"/","")))) + 1</f>
        <v>1</v>
      </c>
    </row>
    <row r="169" spans="1:6" hidden="1">
      <c r="A169" t="s">
        <v>3652</v>
      </c>
      <c r="B169">
        <v>31</v>
      </c>
      <c r="C169" t="s">
        <v>3650</v>
      </c>
      <c r="D169" t="s">
        <v>3651</v>
      </c>
      <c r="E169" t="s">
        <v>3653</v>
      </c>
      <c r="F169">
        <f>SUMPRODUCT((LEN(E169)-LEN(SUBSTITUTE(E169,"/","")))) + 1</f>
        <v>2</v>
      </c>
    </row>
    <row r="170" spans="1:6" hidden="1">
      <c r="A170" t="s">
        <v>3656</v>
      </c>
      <c r="B170">
        <v>766</v>
      </c>
      <c r="C170" t="s">
        <v>3654</v>
      </c>
      <c r="D170" t="s">
        <v>3655</v>
      </c>
      <c r="E170" t="s">
        <v>3298</v>
      </c>
      <c r="F170">
        <f>SUMPRODUCT((LEN(E170)-LEN(SUBSTITUTE(E170,"/","")))) + 1</f>
        <v>1</v>
      </c>
    </row>
    <row r="171" spans="1:6" hidden="1">
      <c r="A171" t="s">
        <v>3659</v>
      </c>
      <c r="B171">
        <v>431</v>
      </c>
      <c r="C171" t="s">
        <v>3657</v>
      </c>
      <c r="D171" t="s">
        <v>3658</v>
      </c>
      <c r="E171" t="s">
        <v>3309</v>
      </c>
      <c r="F171">
        <f>SUMPRODUCT((LEN(E171)-LEN(SUBSTITUTE(E171,"/","")))) + 1</f>
        <v>1</v>
      </c>
    </row>
    <row r="172" spans="1:6" hidden="1">
      <c r="A172" t="s">
        <v>3662</v>
      </c>
      <c r="B172">
        <v>267</v>
      </c>
      <c r="C172" t="s">
        <v>3660</v>
      </c>
      <c r="D172" t="s">
        <v>3661</v>
      </c>
      <c r="E172" t="s">
        <v>3263</v>
      </c>
      <c r="F172">
        <f>SUMPRODUCT((LEN(E172)-LEN(SUBSTITUTE(E172,"/","")))) + 1</f>
        <v>1</v>
      </c>
    </row>
    <row r="173" spans="1:6" hidden="1">
      <c r="A173" t="s">
        <v>3665</v>
      </c>
      <c r="B173">
        <v>484</v>
      </c>
      <c r="C173" t="s">
        <v>3663</v>
      </c>
      <c r="D173" t="s">
        <v>3664</v>
      </c>
      <c r="E173" t="s">
        <v>3666</v>
      </c>
      <c r="F173">
        <f>SUMPRODUCT((LEN(E173)-LEN(SUBSTITUTE(E173,"/","")))) + 1</f>
        <v>2</v>
      </c>
    </row>
    <row r="174" spans="1:6" hidden="1">
      <c r="A174" t="s">
        <v>3669</v>
      </c>
      <c r="B174">
        <v>680</v>
      </c>
      <c r="C174" t="s">
        <v>3667</v>
      </c>
      <c r="D174" t="s">
        <v>3668</v>
      </c>
      <c r="E174" t="s">
        <v>1532</v>
      </c>
      <c r="F174">
        <f>SUMPRODUCT((LEN(E174)-LEN(SUBSTITUTE(E174,"/","")))) + 1</f>
        <v>1</v>
      </c>
    </row>
    <row r="175" spans="1:6" hidden="1">
      <c r="A175" t="s">
        <v>3672</v>
      </c>
      <c r="B175">
        <v>451</v>
      </c>
      <c r="C175" t="s">
        <v>3670</v>
      </c>
      <c r="D175" t="s">
        <v>3671</v>
      </c>
      <c r="E175" t="s">
        <v>213</v>
      </c>
      <c r="F175">
        <f>SUMPRODUCT((LEN(E175)-LEN(SUBSTITUTE(E175,"/","")))) + 1</f>
        <v>1</v>
      </c>
    </row>
    <row r="176" spans="1:6" hidden="1">
      <c r="A176" t="s">
        <v>3675</v>
      </c>
      <c r="B176">
        <v>378</v>
      </c>
      <c r="C176" t="s">
        <v>3673</v>
      </c>
      <c r="D176" t="s">
        <v>3674</v>
      </c>
      <c r="E176" t="s">
        <v>220</v>
      </c>
      <c r="F176">
        <f>SUMPRODUCT((LEN(E176)-LEN(SUBSTITUTE(E176,"/","")))) + 1</f>
        <v>1</v>
      </c>
    </row>
    <row r="177" spans="1:6" hidden="1">
      <c r="A177" t="s">
        <v>3678</v>
      </c>
      <c r="B177">
        <v>776</v>
      </c>
      <c r="C177" t="s">
        <v>3676</v>
      </c>
      <c r="D177" t="s">
        <v>3677</v>
      </c>
      <c r="E177" t="s">
        <v>1524</v>
      </c>
      <c r="F177">
        <f>SUMPRODUCT((LEN(E177)-LEN(SUBSTITUTE(E177,"/","")))) + 1</f>
        <v>1</v>
      </c>
    </row>
    <row r="178" spans="1:6" hidden="1">
      <c r="A178" t="s">
        <v>3681</v>
      </c>
      <c r="B178">
        <v>58</v>
      </c>
      <c r="C178" t="s">
        <v>3679</v>
      </c>
      <c r="D178" t="s">
        <v>3680</v>
      </c>
      <c r="E178" t="s">
        <v>196</v>
      </c>
      <c r="F178">
        <f>SUMPRODUCT((LEN(E178)-LEN(SUBSTITUTE(E178,"/","")))) + 1</f>
        <v>1</v>
      </c>
    </row>
    <row r="179" spans="1:6" hidden="1">
      <c r="A179" t="s">
        <v>3684</v>
      </c>
      <c r="B179">
        <v>545</v>
      </c>
      <c r="C179" t="s">
        <v>3682</v>
      </c>
      <c r="D179" t="s">
        <v>3683</v>
      </c>
      <c r="E179" t="s">
        <v>3563</v>
      </c>
      <c r="F179">
        <f>SUMPRODUCT((LEN(E179)-LEN(SUBSTITUTE(E179,"/","")))) + 1</f>
        <v>1</v>
      </c>
    </row>
    <row r="180" spans="1:6" hidden="1">
      <c r="A180" t="s">
        <v>3687</v>
      </c>
      <c r="B180">
        <v>754</v>
      </c>
      <c r="C180" t="s">
        <v>3685</v>
      </c>
      <c r="D180" t="s">
        <v>3686</v>
      </c>
      <c r="E180" t="s">
        <v>1532</v>
      </c>
      <c r="F180">
        <f>SUMPRODUCT((LEN(E180)-LEN(SUBSTITUTE(E180,"/","")))) + 1</f>
        <v>1</v>
      </c>
    </row>
    <row r="181" spans="1:6" hidden="1">
      <c r="A181" t="s">
        <v>3690</v>
      </c>
      <c r="B181">
        <v>765</v>
      </c>
      <c r="C181" t="s">
        <v>3688</v>
      </c>
      <c r="D181" t="s">
        <v>3689</v>
      </c>
      <c r="E181" t="s">
        <v>1532</v>
      </c>
      <c r="F181">
        <f>SUMPRODUCT((LEN(E181)-LEN(SUBSTITUTE(E181,"/","")))) + 1</f>
        <v>1</v>
      </c>
    </row>
    <row r="182" spans="1:6" hidden="1">
      <c r="A182" t="s">
        <v>3693</v>
      </c>
      <c r="B182">
        <v>532</v>
      </c>
      <c r="C182" t="s">
        <v>3691</v>
      </c>
      <c r="D182" t="s">
        <v>3692</v>
      </c>
      <c r="E182" t="s">
        <v>523</v>
      </c>
      <c r="F182">
        <f>SUMPRODUCT((LEN(E182)-LEN(SUBSTITUTE(E182,"/","")))) + 1</f>
        <v>1</v>
      </c>
    </row>
    <row r="183" spans="1:6" hidden="1">
      <c r="A183" t="s">
        <v>3696</v>
      </c>
      <c r="B183">
        <v>120</v>
      </c>
      <c r="C183" t="s">
        <v>3694</v>
      </c>
      <c r="D183" t="s">
        <v>3695</v>
      </c>
      <c r="E183" t="s">
        <v>213</v>
      </c>
      <c r="F183">
        <f>SUMPRODUCT((LEN(E183)-LEN(SUBSTITUTE(E183,"/","")))) + 1</f>
        <v>1</v>
      </c>
    </row>
    <row r="184" spans="1:6" hidden="1">
      <c r="A184" t="s">
        <v>3699</v>
      </c>
      <c r="B184">
        <v>842</v>
      </c>
      <c r="C184" t="s">
        <v>3697</v>
      </c>
      <c r="D184" t="s">
        <v>3698</v>
      </c>
      <c r="E184" t="s">
        <v>111</v>
      </c>
      <c r="F184">
        <f>SUMPRODUCT((LEN(E184)-LEN(SUBSTITUTE(E184,"/","")))) + 1</f>
        <v>1</v>
      </c>
    </row>
    <row r="185" spans="1:6" hidden="1">
      <c r="A185" t="s">
        <v>3702</v>
      </c>
      <c r="B185">
        <v>481</v>
      </c>
      <c r="C185" t="s">
        <v>3700</v>
      </c>
      <c r="D185" t="s">
        <v>3701</v>
      </c>
      <c r="E185" t="s">
        <v>3703</v>
      </c>
      <c r="F185">
        <f>SUMPRODUCT((LEN(E185)-LEN(SUBSTITUTE(E185,"/","")))) + 1</f>
        <v>2</v>
      </c>
    </row>
    <row r="186" spans="1:6" hidden="1">
      <c r="A186" t="s">
        <v>3706</v>
      </c>
      <c r="B186">
        <v>430</v>
      </c>
      <c r="C186" t="s">
        <v>3704</v>
      </c>
      <c r="D186" t="s">
        <v>3705</v>
      </c>
      <c r="E186" t="s">
        <v>3309</v>
      </c>
      <c r="F186">
        <f>SUMPRODUCT((LEN(E186)-LEN(SUBSTITUTE(E186,"/","")))) + 1</f>
        <v>1</v>
      </c>
    </row>
    <row r="187" spans="1:6" hidden="1">
      <c r="A187" t="s">
        <v>3709</v>
      </c>
      <c r="B187">
        <v>771</v>
      </c>
      <c r="C187" t="s">
        <v>3707</v>
      </c>
      <c r="D187" t="s">
        <v>3708</v>
      </c>
      <c r="E187" t="s">
        <v>3298</v>
      </c>
      <c r="F187">
        <f>SUMPRODUCT((LEN(E187)-LEN(SUBSTITUTE(E187,"/","")))) + 1</f>
        <v>1</v>
      </c>
    </row>
    <row r="188" spans="1:6" hidden="1">
      <c r="A188" t="s">
        <v>3712</v>
      </c>
      <c r="B188">
        <v>35</v>
      </c>
      <c r="C188" t="s">
        <v>3710</v>
      </c>
      <c r="D188" t="s">
        <v>3711</v>
      </c>
      <c r="E188" t="s">
        <v>195</v>
      </c>
      <c r="F188">
        <f>SUMPRODUCT((LEN(E188)-LEN(SUBSTITUTE(E188,"/","")))) + 1</f>
        <v>1</v>
      </c>
    </row>
    <row r="189" spans="1:6" hidden="1">
      <c r="A189" t="s">
        <v>3715</v>
      </c>
      <c r="B189">
        <v>536</v>
      </c>
      <c r="C189" t="s">
        <v>3713</v>
      </c>
      <c r="D189" t="s">
        <v>3714</v>
      </c>
      <c r="E189" t="s">
        <v>317</v>
      </c>
      <c r="F189">
        <f>SUMPRODUCT((LEN(E189)-LEN(SUBSTITUTE(E189,"/","")))) + 1</f>
        <v>1</v>
      </c>
    </row>
    <row r="190" spans="1:6" hidden="1">
      <c r="A190" t="s">
        <v>3718</v>
      </c>
      <c r="B190">
        <v>909</v>
      </c>
      <c r="C190" t="s">
        <v>3716</v>
      </c>
      <c r="D190" t="s">
        <v>3717</v>
      </c>
      <c r="E190" t="s">
        <v>3309</v>
      </c>
      <c r="F190">
        <f>SUMPRODUCT((LEN(E190)-LEN(SUBSTITUTE(E190,"/","")))) + 1</f>
        <v>1</v>
      </c>
    </row>
    <row r="191" spans="1:6" hidden="1">
      <c r="A191" t="s">
        <v>3721</v>
      </c>
      <c r="B191">
        <v>631</v>
      </c>
      <c r="C191" t="s">
        <v>3719</v>
      </c>
      <c r="D191" t="s">
        <v>3720</v>
      </c>
      <c r="E191" t="s">
        <v>143</v>
      </c>
      <c r="F191">
        <f>SUMPRODUCT((LEN(E191)-LEN(SUBSTITUTE(E191,"/","")))) + 1</f>
        <v>1</v>
      </c>
    </row>
    <row r="192" spans="1:6" hidden="1">
      <c r="A192" t="s">
        <v>3724</v>
      </c>
      <c r="B192">
        <v>770</v>
      </c>
      <c r="C192" t="s">
        <v>3722</v>
      </c>
      <c r="D192" t="s">
        <v>3723</v>
      </c>
      <c r="E192" t="s">
        <v>3172</v>
      </c>
      <c r="F192">
        <f>SUMPRODUCT((LEN(E192)-LEN(SUBSTITUTE(E192,"/","")))) + 1</f>
        <v>1</v>
      </c>
    </row>
    <row r="193" spans="1:6" hidden="1">
      <c r="A193" t="s">
        <v>3727</v>
      </c>
      <c r="B193">
        <v>830</v>
      </c>
      <c r="C193" t="s">
        <v>3725</v>
      </c>
      <c r="D193" t="s">
        <v>3726</v>
      </c>
      <c r="E193" t="s">
        <v>116</v>
      </c>
      <c r="F193">
        <f>SUMPRODUCT((LEN(E193)-LEN(SUBSTITUTE(E193,"/","")))) + 1</f>
        <v>1</v>
      </c>
    </row>
    <row r="194" spans="1:6" hidden="1">
      <c r="A194" t="s">
        <v>3730</v>
      </c>
      <c r="B194">
        <v>739</v>
      </c>
      <c r="C194" t="s">
        <v>3728</v>
      </c>
      <c r="D194" t="s">
        <v>3729</v>
      </c>
      <c r="E194" t="s">
        <v>1538</v>
      </c>
      <c r="F194">
        <f>SUMPRODUCT((LEN(E194)-LEN(SUBSTITUTE(E194,"/","")))) + 1</f>
        <v>1</v>
      </c>
    </row>
    <row r="195" spans="1:6" hidden="1">
      <c r="A195" t="s">
        <v>3733</v>
      </c>
      <c r="B195">
        <v>377</v>
      </c>
      <c r="C195" t="s">
        <v>3731</v>
      </c>
      <c r="D195" t="s">
        <v>3732</v>
      </c>
      <c r="E195" t="s">
        <v>220</v>
      </c>
      <c r="F195">
        <f>SUMPRODUCT((LEN(E195)-LEN(SUBSTITUTE(E195,"/","")))) + 1</f>
        <v>1</v>
      </c>
    </row>
    <row r="196" spans="1:6" hidden="1">
      <c r="A196" t="s">
        <v>3736</v>
      </c>
      <c r="B196">
        <v>145</v>
      </c>
      <c r="C196" t="s">
        <v>3734</v>
      </c>
      <c r="D196" t="s">
        <v>3735</v>
      </c>
      <c r="E196" t="s">
        <v>3737</v>
      </c>
      <c r="F196">
        <f>SUMPRODUCT((LEN(E196)-LEN(SUBSTITUTE(E196,"/","")))) + 1</f>
        <v>1</v>
      </c>
    </row>
    <row r="197" spans="1:6" hidden="1">
      <c r="A197" t="s">
        <v>3740</v>
      </c>
      <c r="B197">
        <v>2</v>
      </c>
      <c r="C197" t="s">
        <v>3738</v>
      </c>
      <c r="D197" t="s">
        <v>3739</v>
      </c>
      <c r="E197" t="s">
        <v>3741</v>
      </c>
      <c r="F197">
        <f>SUMPRODUCT((LEN(E197)-LEN(SUBSTITUTE(E197,"/","")))) + 1</f>
        <v>3</v>
      </c>
    </row>
    <row r="198" spans="1:6" hidden="1">
      <c r="A198" t="s">
        <v>3744</v>
      </c>
      <c r="B198">
        <v>486</v>
      </c>
      <c r="C198" t="s">
        <v>3742</v>
      </c>
      <c r="D198" t="s">
        <v>3743</v>
      </c>
      <c r="E198" t="s">
        <v>3745</v>
      </c>
      <c r="F198">
        <f>SUMPRODUCT((LEN(E198)-LEN(SUBSTITUTE(E198,"/","")))) + 1</f>
        <v>3</v>
      </c>
    </row>
    <row r="199" spans="1:6" hidden="1">
      <c r="A199" t="s">
        <v>3748</v>
      </c>
      <c r="B199">
        <v>278</v>
      </c>
      <c r="C199" t="s">
        <v>3746</v>
      </c>
      <c r="D199" t="s">
        <v>3747</v>
      </c>
      <c r="E199" t="s">
        <v>3172</v>
      </c>
      <c r="F199">
        <f>SUMPRODUCT((LEN(E199)-LEN(SUBSTITUTE(E199,"/","")))) + 1</f>
        <v>1</v>
      </c>
    </row>
    <row r="200" spans="1:6" hidden="1">
      <c r="A200" t="s">
        <v>3751</v>
      </c>
      <c r="B200">
        <v>223</v>
      </c>
      <c r="C200" t="s">
        <v>3749</v>
      </c>
      <c r="D200" t="s">
        <v>3750</v>
      </c>
      <c r="E200" t="s">
        <v>110</v>
      </c>
      <c r="F200">
        <f>SUMPRODUCT((LEN(E200)-LEN(SUBSTITUTE(E200,"/","")))) + 1</f>
        <v>1</v>
      </c>
    </row>
    <row r="201" spans="1:6" hidden="1">
      <c r="A201" t="s">
        <v>3754</v>
      </c>
      <c r="B201">
        <v>392</v>
      </c>
      <c r="C201" t="s">
        <v>3752</v>
      </c>
      <c r="D201" t="s">
        <v>3753</v>
      </c>
      <c r="E201" t="s">
        <v>1538</v>
      </c>
      <c r="F201">
        <f>SUMPRODUCT((LEN(E201)-LEN(SUBSTITUTE(E201,"/","")))) + 1</f>
        <v>1</v>
      </c>
    </row>
    <row r="202" spans="1:6" hidden="1">
      <c r="A202" t="s">
        <v>3757</v>
      </c>
      <c r="B202">
        <v>881</v>
      </c>
      <c r="C202" t="s">
        <v>3755</v>
      </c>
      <c r="D202" t="s">
        <v>3756</v>
      </c>
      <c r="E202" t="s">
        <v>74</v>
      </c>
      <c r="F202">
        <f>SUMPRODUCT((LEN(E202)-LEN(SUBSTITUTE(E202,"/","")))) + 1</f>
        <v>1</v>
      </c>
    </row>
    <row r="203" spans="1:6" hidden="1">
      <c r="A203" t="s">
        <v>3760</v>
      </c>
      <c r="B203">
        <v>133</v>
      </c>
      <c r="C203" t="s">
        <v>3758</v>
      </c>
      <c r="D203" t="s">
        <v>3759</v>
      </c>
      <c r="E203" t="s">
        <v>110</v>
      </c>
      <c r="F203">
        <f>SUMPRODUCT((LEN(E203)-LEN(SUBSTITUTE(E203,"/","")))) + 1</f>
        <v>1</v>
      </c>
    </row>
    <row r="204" spans="1:6" hidden="1">
      <c r="A204" t="s">
        <v>3763</v>
      </c>
      <c r="B204">
        <v>399</v>
      </c>
      <c r="C204" t="s">
        <v>3761</v>
      </c>
      <c r="D204" t="s">
        <v>3762</v>
      </c>
      <c r="E204" t="s">
        <v>3172</v>
      </c>
      <c r="F204">
        <f>SUMPRODUCT((LEN(E204)-LEN(SUBSTITUTE(E204,"/","")))) + 1</f>
        <v>1</v>
      </c>
    </row>
    <row r="205" spans="1:6" hidden="1">
      <c r="A205" t="s">
        <v>3766</v>
      </c>
      <c r="B205">
        <v>59</v>
      </c>
      <c r="C205" t="s">
        <v>3764</v>
      </c>
      <c r="D205" t="s">
        <v>3765</v>
      </c>
      <c r="E205" t="s">
        <v>196</v>
      </c>
      <c r="F205">
        <f>SUMPRODUCT((LEN(E205)-LEN(SUBSTITUTE(E205,"/","")))) + 1</f>
        <v>1</v>
      </c>
    </row>
    <row r="206" spans="1:6" hidden="1">
      <c r="A206" t="s">
        <v>3769</v>
      </c>
      <c r="B206">
        <v>330</v>
      </c>
      <c r="C206" t="s">
        <v>3767</v>
      </c>
      <c r="D206" t="s">
        <v>3768</v>
      </c>
      <c r="E206" t="s">
        <v>213</v>
      </c>
      <c r="F206">
        <f>SUMPRODUCT((LEN(E206)-LEN(SUBSTITUTE(E206,"/","")))) + 1</f>
        <v>1</v>
      </c>
    </row>
    <row r="207" spans="1:6" hidden="1">
      <c r="A207" t="s">
        <v>3772</v>
      </c>
      <c r="B207">
        <v>55</v>
      </c>
      <c r="C207" t="s">
        <v>3770</v>
      </c>
      <c r="D207" t="s">
        <v>3771</v>
      </c>
      <c r="E207" t="s">
        <v>3563</v>
      </c>
      <c r="F207">
        <f>SUMPRODUCT((LEN(E207)-LEN(SUBSTITUTE(E207,"/","")))) + 1</f>
        <v>1</v>
      </c>
    </row>
    <row r="208" spans="1:6" hidden="1">
      <c r="A208" t="s">
        <v>3775</v>
      </c>
      <c r="B208">
        <v>57</v>
      </c>
      <c r="C208" t="s">
        <v>3773</v>
      </c>
      <c r="D208" t="s">
        <v>3774</v>
      </c>
      <c r="E208" t="s">
        <v>3563</v>
      </c>
      <c r="F208">
        <f>SUMPRODUCT((LEN(E208)-LEN(SUBSTITUTE(E208,"/","")))) + 1</f>
        <v>1</v>
      </c>
    </row>
    <row r="209" spans="1:6" hidden="1">
      <c r="A209" t="s">
        <v>3778</v>
      </c>
      <c r="B209">
        <v>226</v>
      </c>
      <c r="C209" t="s">
        <v>3776</v>
      </c>
      <c r="D209" t="s">
        <v>3777</v>
      </c>
      <c r="E209" t="s">
        <v>248</v>
      </c>
      <c r="F209">
        <f>SUMPRODUCT((LEN(E209)-LEN(SUBSTITUTE(E209,"/","")))) + 1</f>
        <v>1</v>
      </c>
    </row>
    <row r="210" spans="1:6" hidden="1">
      <c r="A210" t="s">
        <v>3781</v>
      </c>
      <c r="B210">
        <v>769</v>
      </c>
      <c r="C210" t="s">
        <v>3779</v>
      </c>
      <c r="D210" t="s">
        <v>3780</v>
      </c>
      <c r="E210" t="s">
        <v>3298</v>
      </c>
      <c r="F210">
        <f>SUMPRODUCT((LEN(E210)-LEN(SUBSTITUTE(E210,"/","")))) + 1</f>
        <v>1</v>
      </c>
    </row>
    <row r="211" spans="1:6" hidden="1">
      <c r="A211" t="s">
        <v>3784</v>
      </c>
      <c r="B211">
        <v>757</v>
      </c>
      <c r="C211" t="s">
        <v>3782</v>
      </c>
      <c r="D211" t="s">
        <v>3783</v>
      </c>
      <c r="E211" t="s">
        <v>1525</v>
      </c>
      <c r="F211">
        <f>SUMPRODUCT((LEN(E211)-LEN(SUBSTITUTE(E211,"/","")))) + 1</f>
        <v>1</v>
      </c>
    </row>
    <row r="212" spans="1:6" hidden="1">
      <c r="A212" t="s">
        <v>3787</v>
      </c>
      <c r="B212">
        <v>311</v>
      </c>
      <c r="C212" t="s">
        <v>3785</v>
      </c>
      <c r="D212" t="s">
        <v>3786</v>
      </c>
      <c r="E212" t="s">
        <v>116</v>
      </c>
      <c r="F212">
        <f>SUMPRODUCT((LEN(E212)-LEN(SUBSTITUTE(E212,"/","")))) + 1</f>
        <v>1</v>
      </c>
    </row>
    <row r="213" spans="1:6" hidden="1">
      <c r="A213" t="s">
        <v>3790</v>
      </c>
      <c r="B213">
        <v>104</v>
      </c>
      <c r="C213" t="s">
        <v>3788</v>
      </c>
      <c r="D213" t="s">
        <v>3789</v>
      </c>
      <c r="E213" t="s">
        <v>116</v>
      </c>
      <c r="F213">
        <f>SUMPRODUCT((LEN(E213)-LEN(SUBSTITUTE(E213,"/","")))) + 1</f>
        <v>1</v>
      </c>
    </row>
    <row r="214" spans="1:6" hidden="1">
      <c r="A214" t="s">
        <v>3793</v>
      </c>
      <c r="B214">
        <v>234</v>
      </c>
      <c r="C214" t="s">
        <v>3791</v>
      </c>
      <c r="D214" t="s">
        <v>3792</v>
      </c>
      <c r="E214" t="s">
        <v>3563</v>
      </c>
      <c r="F214">
        <f>SUMPRODUCT((LEN(E214)-LEN(SUBSTITUTE(E214,"/","")))) + 1</f>
        <v>1</v>
      </c>
    </row>
    <row r="215" spans="1:6" hidden="1">
      <c r="A215" t="s">
        <v>3796</v>
      </c>
      <c r="B215">
        <v>619</v>
      </c>
      <c r="C215" t="s">
        <v>3794</v>
      </c>
      <c r="D215" t="s">
        <v>3795</v>
      </c>
      <c r="E215" t="s">
        <v>3797</v>
      </c>
      <c r="F215">
        <f>SUMPRODUCT((LEN(E215)-LEN(SUBSTITUTE(E215,"/","")))) + 1</f>
        <v>2</v>
      </c>
    </row>
    <row r="216" spans="1:6" hidden="1">
      <c r="A216" t="s">
        <v>3800</v>
      </c>
      <c r="B216">
        <v>695</v>
      </c>
      <c r="C216" t="s">
        <v>3798</v>
      </c>
      <c r="D216" t="s">
        <v>3799</v>
      </c>
      <c r="E216" t="s">
        <v>3737</v>
      </c>
      <c r="F216">
        <f>SUMPRODUCT((LEN(E216)-LEN(SUBSTITUTE(E216,"/","")))) + 1</f>
        <v>1</v>
      </c>
    </row>
    <row r="217" spans="1:6" hidden="1">
      <c r="A217" t="s">
        <v>3803</v>
      </c>
      <c r="B217">
        <v>694</v>
      </c>
      <c r="C217" t="s">
        <v>3801</v>
      </c>
      <c r="D217" t="s">
        <v>3802</v>
      </c>
      <c r="E217" t="s">
        <v>1538</v>
      </c>
      <c r="F217">
        <f>SUMPRODUCT((LEN(E217)-LEN(SUBSTITUTE(E217,"/","")))) + 1</f>
        <v>1</v>
      </c>
    </row>
    <row r="218" spans="1:6" hidden="1">
      <c r="A218" t="s">
        <v>3806</v>
      </c>
      <c r="B218">
        <v>157</v>
      </c>
      <c r="C218" t="s">
        <v>3804</v>
      </c>
      <c r="D218" t="s">
        <v>3805</v>
      </c>
      <c r="E218" t="s">
        <v>220</v>
      </c>
      <c r="F218">
        <f>SUMPRODUCT((LEN(E218)-LEN(SUBSTITUTE(E218,"/","")))) + 1</f>
        <v>1</v>
      </c>
    </row>
    <row r="219" spans="1:6" hidden="1">
      <c r="A219" t="s">
        <v>3809</v>
      </c>
      <c r="B219">
        <v>450</v>
      </c>
      <c r="C219" t="s">
        <v>3807</v>
      </c>
      <c r="D219" t="s">
        <v>3808</v>
      </c>
      <c r="E219" t="s">
        <v>220</v>
      </c>
      <c r="F219">
        <f>SUMPRODUCT((LEN(E219)-LEN(SUBSTITUTE(E219,"/","")))) + 1</f>
        <v>1</v>
      </c>
    </row>
    <row r="220" spans="1:6" hidden="1">
      <c r="A220" t="s">
        <v>3812</v>
      </c>
      <c r="B220">
        <v>382</v>
      </c>
      <c r="C220" t="s">
        <v>3810</v>
      </c>
      <c r="D220" t="s">
        <v>3811</v>
      </c>
      <c r="E220" t="s">
        <v>220</v>
      </c>
      <c r="F220">
        <f>SUMPRODUCT((LEN(E220)-LEN(SUBSTITUTE(E220,"/","")))) + 1</f>
        <v>1</v>
      </c>
    </row>
    <row r="221" spans="1:6" hidden="1">
      <c r="A221" t="s">
        <v>3815</v>
      </c>
      <c r="B221">
        <v>381</v>
      </c>
      <c r="C221" t="s">
        <v>3813</v>
      </c>
      <c r="D221" t="s">
        <v>3814</v>
      </c>
      <c r="E221" t="s">
        <v>220</v>
      </c>
      <c r="F221">
        <f>SUMPRODUCT((LEN(E221)-LEN(SUBSTITUTE(E221,"/","")))) + 1</f>
        <v>1</v>
      </c>
    </row>
    <row r="222" spans="1:6" hidden="1">
      <c r="A222" t="s">
        <v>3818</v>
      </c>
      <c r="B222">
        <v>882</v>
      </c>
      <c r="C222" t="s">
        <v>3816</v>
      </c>
      <c r="D222" t="s">
        <v>3817</v>
      </c>
      <c r="E222" t="s">
        <v>74</v>
      </c>
      <c r="F222">
        <f>SUMPRODUCT((LEN(E222)-LEN(SUBSTITUTE(E222,"/","")))) + 1</f>
        <v>1</v>
      </c>
    </row>
    <row r="223" spans="1:6" hidden="1">
      <c r="A223" t="s">
        <v>3821</v>
      </c>
      <c r="B223">
        <v>856</v>
      </c>
      <c r="C223" t="s">
        <v>3819</v>
      </c>
      <c r="D223" t="s">
        <v>3820</v>
      </c>
      <c r="E223" t="s">
        <v>71</v>
      </c>
      <c r="F223">
        <f>SUMPRODUCT((LEN(E223)-LEN(SUBSTITUTE(E223,"/","")))) + 1</f>
        <v>1</v>
      </c>
    </row>
    <row r="224" spans="1:6" hidden="1">
      <c r="A224" t="s">
        <v>3824</v>
      </c>
      <c r="B224">
        <v>775</v>
      </c>
      <c r="C224" t="s">
        <v>3822</v>
      </c>
      <c r="D224" t="s">
        <v>3823</v>
      </c>
      <c r="E224" t="s">
        <v>3563</v>
      </c>
      <c r="F224">
        <f>SUMPRODUCT((LEN(E224)-LEN(SUBSTITUTE(E224,"/","")))) + 1</f>
        <v>1</v>
      </c>
    </row>
    <row r="225" spans="1:6" hidden="1">
      <c r="A225" t="s">
        <v>3827</v>
      </c>
      <c r="B225">
        <v>239</v>
      </c>
      <c r="C225" t="s">
        <v>3825</v>
      </c>
      <c r="D225" t="s">
        <v>3826</v>
      </c>
      <c r="E225" t="s">
        <v>3737</v>
      </c>
      <c r="F225">
        <f>SUMPRODUCT((LEN(E225)-LEN(SUBSTITUTE(E225,"/","")))) + 1</f>
        <v>1</v>
      </c>
    </row>
    <row r="226" spans="1:6" hidden="1">
      <c r="A226" t="s">
        <v>3830</v>
      </c>
      <c r="B226">
        <v>26</v>
      </c>
      <c r="C226" t="s">
        <v>3828</v>
      </c>
      <c r="D226" t="s">
        <v>3829</v>
      </c>
      <c r="E226" t="s">
        <v>213</v>
      </c>
      <c r="F226">
        <f>SUMPRODUCT((LEN(E226)-LEN(SUBSTITUTE(E226,"/","")))) + 1</f>
        <v>1</v>
      </c>
    </row>
    <row r="227" spans="1:6" hidden="1">
      <c r="A227" t="s">
        <v>3833</v>
      </c>
      <c r="B227">
        <v>871</v>
      </c>
      <c r="C227" t="s">
        <v>3831</v>
      </c>
      <c r="D227" t="s">
        <v>3832</v>
      </c>
      <c r="E227" t="s">
        <v>3382</v>
      </c>
      <c r="F227">
        <f>SUMPRODUCT((LEN(E227)-LEN(SUBSTITUTE(E227,"/","")))) + 1</f>
        <v>1</v>
      </c>
    </row>
    <row r="228" spans="1:6" hidden="1">
      <c r="A228" t="s">
        <v>3836</v>
      </c>
      <c r="B228">
        <v>363</v>
      </c>
      <c r="C228" t="s">
        <v>3834</v>
      </c>
      <c r="D228" t="s">
        <v>3835</v>
      </c>
      <c r="E228" t="s">
        <v>3837</v>
      </c>
      <c r="F228">
        <f>SUMPRODUCT((LEN(E228)-LEN(SUBSTITUTE(E228,"/","")))) + 1</f>
        <v>2</v>
      </c>
    </row>
    <row r="229" spans="1:6" hidden="1">
      <c r="A229" t="s">
        <v>3840</v>
      </c>
      <c r="B229">
        <v>626</v>
      </c>
      <c r="C229" t="s">
        <v>3838</v>
      </c>
      <c r="D229" t="s">
        <v>3839</v>
      </c>
      <c r="E229" t="s">
        <v>519</v>
      </c>
      <c r="F229">
        <f>SUMPRODUCT((LEN(E229)-LEN(SUBSTITUTE(E229,"/","")))) + 1</f>
        <v>1</v>
      </c>
    </row>
    <row r="230" spans="1:6" hidden="1">
      <c r="A230" t="s">
        <v>3843</v>
      </c>
      <c r="B230">
        <v>563</v>
      </c>
      <c r="C230" t="s">
        <v>3841</v>
      </c>
      <c r="D230" t="s">
        <v>3842</v>
      </c>
      <c r="E230" t="s">
        <v>143</v>
      </c>
      <c r="F230">
        <f>SUMPRODUCT((LEN(E230)-LEN(SUBSTITUTE(E230,"/","")))) + 1</f>
        <v>1</v>
      </c>
    </row>
    <row r="231" spans="1:6" hidden="1">
      <c r="A231" t="s">
        <v>3846</v>
      </c>
      <c r="B231">
        <v>478</v>
      </c>
      <c r="C231" t="s">
        <v>3844</v>
      </c>
      <c r="D231" t="s">
        <v>3845</v>
      </c>
      <c r="E231" t="s">
        <v>3847</v>
      </c>
      <c r="F231">
        <f>SUMPRODUCT((LEN(E231)-LEN(SUBSTITUTE(E231,"/","")))) + 1</f>
        <v>3</v>
      </c>
    </row>
    <row r="232" spans="1:6" hidden="1">
      <c r="A232" t="s">
        <v>3850</v>
      </c>
      <c r="B232">
        <v>850</v>
      </c>
      <c r="C232" t="s">
        <v>3848</v>
      </c>
      <c r="D232" t="s">
        <v>3849</v>
      </c>
      <c r="E232" t="s">
        <v>198</v>
      </c>
      <c r="F232">
        <f>SUMPRODUCT((LEN(E232)-LEN(SUBSTITUTE(E232,"/","")))) + 1</f>
        <v>1</v>
      </c>
    </row>
    <row r="233" spans="1:6" hidden="1">
      <c r="A233" t="s">
        <v>3853</v>
      </c>
      <c r="B233">
        <v>728</v>
      </c>
      <c r="C233" t="s">
        <v>3851</v>
      </c>
      <c r="D233" t="s">
        <v>3852</v>
      </c>
      <c r="E233" t="s">
        <v>3241</v>
      </c>
      <c r="F233">
        <f>SUMPRODUCT((LEN(E233)-LEN(SUBSTITUTE(E233,"/","")))) + 1</f>
        <v>1</v>
      </c>
    </row>
    <row r="234" spans="1:6" hidden="1">
      <c r="A234" t="s">
        <v>3856</v>
      </c>
      <c r="B234">
        <v>698</v>
      </c>
      <c r="C234" t="s">
        <v>3854</v>
      </c>
      <c r="D234" t="s">
        <v>3855</v>
      </c>
      <c r="E234" t="s">
        <v>521</v>
      </c>
      <c r="F234">
        <f>SUMPRODUCT((LEN(E234)-LEN(SUBSTITUTE(E234,"/","")))) + 1</f>
        <v>1</v>
      </c>
    </row>
    <row r="235" spans="1:6" hidden="1">
      <c r="A235" t="s">
        <v>3859</v>
      </c>
      <c r="B235">
        <v>647</v>
      </c>
      <c r="C235" t="s">
        <v>3857</v>
      </c>
      <c r="D235" t="s">
        <v>3858</v>
      </c>
      <c r="E235" t="s">
        <v>143</v>
      </c>
      <c r="F235">
        <f>SUMPRODUCT((LEN(E235)-LEN(SUBSTITUTE(E235,"/","")))) + 1</f>
        <v>1</v>
      </c>
    </row>
    <row r="236" spans="1:6" hidden="1">
      <c r="A236" t="s">
        <v>3862</v>
      </c>
      <c r="B236">
        <v>331</v>
      </c>
      <c r="C236" t="s">
        <v>3860</v>
      </c>
      <c r="D236" t="s">
        <v>3861</v>
      </c>
      <c r="E236" t="s">
        <v>198</v>
      </c>
      <c r="F236">
        <f>SUMPRODUCT((LEN(E236)-LEN(SUBSTITUTE(E236,"/","")))) + 1</f>
        <v>1</v>
      </c>
    </row>
    <row r="237" spans="1:6" hidden="1">
      <c r="A237" t="s">
        <v>3865</v>
      </c>
      <c r="B237">
        <v>627</v>
      </c>
      <c r="C237" t="s">
        <v>3863</v>
      </c>
      <c r="D237" t="s">
        <v>3864</v>
      </c>
      <c r="E237" t="s">
        <v>521</v>
      </c>
      <c r="F237">
        <f>SUMPRODUCT((LEN(E237)-LEN(SUBSTITUTE(E237,"/","")))) + 1</f>
        <v>1</v>
      </c>
    </row>
    <row r="238" spans="1:6" hidden="1">
      <c r="A238" t="s">
        <v>3868</v>
      </c>
      <c r="B238">
        <v>537</v>
      </c>
      <c r="C238" t="s">
        <v>3866</v>
      </c>
      <c r="D238" t="s">
        <v>3867</v>
      </c>
      <c r="E238" t="s">
        <v>317</v>
      </c>
      <c r="F238">
        <f>SUMPRODUCT((LEN(E238)-LEN(SUBSTITUTE(E238,"/","")))) + 1</f>
        <v>1</v>
      </c>
    </row>
    <row r="239" spans="1:6" hidden="1">
      <c r="A239" t="s">
        <v>3871</v>
      </c>
      <c r="B239">
        <v>669</v>
      </c>
      <c r="C239" t="s">
        <v>3869</v>
      </c>
      <c r="D239" t="s">
        <v>3870</v>
      </c>
      <c r="E239" t="s">
        <v>3241</v>
      </c>
      <c r="F239">
        <f>SUMPRODUCT((LEN(E239)-LEN(SUBSTITUTE(E239,"/","")))) + 1</f>
        <v>1</v>
      </c>
    </row>
    <row r="240" spans="1:6" hidden="1">
      <c r="A240" t="s">
        <v>3874</v>
      </c>
      <c r="B240">
        <v>445</v>
      </c>
      <c r="C240" t="s">
        <v>3872</v>
      </c>
      <c r="D240" t="s">
        <v>3873</v>
      </c>
      <c r="E240" t="s">
        <v>3263</v>
      </c>
      <c r="F240">
        <f>SUMPRODUCT((LEN(E240)-LEN(SUBSTITUTE(E240,"/","")))) + 1</f>
        <v>1</v>
      </c>
    </row>
    <row r="241" spans="1:6" hidden="1">
      <c r="A241" t="s">
        <v>3877</v>
      </c>
      <c r="B241">
        <v>390</v>
      </c>
      <c r="C241" t="s">
        <v>3875</v>
      </c>
      <c r="D241" t="s">
        <v>3876</v>
      </c>
      <c r="E241" t="s">
        <v>1532</v>
      </c>
      <c r="F241">
        <f>SUMPRODUCT((LEN(E241)-LEN(SUBSTITUTE(E241,"/","")))) + 1</f>
        <v>1</v>
      </c>
    </row>
    <row r="242" spans="1:6" hidden="1">
      <c r="A242" t="s">
        <v>3880</v>
      </c>
      <c r="B242">
        <v>586</v>
      </c>
      <c r="C242" t="s">
        <v>3878</v>
      </c>
      <c r="D242" t="s">
        <v>3879</v>
      </c>
      <c r="E242" t="s">
        <v>1532</v>
      </c>
      <c r="F242">
        <f>SUMPRODUCT((LEN(E242)-LEN(SUBSTITUTE(E242,"/","")))) + 1</f>
        <v>1</v>
      </c>
    </row>
    <row r="243" spans="1:6" hidden="1">
      <c r="A243" t="s">
        <v>3883</v>
      </c>
      <c r="B243">
        <v>772</v>
      </c>
      <c r="C243" t="s">
        <v>3881</v>
      </c>
      <c r="D243" t="s">
        <v>3882</v>
      </c>
      <c r="E243" t="s">
        <v>1525</v>
      </c>
      <c r="F243">
        <f>SUMPRODUCT((LEN(E243)-LEN(SUBSTITUTE(E243,"/","")))) + 1</f>
        <v>1</v>
      </c>
    </row>
    <row r="244" spans="1:6" hidden="1">
      <c r="A244" t="s">
        <v>3886</v>
      </c>
      <c r="B244">
        <v>121</v>
      </c>
      <c r="C244" t="s">
        <v>3884</v>
      </c>
      <c r="D244" t="s">
        <v>3885</v>
      </c>
      <c r="E244" t="s">
        <v>213</v>
      </c>
      <c r="F244">
        <f>SUMPRODUCT((LEN(E244)-LEN(SUBSTITUTE(E244,"/","")))) + 1</f>
        <v>1</v>
      </c>
    </row>
    <row r="245" spans="1:6" hidden="1">
      <c r="A245" t="s">
        <v>3889</v>
      </c>
      <c r="B245">
        <v>519</v>
      </c>
      <c r="C245" t="s">
        <v>3887</v>
      </c>
      <c r="D245" t="s">
        <v>3888</v>
      </c>
      <c r="E245" t="s">
        <v>3309</v>
      </c>
      <c r="F245">
        <f>SUMPRODUCT((LEN(E245)-LEN(SUBSTITUTE(E245,"/","")))) + 1</f>
        <v>1</v>
      </c>
    </row>
    <row r="246" spans="1:6" hidden="1">
      <c r="A246" t="s">
        <v>3892</v>
      </c>
      <c r="B246">
        <v>364</v>
      </c>
      <c r="C246" t="s">
        <v>3890</v>
      </c>
      <c r="D246" t="s">
        <v>3891</v>
      </c>
      <c r="E246" t="s">
        <v>196</v>
      </c>
      <c r="F246">
        <f>SUMPRODUCT((LEN(E246)-LEN(SUBSTITUTE(E246,"/","")))) + 1</f>
        <v>1</v>
      </c>
    </row>
    <row r="247" spans="1:6" hidden="1">
      <c r="A247" t="s">
        <v>3895</v>
      </c>
      <c r="B247">
        <v>241</v>
      </c>
      <c r="C247" t="s">
        <v>3893</v>
      </c>
      <c r="D247" t="s">
        <v>3894</v>
      </c>
      <c r="E247" t="s">
        <v>196</v>
      </c>
      <c r="F247">
        <f>SUMPRODUCT((LEN(E247)-LEN(SUBSTITUTE(E247,"/","")))) + 1</f>
        <v>1</v>
      </c>
    </row>
    <row r="248" spans="1:6" hidden="1">
      <c r="A248" t="s">
        <v>3898</v>
      </c>
      <c r="B248">
        <v>45</v>
      </c>
      <c r="C248" t="s">
        <v>3896</v>
      </c>
      <c r="D248" t="s">
        <v>3897</v>
      </c>
      <c r="E248" t="s">
        <v>3899</v>
      </c>
      <c r="F248">
        <f>SUMPRODUCT((LEN(E248)-LEN(SUBSTITUTE(E248,"/","")))) + 1</f>
        <v>2</v>
      </c>
    </row>
    <row r="249" spans="1:6" hidden="1">
      <c r="A249" t="s">
        <v>3902</v>
      </c>
      <c r="B249">
        <v>250</v>
      </c>
      <c r="C249" t="s">
        <v>3900</v>
      </c>
      <c r="D249" t="s">
        <v>3901</v>
      </c>
      <c r="E249" t="s">
        <v>220</v>
      </c>
      <c r="F249">
        <f>SUMPRODUCT((LEN(E249)-LEN(SUBSTITUTE(E249,"/","")))) + 1</f>
        <v>1</v>
      </c>
    </row>
    <row r="250" spans="1:6" hidden="1">
      <c r="A250" t="s">
        <v>3905</v>
      </c>
      <c r="B250">
        <v>888</v>
      </c>
      <c r="C250" t="s">
        <v>3903</v>
      </c>
      <c r="D250" t="s">
        <v>3904</v>
      </c>
      <c r="E250" t="s">
        <v>220</v>
      </c>
      <c r="F250">
        <f>SUMPRODUCT((LEN(E250)-LEN(SUBSTITUTE(E250,"/","")))) + 1</f>
        <v>1</v>
      </c>
    </row>
    <row r="251" spans="1:6" hidden="1">
      <c r="A251" t="s">
        <v>3908</v>
      </c>
      <c r="B251">
        <v>784</v>
      </c>
      <c r="C251" t="s">
        <v>3906</v>
      </c>
      <c r="D251" t="s">
        <v>3907</v>
      </c>
      <c r="E251" t="s">
        <v>3241</v>
      </c>
      <c r="F251">
        <f>SUMPRODUCT((LEN(E251)-LEN(SUBSTITUTE(E251,"/","")))) + 1</f>
        <v>1</v>
      </c>
    </row>
    <row r="252" spans="1:6" hidden="1">
      <c r="A252" t="s">
        <v>3911</v>
      </c>
      <c r="B252">
        <v>366</v>
      </c>
      <c r="C252" t="s">
        <v>3909</v>
      </c>
      <c r="D252" t="s">
        <v>3910</v>
      </c>
      <c r="E252" t="s">
        <v>196</v>
      </c>
      <c r="F252">
        <f>SUMPRODUCT((LEN(E252)-LEN(SUBSTITUTE(E252,"/","")))) + 1</f>
        <v>1</v>
      </c>
    </row>
    <row r="253" spans="1:6" hidden="1">
      <c r="A253" t="s">
        <v>3914</v>
      </c>
      <c r="B253">
        <v>857</v>
      </c>
      <c r="C253" t="s">
        <v>3912</v>
      </c>
      <c r="D253" t="s">
        <v>3913</v>
      </c>
      <c r="E253" t="s">
        <v>195</v>
      </c>
      <c r="F253">
        <f>SUMPRODUCT((LEN(E253)-LEN(SUBSTITUTE(E253,"/","")))) + 1</f>
        <v>1</v>
      </c>
    </row>
    <row r="254" spans="1:6" hidden="1">
      <c r="A254" t="s">
        <v>3917</v>
      </c>
      <c r="B254">
        <v>844</v>
      </c>
      <c r="C254" t="s">
        <v>3915</v>
      </c>
      <c r="D254" t="s">
        <v>3916</v>
      </c>
      <c r="E254" t="s">
        <v>219</v>
      </c>
      <c r="F254">
        <f>SUMPRODUCT((LEN(E254)-LEN(SUBSTITUTE(E254,"/","")))) + 1</f>
        <v>1</v>
      </c>
    </row>
    <row r="255" spans="1:6" hidden="1">
      <c r="A255" t="s">
        <v>3920</v>
      </c>
      <c r="B255">
        <v>387</v>
      </c>
      <c r="C255" t="s">
        <v>3918</v>
      </c>
      <c r="D255" t="s">
        <v>3919</v>
      </c>
      <c r="E255" t="s">
        <v>1532</v>
      </c>
      <c r="F255">
        <f>SUMPRODUCT((LEN(E255)-LEN(SUBSTITUTE(E255,"/","")))) + 1</f>
        <v>1</v>
      </c>
    </row>
    <row r="256" spans="1:6" hidden="1">
      <c r="A256" t="s">
        <v>3923</v>
      </c>
      <c r="B256">
        <v>703</v>
      </c>
      <c r="C256" t="s">
        <v>3921</v>
      </c>
      <c r="D256" t="s">
        <v>3922</v>
      </c>
      <c r="E256" t="s">
        <v>143</v>
      </c>
      <c r="F256">
        <f>SUMPRODUCT((LEN(E256)-LEN(SUBSTITUTE(E256,"/","")))) + 1</f>
        <v>1</v>
      </c>
    </row>
    <row r="257" spans="1:6" hidden="1">
      <c r="A257" t="s">
        <v>3926</v>
      </c>
      <c r="B257">
        <v>356</v>
      </c>
      <c r="C257" t="s">
        <v>3924</v>
      </c>
      <c r="D257" t="s">
        <v>3925</v>
      </c>
      <c r="E257" t="s">
        <v>1541</v>
      </c>
      <c r="F257">
        <f>SUMPRODUCT((LEN(E257)-LEN(SUBSTITUTE(E257,"/","")))) + 1</f>
        <v>1</v>
      </c>
    </row>
    <row r="258" spans="1:6" hidden="1">
      <c r="A258" t="s">
        <v>3929</v>
      </c>
      <c r="B258">
        <v>81</v>
      </c>
      <c r="C258" t="s">
        <v>3927</v>
      </c>
      <c r="D258" t="s">
        <v>3928</v>
      </c>
      <c r="E258" t="s">
        <v>3241</v>
      </c>
      <c r="F258">
        <f>SUMPRODUCT((LEN(E258)-LEN(SUBSTITUTE(E258,"/","")))) + 1</f>
        <v>1</v>
      </c>
    </row>
    <row r="259" spans="1:6" hidden="1">
      <c r="A259" t="s">
        <v>3932</v>
      </c>
      <c r="B259">
        <v>602</v>
      </c>
      <c r="C259" t="s">
        <v>3930</v>
      </c>
      <c r="D259" t="s">
        <v>3931</v>
      </c>
      <c r="E259" t="s">
        <v>3179</v>
      </c>
      <c r="F259">
        <f>SUMPRODUCT((LEN(E259)-LEN(SUBSTITUTE(E259,"/","")))) + 1</f>
        <v>1</v>
      </c>
    </row>
    <row r="260" spans="1:6" hidden="1">
      <c r="A260" t="s">
        <v>3935</v>
      </c>
      <c r="B260">
        <v>456</v>
      </c>
      <c r="C260" t="s">
        <v>3933</v>
      </c>
      <c r="D260" t="s">
        <v>3934</v>
      </c>
      <c r="E260" t="s">
        <v>519</v>
      </c>
      <c r="F260">
        <f>SUMPRODUCT((LEN(E260)-LEN(SUBSTITUTE(E260,"/","")))) + 1</f>
        <v>1</v>
      </c>
    </row>
    <row r="261" spans="1:6" hidden="1">
      <c r="A261" t="s">
        <v>3938</v>
      </c>
      <c r="B261">
        <v>920</v>
      </c>
      <c r="C261" t="s">
        <v>3936</v>
      </c>
      <c r="D261" t="s">
        <v>3937</v>
      </c>
      <c r="E261" t="s">
        <v>1532</v>
      </c>
      <c r="F261">
        <f>SUMPRODUCT((LEN(E261)-LEN(SUBSTITUTE(E261,"/","")))) + 1</f>
        <v>1</v>
      </c>
    </row>
    <row r="262" spans="1:6">
      <c r="A262" t="s">
        <v>3941</v>
      </c>
      <c r="B262">
        <v>596</v>
      </c>
      <c r="C262" t="s">
        <v>3939</v>
      </c>
      <c r="D262" t="s">
        <v>3940</v>
      </c>
      <c r="E262" t="s">
        <v>3942</v>
      </c>
      <c r="F262">
        <f>SUMPRODUCT((LEN(E262)-LEN(SUBSTITUTE(E262,"/","")))) + 1</f>
        <v>3</v>
      </c>
    </row>
    <row r="263" spans="1:6">
      <c r="A263" t="s">
        <v>3945</v>
      </c>
      <c r="B263">
        <v>413</v>
      </c>
      <c r="C263" t="s">
        <v>3943</v>
      </c>
      <c r="D263" t="s">
        <v>3944</v>
      </c>
      <c r="E263" t="s">
        <v>3946</v>
      </c>
      <c r="F263">
        <f>SUMPRODUCT((LEN(E263)-LEN(SUBSTITUTE(E263,"/","")))) + 1</f>
        <v>2</v>
      </c>
    </row>
    <row r="264" spans="1:6" hidden="1">
      <c r="A264" t="s">
        <v>3949</v>
      </c>
      <c r="B264">
        <v>645</v>
      </c>
      <c r="C264" t="s">
        <v>3947</v>
      </c>
      <c r="D264" t="s">
        <v>3948</v>
      </c>
      <c r="E264" t="s">
        <v>143</v>
      </c>
      <c r="F264">
        <f>SUMPRODUCT((LEN(E264)-LEN(SUBSTITUTE(E264,"/","")))) + 1</f>
        <v>1</v>
      </c>
    </row>
    <row r="265" spans="1:6" hidden="1">
      <c r="A265" t="s">
        <v>3952</v>
      </c>
      <c r="B265">
        <v>172</v>
      </c>
      <c r="C265" t="s">
        <v>3950</v>
      </c>
      <c r="D265" t="s">
        <v>3951</v>
      </c>
      <c r="E265" t="s">
        <v>3241</v>
      </c>
      <c r="F265">
        <f>SUMPRODUCT((LEN(E265)-LEN(SUBSTITUTE(E265,"/","")))) + 1</f>
        <v>1</v>
      </c>
    </row>
    <row r="266" spans="1:6" hidden="1">
      <c r="A266" t="s">
        <v>3955</v>
      </c>
      <c r="B266">
        <v>91</v>
      </c>
      <c r="C266" t="s">
        <v>3953</v>
      </c>
      <c r="D266" t="s">
        <v>3954</v>
      </c>
      <c r="E266" t="s">
        <v>3956</v>
      </c>
      <c r="F266">
        <f>SUMPRODUCT((LEN(E266)-LEN(SUBSTITUTE(E266,"/","")))) + 1</f>
        <v>2</v>
      </c>
    </row>
    <row r="267" spans="1:6" hidden="1">
      <c r="A267" t="s">
        <v>3959</v>
      </c>
      <c r="B267">
        <v>178</v>
      </c>
      <c r="C267" t="s">
        <v>3957</v>
      </c>
      <c r="D267" t="s">
        <v>3958</v>
      </c>
      <c r="E267" t="s">
        <v>3172</v>
      </c>
      <c r="F267">
        <f>SUMPRODUCT((LEN(E267)-LEN(SUBSTITUTE(E267,"/","")))) + 1</f>
        <v>1</v>
      </c>
    </row>
    <row r="268" spans="1:6" hidden="1">
      <c r="A268" t="s">
        <v>3962</v>
      </c>
      <c r="B268">
        <v>721</v>
      </c>
      <c r="C268" t="s">
        <v>3960</v>
      </c>
      <c r="D268" t="s">
        <v>3961</v>
      </c>
      <c r="E268" t="s">
        <v>3963</v>
      </c>
      <c r="F268">
        <f>SUMPRODUCT((LEN(E268)-LEN(SUBSTITUTE(E268,"/","")))) + 1</f>
        <v>3</v>
      </c>
    </row>
    <row r="269" spans="1:6" hidden="1">
      <c r="A269" t="s">
        <v>3966</v>
      </c>
      <c r="B269">
        <v>400</v>
      </c>
      <c r="C269" t="s">
        <v>3964</v>
      </c>
      <c r="D269" t="s">
        <v>3965</v>
      </c>
      <c r="E269" t="s">
        <v>3241</v>
      </c>
      <c r="F269">
        <f>SUMPRODUCT((LEN(E269)-LEN(SUBSTITUTE(E269,"/","")))) + 1</f>
        <v>1</v>
      </c>
    </row>
    <row r="270" spans="1:6" hidden="1">
      <c r="A270" t="s">
        <v>3969</v>
      </c>
      <c r="B270">
        <v>358</v>
      </c>
      <c r="C270" t="s">
        <v>3967</v>
      </c>
      <c r="D270" t="s">
        <v>3968</v>
      </c>
      <c r="E270" t="s">
        <v>3563</v>
      </c>
      <c r="F270">
        <f>SUMPRODUCT((LEN(E270)-LEN(SUBSTITUTE(E270,"/","")))) + 1</f>
        <v>1</v>
      </c>
    </row>
    <row r="271" spans="1:6" hidden="1">
      <c r="A271" t="s">
        <v>3972</v>
      </c>
      <c r="B271">
        <v>332</v>
      </c>
      <c r="C271" t="s">
        <v>3970</v>
      </c>
      <c r="D271" t="s">
        <v>3971</v>
      </c>
      <c r="E271" t="s">
        <v>213</v>
      </c>
      <c r="F271">
        <f>SUMPRODUCT((LEN(E271)-LEN(SUBSTITUTE(E271,"/","")))) + 1</f>
        <v>1</v>
      </c>
    </row>
    <row r="272" spans="1:6" hidden="1">
      <c r="A272" t="s">
        <v>3975</v>
      </c>
      <c r="B272">
        <v>500</v>
      </c>
      <c r="C272" t="s">
        <v>3973</v>
      </c>
      <c r="D272" t="s">
        <v>3974</v>
      </c>
      <c r="E272" t="s">
        <v>115</v>
      </c>
      <c r="F272">
        <f>SUMPRODUCT((LEN(E272)-LEN(SUBSTITUTE(E272,"/","")))) + 1</f>
        <v>1</v>
      </c>
    </row>
    <row r="273" spans="1:6" hidden="1">
      <c r="A273" t="s">
        <v>3978</v>
      </c>
      <c r="B273">
        <v>72</v>
      </c>
      <c r="C273" t="s">
        <v>3976</v>
      </c>
      <c r="D273" t="s">
        <v>3977</v>
      </c>
      <c r="E273" t="s">
        <v>1538</v>
      </c>
      <c r="F273">
        <f>SUMPRODUCT((LEN(E273)-LEN(SUBSTITUTE(E273,"/","")))) + 1</f>
        <v>1</v>
      </c>
    </row>
    <row r="274" spans="1:6" hidden="1">
      <c r="A274" t="s">
        <v>3981</v>
      </c>
      <c r="B274">
        <v>291</v>
      </c>
      <c r="C274" t="s">
        <v>3979</v>
      </c>
      <c r="D274" t="s">
        <v>3980</v>
      </c>
      <c r="E274" t="s">
        <v>1532</v>
      </c>
      <c r="F274">
        <f>SUMPRODUCT((LEN(E274)-LEN(SUBSTITUTE(E274,"/","")))) + 1</f>
        <v>1</v>
      </c>
    </row>
    <row r="275" spans="1:6" hidden="1">
      <c r="A275" t="s">
        <v>3984</v>
      </c>
      <c r="B275">
        <v>841</v>
      </c>
      <c r="C275" t="s">
        <v>3982</v>
      </c>
      <c r="D275" t="s">
        <v>3983</v>
      </c>
      <c r="E275" t="s">
        <v>111</v>
      </c>
      <c r="F275">
        <f>SUMPRODUCT((LEN(E275)-LEN(SUBSTITUTE(E275,"/","")))) + 1</f>
        <v>1</v>
      </c>
    </row>
    <row r="276" spans="1:6" hidden="1">
      <c r="A276" t="s">
        <v>3987</v>
      </c>
      <c r="B276">
        <v>422</v>
      </c>
      <c r="C276" t="s">
        <v>3985</v>
      </c>
      <c r="D276" t="s">
        <v>3986</v>
      </c>
      <c r="E276" t="s">
        <v>3179</v>
      </c>
      <c r="F276">
        <f>SUMPRODUCT((LEN(E276)-LEN(SUBSTITUTE(E276,"/","")))) + 1</f>
        <v>1</v>
      </c>
    </row>
    <row r="277" spans="1:6" hidden="1">
      <c r="A277" t="s">
        <v>3990</v>
      </c>
      <c r="B277">
        <v>501</v>
      </c>
      <c r="C277" t="s">
        <v>3988</v>
      </c>
      <c r="D277" t="s">
        <v>3989</v>
      </c>
      <c r="E277" t="s">
        <v>1532</v>
      </c>
      <c r="F277">
        <f>SUMPRODUCT((LEN(E277)-LEN(SUBSTITUTE(E277,"/","")))) + 1</f>
        <v>1</v>
      </c>
    </row>
    <row r="278" spans="1:6" hidden="1">
      <c r="A278" t="s">
        <v>3993</v>
      </c>
      <c r="B278">
        <v>113</v>
      </c>
      <c r="C278" t="s">
        <v>3991</v>
      </c>
      <c r="D278" t="s">
        <v>3992</v>
      </c>
      <c r="E278" t="s">
        <v>109</v>
      </c>
      <c r="F278">
        <f>SUMPRODUCT((LEN(E278)-LEN(SUBSTITUTE(E278,"/","")))) + 1</f>
        <v>1</v>
      </c>
    </row>
    <row r="279" spans="1:6" hidden="1">
      <c r="A279" t="s">
        <v>3996</v>
      </c>
      <c r="B279">
        <v>518</v>
      </c>
      <c r="C279" t="s">
        <v>3994</v>
      </c>
      <c r="D279" t="s">
        <v>3995</v>
      </c>
      <c r="E279" t="s">
        <v>3179</v>
      </c>
      <c r="F279">
        <f>SUMPRODUCT((LEN(E279)-LEN(SUBSTITUTE(E279,"/","")))) + 1</f>
        <v>1</v>
      </c>
    </row>
    <row r="280" spans="1:6" hidden="1">
      <c r="A280" t="s">
        <v>3999</v>
      </c>
      <c r="B280">
        <v>189</v>
      </c>
      <c r="C280" t="s">
        <v>3997</v>
      </c>
      <c r="D280" t="s">
        <v>3998</v>
      </c>
      <c r="E280" t="s">
        <v>1538</v>
      </c>
      <c r="F280">
        <f>SUMPRODUCT((LEN(E280)-LEN(SUBSTITUTE(E280,"/","")))) + 1</f>
        <v>1</v>
      </c>
    </row>
    <row r="281" spans="1:6" hidden="1">
      <c r="A281" t="s">
        <v>4002</v>
      </c>
      <c r="B281">
        <v>391</v>
      </c>
      <c r="C281" t="s">
        <v>4000</v>
      </c>
      <c r="D281" t="s">
        <v>4001</v>
      </c>
      <c r="E281" t="s">
        <v>1538</v>
      </c>
      <c r="F281">
        <f>SUMPRODUCT((LEN(E281)-LEN(SUBSTITUTE(E281,"/","")))) + 1</f>
        <v>1</v>
      </c>
    </row>
    <row r="282" spans="1:6" hidden="1">
      <c r="A282" t="s">
        <v>4005</v>
      </c>
      <c r="B282">
        <v>891</v>
      </c>
      <c r="C282" t="s">
        <v>4003</v>
      </c>
      <c r="D282" t="s">
        <v>4004</v>
      </c>
      <c r="E282" t="s">
        <v>71</v>
      </c>
      <c r="F282">
        <f>SUMPRODUCT((LEN(E282)-LEN(SUBSTITUTE(E282,"/","")))) + 1</f>
        <v>1</v>
      </c>
    </row>
    <row r="283" spans="1:6" hidden="1">
      <c r="A283" t="s">
        <v>4008</v>
      </c>
      <c r="B283">
        <v>155</v>
      </c>
      <c r="C283" t="s">
        <v>4006</v>
      </c>
      <c r="D283" t="s">
        <v>4007</v>
      </c>
      <c r="E283" t="s">
        <v>220</v>
      </c>
      <c r="F283">
        <f>SUMPRODUCT((LEN(E283)-LEN(SUBSTITUTE(E283,"/","")))) + 1</f>
        <v>1</v>
      </c>
    </row>
    <row r="284" spans="1:6" hidden="1">
      <c r="A284" t="s">
        <v>4011</v>
      </c>
      <c r="B284">
        <v>345</v>
      </c>
      <c r="C284" t="s">
        <v>4009</v>
      </c>
      <c r="D284" t="s">
        <v>4010</v>
      </c>
      <c r="E284" t="s">
        <v>110</v>
      </c>
      <c r="F284">
        <f>SUMPRODUCT((LEN(E284)-LEN(SUBSTITUTE(E284,"/","")))) + 1</f>
        <v>1</v>
      </c>
    </row>
    <row r="285" spans="1:6" hidden="1">
      <c r="A285" t="s">
        <v>4014</v>
      </c>
      <c r="B285">
        <v>238</v>
      </c>
      <c r="C285" t="s">
        <v>4012</v>
      </c>
      <c r="D285" t="s">
        <v>4013</v>
      </c>
      <c r="E285" t="s">
        <v>3563</v>
      </c>
      <c r="F285">
        <f>SUMPRODUCT((LEN(E285)-LEN(SUBSTITUTE(E285,"/","")))) + 1</f>
        <v>1</v>
      </c>
    </row>
    <row r="286" spans="1:6" hidden="1">
      <c r="A286" t="s">
        <v>4017</v>
      </c>
      <c r="B286">
        <v>700</v>
      </c>
      <c r="C286" t="s">
        <v>4015</v>
      </c>
      <c r="D286" t="s">
        <v>4016</v>
      </c>
      <c r="E286" t="s">
        <v>661</v>
      </c>
      <c r="F286">
        <f>SUMPRODUCT((LEN(E286)-LEN(SUBSTITUTE(E286,"/","")))) + 1</f>
        <v>1</v>
      </c>
    </row>
    <row r="287" spans="1:6" hidden="1">
      <c r="A287" t="s">
        <v>4020</v>
      </c>
      <c r="B287">
        <v>376</v>
      </c>
      <c r="C287" t="s">
        <v>4018</v>
      </c>
      <c r="D287" t="s">
        <v>4019</v>
      </c>
      <c r="E287" t="s">
        <v>220</v>
      </c>
      <c r="F287">
        <f>SUMPRODUCT((LEN(E287)-LEN(SUBSTITUTE(E287,"/","")))) + 1</f>
        <v>1</v>
      </c>
    </row>
    <row r="288" spans="1:6" hidden="1">
      <c r="A288" t="s">
        <v>4023</v>
      </c>
      <c r="B288">
        <v>803</v>
      </c>
      <c r="C288" t="s">
        <v>4021</v>
      </c>
      <c r="D288" t="s">
        <v>4022</v>
      </c>
      <c r="E288" t="s">
        <v>3263</v>
      </c>
      <c r="F288">
        <f>SUMPRODUCT((LEN(E288)-LEN(SUBSTITUTE(E288,"/","")))) + 1</f>
        <v>1</v>
      </c>
    </row>
    <row r="289" spans="1:6" hidden="1">
      <c r="A289" t="s">
        <v>4026</v>
      </c>
      <c r="B289">
        <v>809</v>
      </c>
      <c r="C289" t="s">
        <v>4024</v>
      </c>
      <c r="D289" t="s">
        <v>4025</v>
      </c>
      <c r="E289" t="s">
        <v>3563</v>
      </c>
      <c r="F289">
        <f>SUMPRODUCT((LEN(E289)-LEN(SUBSTITUTE(E289,"/","")))) + 1</f>
        <v>1</v>
      </c>
    </row>
    <row r="290" spans="1:6" hidden="1">
      <c r="A290" t="s">
        <v>4029</v>
      </c>
      <c r="B290">
        <v>153</v>
      </c>
      <c r="C290" t="s">
        <v>4027</v>
      </c>
      <c r="D290" t="s">
        <v>4028</v>
      </c>
      <c r="E290" t="s">
        <v>220</v>
      </c>
      <c r="F290">
        <f>SUMPRODUCT((LEN(E290)-LEN(SUBSTITUTE(E290,"/","")))) + 1</f>
        <v>1</v>
      </c>
    </row>
    <row r="291" spans="1:6" hidden="1">
      <c r="A291" t="s">
        <v>4032</v>
      </c>
      <c r="B291">
        <v>273</v>
      </c>
      <c r="C291" t="s">
        <v>4030</v>
      </c>
      <c r="D291" t="s">
        <v>4031</v>
      </c>
      <c r="E291" t="s">
        <v>3263</v>
      </c>
      <c r="F291">
        <f>SUMPRODUCT((LEN(E291)-LEN(SUBSTITUTE(E291,"/","")))) + 1</f>
        <v>1</v>
      </c>
    </row>
    <row r="292" spans="1:6" hidden="1">
      <c r="A292" t="s">
        <v>4035</v>
      </c>
      <c r="B292">
        <v>435</v>
      </c>
      <c r="C292" t="s">
        <v>4033</v>
      </c>
      <c r="D292" t="s">
        <v>4034</v>
      </c>
      <c r="E292" t="s">
        <v>1525</v>
      </c>
      <c r="F292">
        <f>SUMPRODUCT((LEN(E292)-LEN(SUBSTITUTE(E292,"/","")))) + 1</f>
        <v>1</v>
      </c>
    </row>
    <row r="293" spans="1:6" hidden="1">
      <c r="A293" t="s">
        <v>4038</v>
      </c>
      <c r="B293">
        <v>89</v>
      </c>
      <c r="C293" t="s">
        <v>4036</v>
      </c>
      <c r="D293" t="s">
        <v>4037</v>
      </c>
      <c r="E293" t="s">
        <v>3263</v>
      </c>
      <c r="F293">
        <f>SUMPRODUCT((LEN(E293)-LEN(SUBSTITUTE(E293,"/","")))) + 1</f>
        <v>1</v>
      </c>
    </row>
    <row r="294" spans="1:6" hidden="1">
      <c r="A294" t="s">
        <v>4041</v>
      </c>
      <c r="B294">
        <v>432</v>
      </c>
      <c r="C294" t="s">
        <v>4039</v>
      </c>
      <c r="D294" t="s">
        <v>4040</v>
      </c>
      <c r="E294" t="s">
        <v>1525</v>
      </c>
      <c r="F294">
        <f>SUMPRODUCT((LEN(E294)-LEN(SUBSTITUTE(E294,"/","")))) + 1</f>
        <v>1</v>
      </c>
    </row>
    <row r="295" spans="1:6" hidden="1">
      <c r="A295" t="s">
        <v>4044</v>
      </c>
      <c r="B295">
        <v>268</v>
      </c>
      <c r="C295" t="s">
        <v>4042</v>
      </c>
      <c r="D295" t="s">
        <v>4043</v>
      </c>
      <c r="E295" t="s">
        <v>3309</v>
      </c>
      <c r="F295">
        <f>SUMPRODUCT((LEN(E295)-LEN(SUBSTITUTE(E295,"/","")))) + 1</f>
        <v>1</v>
      </c>
    </row>
    <row r="296" spans="1:6" hidden="1">
      <c r="A296" t="s">
        <v>4047</v>
      </c>
      <c r="B296">
        <v>529</v>
      </c>
      <c r="C296" t="s">
        <v>4045</v>
      </c>
      <c r="D296" t="s">
        <v>4046</v>
      </c>
      <c r="E296" t="s">
        <v>1524</v>
      </c>
      <c r="F296">
        <f>SUMPRODUCT((LEN(E296)-LEN(SUBSTITUTE(E296,"/","")))) + 1</f>
        <v>1</v>
      </c>
    </row>
    <row r="297" spans="1:6" hidden="1">
      <c r="A297" t="s">
        <v>4050</v>
      </c>
      <c r="B297">
        <v>244</v>
      </c>
      <c r="C297" t="s">
        <v>4048</v>
      </c>
      <c r="D297" t="s">
        <v>4049</v>
      </c>
      <c r="E297" t="s">
        <v>74</v>
      </c>
      <c r="F297">
        <f>SUMPRODUCT((LEN(E297)-LEN(SUBSTITUTE(E297,"/","")))) + 1</f>
        <v>1</v>
      </c>
    </row>
    <row r="298" spans="1:6" hidden="1">
      <c r="A298" t="s">
        <v>4053</v>
      </c>
      <c r="B298">
        <v>643</v>
      </c>
      <c r="C298" t="s">
        <v>4051</v>
      </c>
      <c r="D298" t="s">
        <v>4052</v>
      </c>
      <c r="E298" t="s">
        <v>3535</v>
      </c>
      <c r="F298">
        <f>SUMPRODUCT((LEN(E298)-LEN(SUBSTITUTE(E298,"/","")))) + 1</f>
        <v>2</v>
      </c>
    </row>
    <row r="299" spans="1:6" hidden="1">
      <c r="A299" t="s">
        <v>4056</v>
      </c>
      <c r="B299">
        <v>853</v>
      </c>
      <c r="C299" t="s">
        <v>4054</v>
      </c>
      <c r="D299" t="s">
        <v>4055</v>
      </c>
      <c r="E299" t="s">
        <v>4057</v>
      </c>
      <c r="F299">
        <f>SUMPRODUCT((LEN(E299)-LEN(SUBSTITUTE(E299,"/","")))) + 1</f>
        <v>2</v>
      </c>
    </row>
    <row r="300" spans="1:6" hidden="1">
      <c r="A300" t="s">
        <v>4060</v>
      </c>
      <c r="B300">
        <v>28</v>
      </c>
      <c r="C300" t="s">
        <v>4058</v>
      </c>
      <c r="D300" t="s">
        <v>4059</v>
      </c>
      <c r="E300" t="s">
        <v>745</v>
      </c>
      <c r="F300">
        <f>SUMPRODUCT((LEN(E300)-LEN(SUBSTITUTE(E300,"/","")))) + 1</f>
        <v>1</v>
      </c>
    </row>
    <row r="301" spans="1:6" hidden="1">
      <c r="A301" t="s">
        <v>4063</v>
      </c>
      <c r="B301">
        <v>176</v>
      </c>
      <c r="C301" t="s">
        <v>4061</v>
      </c>
      <c r="D301" t="s">
        <v>4062</v>
      </c>
      <c r="E301" t="s">
        <v>3241</v>
      </c>
      <c r="F301">
        <f>SUMPRODUCT((LEN(E301)-LEN(SUBSTITUTE(E301,"/","")))) + 1</f>
        <v>1</v>
      </c>
    </row>
    <row r="302" spans="1:6" hidden="1">
      <c r="A302" t="s">
        <v>4066</v>
      </c>
      <c r="B302">
        <v>816</v>
      </c>
      <c r="C302" t="s">
        <v>4064</v>
      </c>
      <c r="D302" t="s">
        <v>4065</v>
      </c>
      <c r="E302" t="s">
        <v>110</v>
      </c>
      <c r="F302">
        <f>SUMPRODUCT((LEN(E302)-LEN(SUBSTITUTE(E302,"/","")))) + 1</f>
        <v>1</v>
      </c>
    </row>
    <row r="303" spans="1:6" hidden="1">
      <c r="A303" t="s">
        <v>4069</v>
      </c>
      <c r="B303">
        <v>662</v>
      </c>
      <c r="C303" t="s">
        <v>4067</v>
      </c>
      <c r="D303" t="s">
        <v>4068</v>
      </c>
      <c r="E303" t="s">
        <v>4070</v>
      </c>
      <c r="F303">
        <f>SUMPRODUCT((LEN(E303)-LEN(SUBSTITUTE(E303,"/","")))) + 1</f>
        <v>1</v>
      </c>
    </row>
    <row r="304" spans="1:6" hidden="1">
      <c r="A304" t="s">
        <v>4073</v>
      </c>
      <c r="B304">
        <v>418</v>
      </c>
      <c r="C304" t="s">
        <v>4071</v>
      </c>
      <c r="D304" t="s">
        <v>4072</v>
      </c>
      <c r="E304" t="s">
        <v>4070</v>
      </c>
      <c r="F304">
        <f>SUMPRODUCT((LEN(E304)-LEN(SUBSTITUTE(E304,"/","")))) + 1</f>
        <v>1</v>
      </c>
    </row>
    <row r="305" spans="1:6" hidden="1">
      <c r="A305" t="s">
        <v>4076</v>
      </c>
      <c r="B305">
        <v>348</v>
      </c>
      <c r="C305" t="s">
        <v>4074</v>
      </c>
      <c r="D305" t="s">
        <v>4075</v>
      </c>
      <c r="E305" t="s">
        <v>72</v>
      </c>
      <c r="F305">
        <f>SUMPRODUCT((LEN(E305)-LEN(SUBSTITUTE(E305,"/","")))) + 1</f>
        <v>1</v>
      </c>
    </row>
    <row r="306" spans="1:6" hidden="1">
      <c r="A306" t="s">
        <v>4079</v>
      </c>
      <c r="B306">
        <v>407</v>
      </c>
      <c r="C306" t="s">
        <v>4077</v>
      </c>
      <c r="D306" t="s">
        <v>4078</v>
      </c>
      <c r="E306" t="s">
        <v>1541</v>
      </c>
      <c r="F306">
        <f>SUMPRODUCT((LEN(E306)-LEN(SUBSTITUTE(E306,"/","")))) + 1</f>
        <v>1</v>
      </c>
    </row>
    <row r="307" spans="1:6" hidden="1">
      <c r="A307" t="s">
        <v>4082</v>
      </c>
      <c r="B307">
        <v>351</v>
      </c>
      <c r="C307" t="s">
        <v>4080</v>
      </c>
      <c r="D307" t="s">
        <v>4081</v>
      </c>
      <c r="E307" t="s">
        <v>72</v>
      </c>
      <c r="F307">
        <f>SUMPRODUCT((LEN(E307)-LEN(SUBSTITUTE(E307,"/","")))) + 1</f>
        <v>1</v>
      </c>
    </row>
    <row r="308" spans="1:6" hidden="1">
      <c r="A308" t="s">
        <v>4085</v>
      </c>
      <c r="B308">
        <v>312</v>
      </c>
      <c r="C308" t="s">
        <v>4083</v>
      </c>
      <c r="D308" t="s">
        <v>4084</v>
      </c>
      <c r="E308" t="s">
        <v>109</v>
      </c>
      <c r="F308">
        <f>SUMPRODUCT((LEN(E308)-LEN(SUBSTITUTE(E308,"/","")))) + 1</f>
        <v>1</v>
      </c>
    </row>
    <row r="309" spans="1:6" hidden="1">
      <c r="A309" t="s">
        <v>4088</v>
      </c>
      <c r="B309">
        <v>110</v>
      </c>
      <c r="C309" t="s">
        <v>4086</v>
      </c>
      <c r="D309" t="s">
        <v>4087</v>
      </c>
      <c r="E309" t="s">
        <v>4089</v>
      </c>
      <c r="F309">
        <f>SUMPRODUCT((LEN(E309)-LEN(SUBSTITUTE(E309,"/","")))) + 1</f>
        <v>2</v>
      </c>
    </row>
    <row r="310" spans="1:6" hidden="1">
      <c r="A310" t="s">
        <v>4092</v>
      </c>
      <c r="B310">
        <v>76</v>
      </c>
      <c r="C310" t="s">
        <v>4090</v>
      </c>
      <c r="D310" t="s">
        <v>4091</v>
      </c>
      <c r="E310" t="s">
        <v>3309</v>
      </c>
      <c r="F310">
        <f>SUMPRODUCT((LEN(E310)-LEN(SUBSTITUTE(E310,"/","")))) + 1</f>
        <v>1</v>
      </c>
    </row>
    <row r="311" spans="1:6" hidden="1">
      <c r="A311" t="s">
        <v>4095</v>
      </c>
      <c r="B311">
        <v>409</v>
      </c>
      <c r="C311" t="s">
        <v>4093</v>
      </c>
      <c r="D311" t="s">
        <v>4094</v>
      </c>
      <c r="E311" t="s">
        <v>3298</v>
      </c>
      <c r="F311">
        <f>SUMPRODUCT((LEN(E311)-LEN(SUBSTITUTE(E311,"/","")))) + 1</f>
        <v>1</v>
      </c>
    </row>
    <row r="312" spans="1:6" hidden="1">
      <c r="A312" t="s">
        <v>4098</v>
      </c>
      <c r="B312">
        <v>712</v>
      </c>
      <c r="C312" t="s">
        <v>4096</v>
      </c>
      <c r="D312" t="s">
        <v>4097</v>
      </c>
      <c r="E312" t="s">
        <v>4099</v>
      </c>
      <c r="F312">
        <f>SUMPRODUCT((LEN(E312)-LEN(SUBSTITUTE(E312,"/","")))) + 1</f>
        <v>4</v>
      </c>
    </row>
    <row r="313" spans="1:6" hidden="1">
      <c r="A313" t="s">
        <v>4102</v>
      </c>
      <c r="B313">
        <v>638</v>
      </c>
      <c r="C313" t="s">
        <v>4100</v>
      </c>
      <c r="D313" t="s">
        <v>4101</v>
      </c>
      <c r="E313" t="s">
        <v>4103</v>
      </c>
      <c r="F313">
        <f>SUMPRODUCT((LEN(E313)-LEN(SUBSTITUTE(E313,"/","")))) + 1</f>
        <v>5</v>
      </c>
    </row>
    <row r="314" spans="1:6">
      <c r="A314" t="s">
        <v>4106</v>
      </c>
      <c r="B314">
        <v>493</v>
      </c>
      <c r="C314" t="s">
        <v>4104</v>
      </c>
      <c r="D314" t="s">
        <v>4105</v>
      </c>
      <c r="E314" t="s">
        <v>563</v>
      </c>
      <c r="F314">
        <f>SUMPRODUCT((LEN(E314)-LEN(SUBSTITUTE(E314,"/","")))) + 1</f>
        <v>1</v>
      </c>
    </row>
    <row r="315" spans="1:6" hidden="1">
      <c r="A315" t="s">
        <v>4109</v>
      </c>
      <c r="B315">
        <v>817</v>
      </c>
      <c r="C315" t="s">
        <v>4107</v>
      </c>
      <c r="D315" t="s">
        <v>4108</v>
      </c>
      <c r="E315" t="s">
        <v>4110</v>
      </c>
      <c r="F315">
        <f>SUMPRODUCT((LEN(E315)-LEN(SUBSTITUTE(E315,"/","")))) + 1</f>
        <v>6</v>
      </c>
    </row>
    <row r="316" spans="1:6" hidden="1">
      <c r="A316" t="s">
        <v>4113</v>
      </c>
      <c r="B316">
        <v>214</v>
      </c>
      <c r="C316" t="s">
        <v>4111</v>
      </c>
      <c r="D316" t="s">
        <v>4112</v>
      </c>
      <c r="E316" t="s">
        <v>745</v>
      </c>
      <c r="F316">
        <f>SUMPRODUCT((LEN(E316)-LEN(SUBSTITUTE(E316,"/","")))) + 1</f>
        <v>1</v>
      </c>
    </row>
    <row r="317" spans="1:6" hidden="1">
      <c r="A317" t="s">
        <v>4116</v>
      </c>
      <c r="B317">
        <v>900</v>
      </c>
      <c r="C317" t="s">
        <v>4114</v>
      </c>
      <c r="D317" t="s">
        <v>4115</v>
      </c>
      <c r="E317" t="s">
        <v>3172</v>
      </c>
      <c r="F317">
        <f>SUMPRODUCT((LEN(E317)-LEN(SUBSTITUTE(E317,"/","")))) + 1</f>
        <v>1</v>
      </c>
    </row>
    <row r="318" spans="1:6" hidden="1">
      <c r="A318" t="s">
        <v>4119</v>
      </c>
      <c r="B318">
        <v>490</v>
      </c>
      <c r="C318" t="s">
        <v>4117</v>
      </c>
      <c r="D318" t="s">
        <v>4118</v>
      </c>
      <c r="E318" t="s">
        <v>4120</v>
      </c>
      <c r="F318">
        <f>SUMPRODUCT((LEN(E318)-LEN(SUBSTITUTE(E318,"/","")))) + 1</f>
        <v>2</v>
      </c>
    </row>
    <row r="319" spans="1:6" hidden="1">
      <c r="A319" t="s">
        <v>4123</v>
      </c>
      <c r="B319">
        <v>141</v>
      </c>
      <c r="C319" t="s">
        <v>4121</v>
      </c>
      <c r="D319" t="s">
        <v>4122</v>
      </c>
      <c r="E319" t="s">
        <v>72</v>
      </c>
      <c r="F319">
        <f>SUMPRODUCT((LEN(E319)-LEN(SUBSTITUTE(E319,"/","")))) + 1</f>
        <v>1</v>
      </c>
    </row>
    <row r="320" spans="1:6" hidden="1">
      <c r="A320" t="s">
        <v>4126</v>
      </c>
      <c r="B320">
        <v>333</v>
      </c>
      <c r="C320" t="s">
        <v>4124</v>
      </c>
      <c r="D320" t="s">
        <v>4125</v>
      </c>
      <c r="E320" t="s">
        <v>213</v>
      </c>
      <c r="F320">
        <f>SUMPRODUCT((LEN(E320)-LEN(SUBSTITUTE(E320,"/","")))) + 1</f>
        <v>1</v>
      </c>
    </row>
    <row r="321" spans="1:6" hidden="1">
      <c r="A321" t="s">
        <v>4129</v>
      </c>
      <c r="B321">
        <v>260</v>
      </c>
      <c r="C321" t="s">
        <v>4127</v>
      </c>
      <c r="D321" t="s">
        <v>4128</v>
      </c>
      <c r="E321" t="s">
        <v>3179</v>
      </c>
      <c r="F321">
        <f>SUMPRODUCT((LEN(E321)-LEN(SUBSTITUTE(E321,"/","")))) + 1</f>
        <v>1</v>
      </c>
    </row>
    <row r="322" spans="1:6" hidden="1">
      <c r="A322" t="s">
        <v>4132</v>
      </c>
      <c r="B322">
        <v>707</v>
      </c>
      <c r="C322" t="s">
        <v>4130</v>
      </c>
      <c r="D322" t="s">
        <v>4131</v>
      </c>
      <c r="E322" t="s">
        <v>4133</v>
      </c>
      <c r="F322">
        <f>SUMPRODUCT((LEN(E322)-LEN(SUBSTITUTE(E322,"/","")))) + 1</f>
        <v>2</v>
      </c>
    </row>
    <row r="323" spans="1:6" hidden="1">
      <c r="A323" t="s">
        <v>4136</v>
      </c>
      <c r="B323">
        <v>681</v>
      </c>
      <c r="C323" t="s">
        <v>4134</v>
      </c>
      <c r="D323" t="s">
        <v>4135</v>
      </c>
      <c r="E323" t="s">
        <v>1525</v>
      </c>
      <c r="F323">
        <f>SUMPRODUCT((LEN(E323)-LEN(SUBSTITUTE(E323,"/","")))) + 1</f>
        <v>1</v>
      </c>
    </row>
    <row r="324" spans="1:6" hidden="1">
      <c r="A324" t="s">
        <v>4139</v>
      </c>
      <c r="B324">
        <v>102</v>
      </c>
      <c r="C324" t="s">
        <v>4137</v>
      </c>
      <c r="D324" t="s">
        <v>4138</v>
      </c>
      <c r="E324" t="s">
        <v>115</v>
      </c>
      <c r="F324">
        <f>SUMPRODUCT((LEN(E324)-LEN(SUBSTITUTE(E324,"/","")))) + 1</f>
        <v>1</v>
      </c>
    </row>
    <row r="325" spans="1:6" hidden="1">
      <c r="A325" t="s">
        <v>4142</v>
      </c>
      <c r="B325">
        <v>27</v>
      </c>
      <c r="C325" t="s">
        <v>4140</v>
      </c>
      <c r="D325" t="s">
        <v>4141</v>
      </c>
      <c r="E325" t="s">
        <v>198</v>
      </c>
      <c r="F325">
        <f>SUMPRODUCT((LEN(E325)-LEN(SUBSTITUTE(E325,"/","")))) + 1</f>
        <v>1</v>
      </c>
    </row>
    <row r="326" spans="1:6" hidden="1">
      <c r="A326" t="s">
        <v>4145</v>
      </c>
      <c r="B326">
        <v>459</v>
      </c>
      <c r="C326" t="s">
        <v>4143</v>
      </c>
      <c r="D326" t="s">
        <v>4144</v>
      </c>
      <c r="E326" t="s">
        <v>521</v>
      </c>
      <c r="F326">
        <f>SUMPRODUCT((LEN(E326)-LEN(SUBSTITUTE(E326,"/","")))) + 1</f>
        <v>1</v>
      </c>
    </row>
    <row r="327" spans="1:6" hidden="1">
      <c r="A327" t="s">
        <v>4148</v>
      </c>
      <c r="B327">
        <v>697</v>
      </c>
      <c r="C327" t="s">
        <v>4146</v>
      </c>
      <c r="D327" t="s">
        <v>4147</v>
      </c>
      <c r="E327" t="s">
        <v>521</v>
      </c>
      <c r="F327">
        <f>SUMPRODUCT((LEN(E327)-LEN(SUBSTITUTE(E327,"/","")))) + 1</f>
        <v>1</v>
      </c>
    </row>
    <row r="328" spans="1:6" hidden="1">
      <c r="A328" t="s">
        <v>4151</v>
      </c>
      <c r="B328">
        <v>403</v>
      </c>
      <c r="C328" t="s">
        <v>4149</v>
      </c>
      <c r="D328" t="s">
        <v>4150</v>
      </c>
      <c r="E328" t="s">
        <v>1525</v>
      </c>
      <c r="F328">
        <f>SUMPRODUCT((LEN(E328)-LEN(SUBSTITUTE(E328,"/","")))) + 1</f>
        <v>1</v>
      </c>
    </row>
    <row r="329" spans="1:6" hidden="1">
      <c r="A329" t="s">
        <v>4154</v>
      </c>
      <c r="B329">
        <v>625</v>
      </c>
      <c r="C329" t="s">
        <v>4152</v>
      </c>
      <c r="D329" t="s">
        <v>4153</v>
      </c>
      <c r="E329" t="s">
        <v>519</v>
      </c>
      <c r="F329">
        <f>SUMPRODUCT((LEN(E329)-LEN(SUBSTITUTE(E329,"/","")))) + 1</f>
        <v>1</v>
      </c>
    </row>
    <row r="330" spans="1:6" hidden="1">
      <c r="A330" t="s">
        <v>4157</v>
      </c>
      <c r="B330">
        <v>514</v>
      </c>
      <c r="C330" t="s">
        <v>4155</v>
      </c>
      <c r="D330" t="s">
        <v>4156</v>
      </c>
      <c r="E330" t="s">
        <v>3179</v>
      </c>
      <c r="F330">
        <f>SUMPRODUCT((LEN(E330)-LEN(SUBSTITUTE(E330,"/","")))) + 1</f>
        <v>1</v>
      </c>
    </row>
    <row r="331" spans="1:6" hidden="1">
      <c r="A331" t="s">
        <v>4160</v>
      </c>
      <c r="B331">
        <v>806</v>
      </c>
      <c r="C331" t="s">
        <v>4158</v>
      </c>
      <c r="D331" t="s">
        <v>4159</v>
      </c>
      <c r="E331" t="s">
        <v>3172</v>
      </c>
      <c r="F331">
        <f>SUMPRODUCT((LEN(E331)-LEN(SUBSTITUTE(E331,"/","")))) + 1</f>
        <v>1</v>
      </c>
    </row>
    <row r="332" spans="1:6" hidden="1">
      <c r="A332" t="s">
        <v>4163</v>
      </c>
      <c r="B332">
        <v>148</v>
      </c>
      <c r="C332" t="s">
        <v>4161</v>
      </c>
      <c r="D332" t="s">
        <v>4162</v>
      </c>
      <c r="E332" t="s">
        <v>196</v>
      </c>
      <c r="F332">
        <f>SUMPRODUCT((LEN(E332)-LEN(SUBSTITUTE(E332,"/","")))) + 1</f>
        <v>1</v>
      </c>
    </row>
    <row r="333" spans="1:6" hidden="1">
      <c r="A333" t="s">
        <v>4166</v>
      </c>
      <c r="B333">
        <v>861</v>
      </c>
      <c r="C333" t="s">
        <v>4164</v>
      </c>
      <c r="D333" t="s">
        <v>4165</v>
      </c>
      <c r="E333" t="s">
        <v>76</v>
      </c>
      <c r="F333">
        <f>SUMPRODUCT((LEN(E333)-LEN(SUBSTITUTE(E333,"/","")))) + 1</f>
        <v>1</v>
      </c>
    </row>
    <row r="334" spans="1:6" hidden="1">
      <c r="A334" t="s">
        <v>4169</v>
      </c>
      <c r="B334">
        <v>783</v>
      </c>
      <c r="C334" t="s">
        <v>4167</v>
      </c>
      <c r="D334" t="s">
        <v>4168</v>
      </c>
      <c r="E334" t="s">
        <v>1538</v>
      </c>
      <c r="F334">
        <f>SUMPRODUCT((LEN(E334)-LEN(SUBSTITUTE(E334,"/","")))) + 1</f>
        <v>1</v>
      </c>
    </row>
    <row r="335" spans="1:6" hidden="1">
      <c r="A335" t="s">
        <v>4172</v>
      </c>
      <c r="B335">
        <v>919</v>
      </c>
      <c r="C335" t="s">
        <v>4170</v>
      </c>
      <c r="D335" t="s">
        <v>4171</v>
      </c>
      <c r="E335" t="s">
        <v>1538</v>
      </c>
      <c r="F335">
        <f>SUMPRODUCT((LEN(E335)-LEN(SUBSTITUTE(E335,"/","")))) + 1</f>
        <v>1</v>
      </c>
    </row>
    <row r="336" spans="1:6" hidden="1">
      <c r="A336" t="s">
        <v>4175</v>
      </c>
      <c r="B336">
        <v>252</v>
      </c>
      <c r="C336" t="s">
        <v>4173</v>
      </c>
      <c r="D336" t="s">
        <v>4174</v>
      </c>
      <c r="E336" t="s">
        <v>3390</v>
      </c>
      <c r="F336">
        <f>SUMPRODUCT((LEN(E336)-LEN(SUBSTITUTE(E336,"/","")))) + 1</f>
        <v>2</v>
      </c>
    </row>
    <row r="337" spans="1:6" hidden="1">
      <c r="A337" t="s">
        <v>4178</v>
      </c>
      <c r="B337">
        <v>94</v>
      </c>
      <c r="C337" t="s">
        <v>4176</v>
      </c>
      <c r="D337" t="s">
        <v>4177</v>
      </c>
      <c r="E337" t="s">
        <v>1532</v>
      </c>
      <c r="F337">
        <f>SUMPRODUCT((LEN(E337)-LEN(SUBSTITUTE(E337,"/","")))) + 1</f>
        <v>1</v>
      </c>
    </row>
    <row r="338" spans="1:6" hidden="1">
      <c r="A338" t="s">
        <v>4181</v>
      </c>
      <c r="B338">
        <v>53</v>
      </c>
      <c r="C338" t="s">
        <v>4179</v>
      </c>
      <c r="D338" t="s">
        <v>4180</v>
      </c>
      <c r="E338" t="s">
        <v>1541</v>
      </c>
      <c r="F338">
        <f>SUMPRODUCT((LEN(E338)-LEN(SUBSTITUTE(E338,"/","")))) + 1</f>
        <v>1</v>
      </c>
    </row>
    <row r="339" spans="1:6" hidden="1">
      <c r="A339" t="s">
        <v>4184</v>
      </c>
      <c r="B339">
        <v>95</v>
      </c>
      <c r="C339" t="s">
        <v>4182</v>
      </c>
      <c r="D339" t="s">
        <v>4183</v>
      </c>
      <c r="E339" t="s">
        <v>1538</v>
      </c>
      <c r="F339">
        <f>SUMPRODUCT((LEN(E339)-LEN(SUBSTITUTE(E339,"/","")))) + 1</f>
        <v>1</v>
      </c>
    </row>
    <row r="340" spans="1:6" hidden="1">
      <c r="A340" t="s">
        <v>4187</v>
      </c>
      <c r="B340">
        <v>174</v>
      </c>
      <c r="C340" t="s">
        <v>4185</v>
      </c>
      <c r="D340" t="s">
        <v>4186</v>
      </c>
      <c r="E340" t="s">
        <v>3241</v>
      </c>
      <c r="F340">
        <f>SUMPRODUCT((LEN(E340)-LEN(SUBSTITUTE(E340,"/","")))) + 1</f>
        <v>1</v>
      </c>
    </row>
    <row r="341" spans="1:6" hidden="1">
      <c r="A341" t="s">
        <v>4190</v>
      </c>
      <c r="B341">
        <v>177</v>
      </c>
      <c r="C341" t="s">
        <v>4188</v>
      </c>
      <c r="D341" t="s">
        <v>4189</v>
      </c>
      <c r="E341" t="s">
        <v>3241</v>
      </c>
      <c r="F341">
        <f>SUMPRODUCT((LEN(E341)-LEN(SUBSTITUTE(E341,"/","")))) + 1</f>
        <v>1</v>
      </c>
    </row>
    <row r="342" spans="1:6" hidden="1">
      <c r="A342" t="s">
        <v>4193</v>
      </c>
      <c r="B342">
        <v>237</v>
      </c>
      <c r="C342" t="s">
        <v>4191</v>
      </c>
      <c r="D342" t="s">
        <v>4192</v>
      </c>
      <c r="E342" t="s">
        <v>3563</v>
      </c>
      <c r="F342">
        <f>SUMPRODUCT((LEN(E342)-LEN(SUBSTITUTE(E342,"/","")))) + 1</f>
        <v>1</v>
      </c>
    </row>
    <row r="343" spans="1:6" hidden="1">
      <c r="A343" t="s">
        <v>4196</v>
      </c>
      <c r="B343">
        <v>158</v>
      </c>
      <c r="C343" t="s">
        <v>4194</v>
      </c>
      <c r="D343" t="s">
        <v>4195</v>
      </c>
      <c r="E343" t="s">
        <v>3179</v>
      </c>
      <c r="F343">
        <f>SUMPRODUCT((LEN(E343)-LEN(SUBSTITUTE(E343,"/","")))) + 1</f>
        <v>1</v>
      </c>
    </row>
    <row r="344" spans="1:6" hidden="1">
      <c r="A344" t="s">
        <v>4199</v>
      </c>
      <c r="B344">
        <v>868</v>
      </c>
      <c r="C344" t="s">
        <v>4197</v>
      </c>
      <c r="D344" t="s">
        <v>4198</v>
      </c>
      <c r="E344" t="s">
        <v>72</v>
      </c>
      <c r="F344">
        <f>SUMPRODUCT((LEN(E344)-LEN(SUBSTITUTE(E344,"/","")))) + 1</f>
        <v>1</v>
      </c>
    </row>
    <row r="345" spans="1:6" hidden="1">
      <c r="A345" t="s">
        <v>4202</v>
      </c>
      <c r="B345">
        <v>688</v>
      </c>
      <c r="C345" t="s">
        <v>4200</v>
      </c>
      <c r="D345" t="s">
        <v>4201</v>
      </c>
      <c r="E345" t="s">
        <v>523</v>
      </c>
      <c r="F345">
        <f>SUMPRODUCT((LEN(E345)-LEN(SUBSTITUTE(E345,"/","")))) + 1</f>
        <v>1</v>
      </c>
    </row>
    <row r="346" spans="1:6" hidden="1">
      <c r="A346" t="s">
        <v>4205</v>
      </c>
      <c r="B346">
        <v>15</v>
      </c>
      <c r="C346" t="s">
        <v>4203</v>
      </c>
      <c r="D346" t="s">
        <v>4204</v>
      </c>
      <c r="E346" t="s">
        <v>4206</v>
      </c>
      <c r="F346">
        <f>SUMPRODUCT((LEN(E346)-LEN(SUBSTITUTE(E346,"/","")))) + 1</f>
        <v>2</v>
      </c>
    </row>
    <row r="347" spans="1:6" hidden="1">
      <c r="A347" t="s">
        <v>4209</v>
      </c>
      <c r="B347">
        <v>802</v>
      </c>
      <c r="C347" t="s">
        <v>4207</v>
      </c>
      <c r="D347" t="s">
        <v>4208</v>
      </c>
      <c r="E347" t="s">
        <v>317</v>
      </c>
      <c r="F347">
        <f>SUMPRODUCT((LEN(E347)-LEN(SUBSTITUTE(E347,"/","")))) + 1</f>
        <v>1</v>
      </c>
    </row>
    <row r="348" spans="1:6" hidden="1">
      <c r="A348" t="s">
        <v>4212</v>
      </c>
      <c r="B348">
        <v>661</v>
      </c>
      <c r="C348" t="s">
        <v>4210</v>
      </c>
      <c r="D348" t="s">
        <v>4211</v>
      </c>
      <c r="E348" t="s">
        <v>661</v>
      </c>
      <c r="F348">
        <f>SUMPRODUCT((LEN(E348)-LEN(SUBSTITUTE(E348,"/","")))) + 1</f>
        <v>1</v>
      </c>
    </row>
    <row r="349" spans="1:6" hidden="1">
      <c r="A349" t="s">
        <v>4215</v>
      </c>
      <c r="B349">
        <v>171</v>
      </c>
      <c r="C349" t="s">
        <v>4213</v>
      </c>
      <c r="D349" t="s">
        <v>4214</v>
      </c>
      <c r="E349" t="s">
        <v>3172</v>
      </c>
      <c r="F349">
        <f>SUMPRODUCT((LEN(E349)-LEN(SUBSTITUTE(E349,"/","")))) + 1</f>
        <v>1</v>
      </c>
    </row>
    <row r="350" spans="1:6" hidden="1">
      <c r="A350" t="s">
        <v>4218</v>
      </c>
      <c r="B350">
        <v>274</v>
      </c>
      <c r="C350" t="s">
        <v>4216</v>
      </c>
      <c r="D350" t="s">
        <v>4217</v>
      </c>
      <c r="E350" t="s">
        <v>3263</v>
      </c>
      <c r="F350">
        <f>SUMPRODUCT((LEN(E350)-LEN(SUBSTITUTE(E350,"/","")))) + 1</f>
        <v>1</v>
      </c>
    </row>
    <row r="351" spans="1:6" hidden="1">
      <c r="A351" t="s">
        <v>4221</v>
      </c>
      <c r="B351">
        <v>211</v>
      </c>
      <c r="C351" t="s">
        <v>4219</v>
      </c>
      <c r="D351" t="s">
        <v>4220</v>
      </c>
      <c r="E351" t="s">
        <v>219</v>
      </c>
      <c r="F351">
        <f>SUMPRODUCT((LEN(E351)-LEN(SUBSTITUTE(E351,"/","")))) + 1</f>
        <v>1</v>
      </c>
    </row>
    <row r="352" spans="1:6" hidden="1">
      <c r="A352" t="s">
        <v>4224</v>
      </c>
      <c r="B352">
        <v>727</v>
      </c>
      <c r="C352" t="s">
        <v>4222</v>
      </c>
      <c r="D352" t="s">
        <v>4223</v>
      </c>
      <c r="E352" t="s">
        <v>143</v>
      </c>
      <c r="F352">
        <f>SUMPRODUCT((LEN(E352)-LEN(SUBSTITUTE(E352,"/","")))) + 1</f>
        <v>1</v>
      </c>
    </row>
    <row r="353" spans="1:6" hidden="1">
      <c r="A353" t="s">
        <v>4227</v>
      </c>
      <c r="B353">
        <v>29</v>
      </c>
      <c r="C353" t="s">
        <v>4225</v>
      </c>
      <c r="D353" t="s">
        <v>4226</v>
      </c>
      <c r="E353" t="s">
        <v>213</v>
      </c>
      <c r="F353">
        <f>SUMPRODUCT((LEN(E353)-LEN(SUBSTITUTE(E353,"/","")))) + 1</f>
        <v>1</v>
      </c>
    </row>
    <row r="354" spans="1:6" hidden="1">
      <c r="A354" t="s">
        <v>4230</v>
      </c>
      <c r="B354">
        <v>815</v>
      </c>
      <c r="C354" t="s">
        <v>4228</v>
      </c>
      <c r="D354" t="s">
        <v>4229</v>
      </c>
      <c r="E354" t="s">
        <v>521</v>
      </c>
      <c r="F354">
        <f>SUMPRODUCT((LEN(E354)-LEN(SUBSTITUTE(E354,"/","")))) + 1</f>
        <v>1</v>
      </c>
    </row>
    <row r="355" spans="1:6" hidden="1">
      <c r="A355" t="s">
        <v>4233</v>
      </c>
      <c r="B355">
        <v>633</v>
      </c>
      <c r="C355" t="s">
        <v>4231</v>
      </c>
      <c r="D355" t="s">
        <v>4232</v>
      </c>
      <c r="E355" t="s">
        <v>213</v>
      </c>
      <c r="F355">
        <f>SUMPRODUCT((LEN(E355)-LEN(SUBSTITUTE(E355,"/","")))) + 1</f>
        <v>1</v>
      </c>
    </row>
    <row r="356" spans="1:6" hidden="1">
      <c r="A356" t="s">
        <v>4236</v>
      </c>
      <c r="B356">
        <v>702</v>
      </c>
      <c r="C356" t="s">
        <v>4234</v>
      </c>
      <c r="D356" t="s">
        <v>4235</v>
      </c>
      <c r="E356" t="s">
        <v>143</v>
      </c>
      <c r="F356">
        <f>SUMPRODUCT((LEN(E356)-LEN(SUBSTITUTE(E356,"/","")))) + 1</f>
        <v>1</v>
      </c>
    </row>
    <row r="357" spans="1:6" hidden="1">
      <c r="A357" t="s">
        <v>4239</v>
      </c>
      <c r="B357">
        <v>301</v>
      </c>
      <c r="C357" t="s">
        <v>4237</v>
      </c>
      <c r="D357" t="s">
        <v>4238</v>
      </c>
      <c r="E357" t="s">
        <v>4240</v>
      </c>
      <c r="F357">
        <f>SUMPRODUCT((LEN(E357)-LEN(SUBSTITUTE(E357,"/","")))) + 1</f>
        <v>2</v>
      </c>
    </row>
    <row r="358" spans="1:6" hidden="1">
      <c r="A358" t="s">
        <v>4243</v>
      </c>
      <c r="B358">
        <v>709</v>
      </c>
      <c r="C358" t="s">
        <v>4241</v>
      </c>
      <c r="D358" t="s">
        <v>4242</v>
      </c>
      <c r="E358" t="s">
        <v>213</v>
      </c>
      <c r="F358">
        <f>SUMPRODUCT((LEN(E358)-LEN(SUBSTITUTE(E358,"/","")))) + 1</f>
        <v>1</v>
      </c>
    </row>
    <row r="359" spans="1:6" hidden="1">
      <c r="A359" t="s">
        <v>4246</v>
      </c>
      <c r="B359">
        <v>634</v>
      </c>
      <c r="C359" t="s">
        <v>4244</v>
      </c>
      <c r="D359" t="s">
        <v>4245</v>
      </c>
      <c r="E359" t="s">
        <v>213</v>
      </c>
      <c r="F359">
        <f>SUMPRODUCT((LEN(E359)-LEN(SUBSTITUTE(E359,"/","")))) + 1</f>
        <v>1</v>
      </c>
    </row>
    <row r="360" spans="1:6" hidden="1">
      <c r="A360" t="s">
        <v>4249</v>
      </c>
      <c r="B360">
        <v>898</v>
      </c>
      <c r="C360" t="s">
        <v>4247</v>
      </c>
      <c r="D360" t="s">
        <v>4248</v>
      </c>
      <c r="E360" t="s">
        <v>3309</v>
      </c>
      <c r="F360">
        <f>SUMPRODUCT((LEN(E360)-LEN(SUBSTITUTE(E360,"/","")))) + 1</f>
        <v>1</v>
      </c>
    </row>
    <row r="361" spans="1:6" hidden="1">
      <c r="A361" t="s">
        <v>4252</v>
      </c>
      <c r="B361">
        <v>720</v>
      </c>
      <c r="C361" t="s">
        <v>4250</v>
      </c>
      <c r="D361" t="s">
        <v>4251</v>
      </c>
      <c r="E361" t="s">
        <v>3745</v>
      </c>
      <c r="F361">
        <f>SUMPRODUCT((LEN(E361)-LEN(SUBSTITUTE(E361,"/","")))) + 1</f>
        <v>3</v>
      </c>
    </row>
    <row r="362" spans="1:6" hidden="1">
      <c r="A362" t="s">
        <v>4255</v>
      </c>
      <c r="B362">
        <v>852</v>
      </c>
      <c r="C362" t="s">
        <v>4253</v>
      </c>
      <c r="D362" t="s">
        <v>4254</v>
      </c>
      <c r="E362" t="s">
        <v>71</v>
      </c>
      <c r="F362">
        <f>SUMPRODUCT((LEN(E362)-LEN(SUBSTITUTE(E362,"/","")))) + 1</f>
        <v>1</v>
      </c>
    </row>
    <row r="363" spans="1:6" hidden="1">
      <c r="A363" t="s">
        <v>4258</v>
      </c>
      <c r="B363">
        <v>921</v>
      </c>
      <c r="C363" t="s">
        <v>4256</v>
      </c>
      <c r="D363" t="s">
        <v>4257</v>
      </c>
      <c r="E363" t="s">
        <v>1532</v>
      </c>
      <c r="F363">
        <f>SUMPRODUCT((LEN(E363)-LEN(SUBSTITUTE(E363,"/","")))) + 1</f>
        <v>1</v>
      </c>
    </row>
    <row r="364" spans="1:6" hidden="1">
      <c r="A364" t="s">
        <v>4261</v>
      </c>
      <c r="B364">
        <v>460</v>
      </c>
      <c r="C364" t="s">
        <v>4259</v>
      </c>
      <c r="D364" t="s">
        <v>4260</v>
      </c>
      <c r="E364" t="s">
        <v>521</v>
      </c>
      <c r="F364">
        <f>SUMPRODUCT((LEN(E364)-LEN(SUBSTITUTE(E364,"/","")))) + 1</f>
        <v>1</v>
      </c>
    </row>
    <row r="365" spans="1:6" hidden="1">
      <c r="A365" t="s">
        <v>4264</v>
      </c>
      <c r="B365">
        <v>479</v>
      </c>
      <c r="C365" t="s">
        <v>4262</v>
      </c>
      <c r="D365" t="s">
        <v>4263</v>
      </c>
      <c r="E365" t="s">
        <v>4265</v>
      </c>
      <c r="F365">
        <f>SUMPRODUCT((LEN(E365)-LEN(SUBSTITUTE(E365,"/","")))) + 1</f>
        <v>3</v>
      </c>
    </row>
    <row r="366" spans="1:6" hidden="1">
      <c r="A366" t="s">
        <v>4268</v>
      </c>
      <c r="B366">
        <v>359</v>
      </c>
      <c r="C366" t="s">
        <v>4266</v>
      </c>
      <c r="D366" t="s">
        <v>4267</v>
      </c>
      <c r="E366" t="s">
        <v>3563</v>
      </c>
      <c r="F366">
        <f>SUMPRODUCT((LEN(E366)-LEN(SUBSTITUTE(E366,"/","")))) + 1</f>
        <v>1</v>
      </c>
    </row>
    <row r="367" spans="1:6" hidden="1">
      <c r="A367" t="s">
        <v>4271</v>
      </c>
      <c r="B367">
        <v>264</v>
      </c>
      <c r="C367" t="s">
        <v>4269</v>
      </c>
      <c r="D367" t="s">
        <v>4270</v>
      </c>
      <c r="E367" t="s">
        <v>3172</v>
      </c>
      <c r="F367">
        <f>SUMPRODUCT((LEN(E367)-LEN(SUBSTITUTE(E367,"/","")))) + 1</f>
        <v>1</v>
      </c>
    </row>
    <row r="368" spans="1:6" hidden="1">
      <c r="A368" t="s">
        <v>4274</v>
      </c>
      <c r="B368">
        <v>437</v>
      </c>
      <c r="C368" t="s">
        <v>4272</v>
      </c>
      <c r="D368" t="s">
        <v>4273</v>
      </c>
      <c r="E368" t="s">
        <v>1532</v>
      </c>
      <c r="F368">
        <f>SUMPRODUCT((LEN(E368)-LEN(SUBSTITUTE(E368,"/","")))) + 1</f>
        <v>1</v>
      </c>
    </row>
    <row r="369" spans="1:6" hidden="1">
      <c r="A369" t="s">
        <v>4277</v>
      </c>
      <c r="B369">
        <v>820</v>
      </c>
      <c r="C369" t="s">
        <v>4275</v>
      </c>
      <c r="D369" t="s">
        <v>4276</v>
      </c>
      <c r="E369" t="s">
        <v>4278</v>
      </c>
      <c r="F369">
        <f>SUMPRODUCT((LEN(E369)-LEN(SUBSTITUTE(E369,"/","")))) + 1</f>
        <v>2</v>
      </c>
    </row>
    <row r="370" spans="1:6" hidden="1">
      <c r="A370" t="s">
        <v>4281</v>
      </c>
      <c r="B370">
        <v>505</v>
      </c>
      <c r="C370" t="s">
        <v>4279</v>
      </c>
      <c r="D370" t="s">
        <v>4280</v>
      </c>
      <c r="E370" t="s">
        <v>1532</v>
      </c>
      <c r="F370">
        <f>SUMPRODUCT((LEN(E370)-LEN(SUBSTITUTE(E370,"/","")))) + 1</f>
        <v>1</v>
      </c>
    </row>
    <row r="371" spans="1:6" hidden="1">
      <c r="A371" t="s">
        <v>4284</v>
      </c>
      <c r="B371">
        <v>557</v>
      </c>
      <c r="C371" t="s">
        <v>4282</v>
      </c>
      <c r="D371" t="s">
        <v>4283</v>
      </c>
      <c r="E371" t="s">
        <v>661</v>
      </c>
      <c r="F371">
        <f>SUMPRODUCT((LEN(E371)-LEN(SUBSTITUTE(E371,"/","")))) + 1</f>
        <v>1</v>
      </c>
    </row>
    <row r="372" spans="1:6" hidden="1">
      <c r="A372" t="s">
        <v>4287</v>
      </c>
      <c r="B372">
        <v>118</v>
      </c>
      <c r="C372" t="s">
        <v>4285</v>
      </c>
      <c r="D372" t="s">
        <v>4286</v>
      </c>
      <c r="E372" t="s">
        <v>219</v>
      </c>
      <c r="F372">
        <f>SUMPRODUCT((LEN(E372)-LEN(SUBSTITUTE(E372,"/","")))) + 1</f>
        <v>1</v>
      </c>
    </row>
    <row r="373" spans="1:6" hidden="1">
      <c r="A373" t="s">
        <v>4290</v>
      </c>
      <c r="B373">
        <v>686</v>
      </c>
      <c r="C373" t="s">
        <v>4288</v>
      </c>
      <c r="D373" t="s">
        <v>4289</v>
      </c>
      <c r="E373" t="s">
        <v>523</v>
      </c>
      <c r="F373">
        <f>SUMPRODUCT((LEN(E373)-LEN(SUBSTITUTE(E373,"/","")))) + 1</f>
        <v>1</v>
      </c>
    </row>
    <row r="374" spans="1:6" hidden="1">
      <c r="A374" t="s">
        <v>4293</v>
      </c>
      <c r="B374">
        <v>570</v>
      </c>
      <c r="C374" t="s">
        <v>4291</v>
      </c>
      <c r="D374" t="s">
        <v>4292</v>
      </c>
      <c r="E374" t="s">
        <v>661</v>
      </c>
      <c r="F374">
        <f>SUMPRODUCT((LEN(E374)-LEN(SUBSTITUTE(E374,"/","")))) + 1</f>
        <v>1</v>
      </c>
    </row>
    <row r="375" spans="1:6" hidden="1">
      <c r="A375" t="s">
        <v>4296</v>
      </c>
      <c r="B375">
        <v>892</v>
      </c>
      <c r="C375" t="s">
        <v>4294</v>
      </c>
      <c r="D375" t="s">
        <v>4295</v>
      </c>
      <c r="E375" t="s">
        <v>71</v>
      </c>
      <c r="F375">
        <f>SUMPRODUCT((LEN(E375)-LEN(SUBSTITUTE(E375,"/","")))) + 1</f>
        <v>1</v>
      </c>
    </row>
    <row r="376" spans="1:6" hidden="1">
      <c r="A376" t="s">
        <v>4299</v>
      </c>
      <c r="B376">
        <v>354</v>
      </c>
      <c r="C376" t="s">
        <v>4297</v>
      </c>
      <c r="D376" t="s">
        <v>4298</v>
      </c>
      <c r="E376" t="s">
        <v>4300</v>
      </c>
      <c r="F376">
        <f>SUMPRODUCT((LEN(E376)-LEN(SUBSTITUTE(E376,"/","")))) + 1</f>
        <v>3</v>
      </c>
    </row>
    <row r="377" spans="1:6" hidden="1">
      <c r="A377" t="s">
        <v>4303</v>
      </c>
      <c r="B377">
        <v>714</v>
      </c>
      <c r="C377" t="s">
        <v>4301</v>
      </c>
      <c r="D377" t="s">
        <v>4302</v>
      </c>
      <c r="E377" t="s">
        <v>4304</v>
      </c>
      <c r="F377">
        <f>SUMPRODUCT((LEN(E377)-LEN(SUBSTITUTE(E377,"/","")))) + 1</f>
        <v>2</v>
      </c>
    </row>
    <row r="378" spans="1:6" hidden="1">
      <c r="A378" t="s">
        <v>4307</v>
      </c>
      <c r="B378">
        <v>107</v>
      </c>
      <c r="C378" t="s">
        <v>4305</v>
      </c>
      <c r="D378" t="s">
        <v>4306</v>
      </c>
      <c r="E378" t="s">
        <v>198</v>
      </c>
      <c r="F378">
        <f>SUMPRODUCT((LEN(E378)-LEN(SUBSTITUTE(E378,"/","")))) + 1</f>
        <v>1</v>
      </c>
    </row>
    <row r="379" spans="1:6" hidden="1">
      <c r="A379" t="s">
        <v>4310</v>
      </c>
      <c r="B379">
        <v>4</v>
      </c>
      <c r="C379" t="s">
        <v>4308</v>
      </c>
      <c r="D379" t="s">
        <v>4309</v>
      </c>
      <c r="E379" t="s">
        <v>213</v>
      </c>
      <c r="F379">
        <f>SUMPRODUCT((LEN(E379)-LEN(SUBSTITUTE(E379,"/","")))) + 1</f>
        <v>1</v>
      </c>
    </row>
    <row r="380" spans="1:6" hidden="1">
      <c r="A380" t="s">
        <v>4313</v>
      </c>
      <c r="B380">
        <v>547</v>
      </c>
      <c r="C380" t="s">
        <v>4311</v>
      </c>
      <c r="D380" t="s">
        <v>4312</v>
      </c>
      <c r="E380" t="s">
        <v>519</v>
      </c>
      <c r="F380">
        <f>SUMPRODUCT((LEN(E380)-LEN(SUBSTITUTE(E380,"/","")))) + 1</f>
        <v>1</v>
      </c>
    </row>
    <row r="381" spans="1:6" hidden="1">
      <c r="A381" t="s">
        <v>4316</v>
      </c>
      <c r="B381">
        <v>782</v>
      </c>
      <c r="C381" t="s">
        <v>4314</v>
      </c>
      <c r="D381" t="s">
        <v>4315</v>
      </c>
      <c r="E381" t="s">
        <v>3179</v>
      </c>
      <c r="F381">
        <f>SUMPRODUCT((LEN(E381)-LEN(SUBSTITUTE(E381,"/","")))) + 1</f>
        <v>1</v>
      </c>
    </row>
    <row r="382" spans="1:6" hidden="1">
      <c r="A382" t="s">
        <v>4319</v>
      </c>
      <c r="B382">
        <v>759</v>
      </c>
      <c r="C382" t="s">
        <v>4317</v>
      </c>
      <c r="D382" t="s">
        <v>4318</v>
      </c>
      <c r="E382" t="s">
        <v>1524</v>
      </c>
      <c r="F382">
        <f>SUMPRODUCT((LEN(E382)-LEN(SUBSTITUTE(E382,"/","")))) + 1</f>
        <v>1</v>
      </c>
    </row>
    <row r="383" spans="1:6" hidden="1">
      <c r="A383" t="s">
        <v>4322</v>
      </c>
      <c r="B383">
        <v>535</v>
      </c>
      <c r="C383" t="s">
        <v>4320</v>
      </c>
      <c r="D383" t="s">
        <v>4321</v>
      </c>
      <c r="E383" t="s">
        <v>523</v>
      </c>
      <c r="F383">
        <f>SUMPRODUCT((LEN(E383)-LEN(SUBSTITUTE(E383,"/","")))) + 1</f>
        <v>1</v>
      </c>
    </row>
    <row r="384" spans="1:6" hidden="1">
      <c r="A384" t="s">
        <v>4325</v>
      </c>
      <c r="B384">
        <v>38</v>
      </c>
      <c r="C384" t="s">
        <v>4323</v>
      </c>
      <c r="D384" t="s">
        <v>4324</v>
      </c>
      <c r="E384" t="s">
        <v>76</v>
      </c>
      <c r="F384">
        <f>SUMPRODUCT((LEN(E384)-LEN(SUBSTITUTE(E384,"/","")))) + 1</f>
        <v>1</v>
      </c>
    </row>
    <row r="385" spans="1:6" hidden="1">
      <c r="A385" t="s">
        <v>4328</v>
      </c>
      <c r="B385">
        <v>603</v>
      </c>
      <c r="C385" t="s">
        <v>4326</v>
      </c>
      <c r="D385" t="s">
        <v>4327</v>
      </c>
      <c r="E385" t="s">
        <v>3179</v>
      </c>
      <c r="F385">
        <f>SUMPRODUCT((LEN(E385)-LEN(SUBSTITUTE(E385,"/","")))) + 1</f>
        <v>1</v>
      </c>
    </row>
    <row r="386" spans="1:6" hidden="1">
      <c r="A386" t="s">
        <v>4331</v>
      </c>
      <c r="B386">
        <v>180</v>
      </c>
      <c r="C386" t="s">
        <v>4329</v>
      </c>
      <c r="D386" t="s">
        <v>4330</v>
      </c>
      <c r="E386" t="s">
        <v>1532</v>
      </c>
      <c r="F386">
        <f>SUMPRODUCT((LEN(E386)-LEN(SUBSTITUTE(E386,"/","")))) + 1</f>
        <v>1</v>
      </c>
    </row>
    <row r="387" spans="1:6" hidden="1">
      <c r="A387" t="s">
        <v>4334</v>
      </c>
      <c r="B387">
        <v>43</v>
      </c>
      <c r="C387" t="s">
        <v>4332</v>
      </c>
      <c r="D387" t="s">
        <v>4333</v>
      </c>
      <c r="E387" t="s">
        <v>110</v>
      </c>
      <c r="F387">
        <f>SUMPRODUCT((LEN(E387)-LEN(SUBSTITUTE(E387,"/","")))) + 1</f>
        <v>1</v>
      </c>
    </row>
    <row r="388" spans="1:6" hidden="1">
      <c r="A388" t="s">
        <v>4337</v>
      </c>
      <c r="B388">
        <v>218</v>
      </c>
      <c r="C388" t="s">
        <v>4335</v>
      </c>
      <c r="D388" t="s">
        <v>4336</v>
      </c>
      <c r="E388" t="s">
        <v>4338</v>
      </c>
      <c r="F388">
        <f>SUMPRODUCT((LEN(E388)-LEN(SUBSTITUTE(E388,"/","")))) + 1</f>
        <v>2</v>
      </c>
    </row>
    <row r="389" spans="1:6" hidden="1">
      <c r="A389" t="s">
        <v>4341</v>
      </c>
      <c r="B389">
        <v>327</v>
      </c>
      <c r="C389" t="s">
        <v>4339</v>
      </c>
      <c r="D389" t="s">
        <v>4340</v>
      </c>
      <c r="E389" t="s">
        <v>4342</v>
      </c>
      <c r="F389">
        <f>SUMPRODUCT((LEN(E389)-LEN(SUBSTITUTE(E389,"/","")))) + 1</f>
        <v>2</v>
      </c>
    </row>
    <row r="390" spans="1:6" hidden="1">
      <c r="A390" t="s">
        <v>4345</v>
      </c>
      <c r="B390">
        <v>396</v>
      </c>
      <c r="C390" t="s">
        <v>4343</v>
      </c>
      <c r="D390" t="s">
        <v>4344</v>
      </c>
      <c r="E390" t="s">
        <v>3172</v>
      </c>
      <c r="F390">
        <f>SUMPRODUCT((LEN(E390)-LEN(SUBSTITUTE(E390,"/","")))) + 1</f>
        <v>1</v>
      </c>
    </row>
    <row r="391" spans="1:6" hidden="1">
      <c r="A391" t="s">
        <v>4348</v>
      </c>
      <c r="B391">
        <v>243</v>
      </c>
      <c r="C391" t="s">
        <v>4346</v>
      </c>
      <c r="D391" t="s">
        <v>4347</v>
      </c>
      <c r="E391" t="s">
        <v>196</v>
      </c>
      <c r="F391">
        <f>SUMPRODUCT((LEN(E391)-LEN(SUBSTITUTE(E391,"/","")))) + 1</f>
        <v>1</v>
      </c>
    </row>
    <row r="392" spans="1:6" hidden="1">
      <c r="A392" t="s">
        <v>4351</v>
      </c>
      <c r="B392">
        <v>622</v>
      </c>
      <c r="C392" t="s">
        <v>4349</v>
      </c>
      <c r="D392" t="s">
        <v>4350</v>
      </c>
      <c r="E392" t="s">
        <v>213</v>
      </c>
      <c r="F392">
        <f>SUMPRODUCT((LEN(E392)-LEN(SUBSTITUTE(E392,"/","")))) + 1</f>
        <v>1</v>
      </c>
    </row>
    <row r="393" spans="1:6" hidden="1">
      <c r="A393" t="s">
        <v>4354</v>
      </c>
      <c r="B393">
        <v>306</v>
      </c>
      <c r="C393" t="s">
        <v>4352</v>
      </c>
      <c r="D393" t="s">
        <v>4353</v>
      </c>
      <c r="E393" t="s">
        <v>745</v>
      </c>
      <c r="F393">
        <f>SUMPRODUCT((LEN(E393)-LEN(SUBSTITUTE(E393,"/","")))) + 1</f>
        <v>1</v>
      </c>
    </row>
    <row r="394" spans="1:6" hidden="1">
      <c r="A394" t="s">
        <v>4357</v>
      </c>
      <c r="B394">
        <v>747</v>
      </c>
      <c r="C394" t="s">
        <v>4355</v>
      </c>
      <c r="D394" t="s">
        <v>4356</v>
      </c>
      <c r="E394" t="s">
        <v>3298</v>
      </c>
      <c r="F394">
        <f>SUMPRODUCT((LEN(E394)-LEN(SUBSTITUTE(E394,"/","")))) + 1</f>
        <v>1</v>
      </c>
    </row>
    <row r="395" spans="1:6" hidden="1">
      <c r="A395" t="s">
        <v>4360</v>
      </c>
      <c r="B395">
        <v>789</v>
      </c>
      <c r="C395" t="s">
        <v>4358</v>
      </c>
      <c r="D395" t="s">
        <v>4359</v>
      </c>
      <c r="E395" t="s">
        <v>3241</v>
      </c>
      <c r="F395">
        <f>SUMPRODUCT((LEN(E395)-LEN(SUBSTITUTE(E395,"/","")))) + 1</f>
        <v>1</v>
      </c>
    </row>
    <row r="396" spans="1:6" hidden="1">
      <c r="A396" t="s">
        <v>4363</v>
      </c>
      <c r="B396">
        <v>629</v>
      </c>
      <c r="C396" t="s">
        <v>4361</v>
      </c>
      <c r="D396" t="s">
        <v>4362</v>
      </c>
      <c r="E396" t="s">
        <v>521</v>
      </c>
      <c r="F396">
        <f>SUMPRODUCT((LEN(E396)-LEN(SUBSTITUTE(E396,"/","")))) + 1</f>
        <v>1</v>
      </c>
    </row>
    <row r="397" spans="1:6" hidden="1">
      <c r="A397" t="s">
        <v>4366</v>
      </c>
      <c r="B397">
        <v>907</v>
      </c>
      <c r="C397" t="s">
        <v>4364</v>
      </c>
      <c r="D397" t="s">
        <v>4365</v>
      </c>
      <c r="E397" t="s">
        <v>3241</v>
      </c>
      <c r="F397">
        <f>SUMPRODUCT((LEN(E397)-LEN(SUBSTITUTE(E397,"/","")))) + 1</f>
        <v>1</v>
      </c>
    </row>
    <row r="398" spans="1:6" hidden="1">
      <c r="A398" t="s">
        <v>4369</v>
      </c>
      <c r="B398">
        <v>693</v>
      </c>
      <c r="C398" t="s">
        <v>4367</v>
      </c>
      <c r="D398" t="s">
        <v>4368</v>
      </c>
      <c r="E398" t="s">
        <v>317</v>
      </c>
      <c r="F398">
        <f>SUMPRODUCT((LEN(E398)-LEN(SUBSTITUTE(E398,"/","")))) + 1</f>
        <v>1</v>
      </c>
    </row>
    <row r="399" spans="1:6" hidden="1">
      <c r="A399" t="s">
        <v>4372</v>
      </c>
      <c r="B399">
        <v>597</v>
      </c>
      <c r="C399" t="s">
        <v>4370</v>
      </c>
      <c r="D399" t="s">
        <v>4371</v>
      </c>
      <c r="E399" t="s">
        <v>1538</v>
      </c>
      <c r="F399">
        <f>SUMPRODUCT((LEN(E399)-LEN(SUBSTITUTE(E399,"/","")))) + 1</f>
        <v>1</v>
      </c>
    </row>
    <row r="400" spans="1:6" hidden="1">
      <c r="A400" t="s">
        <v>4375</v>
      </c>
      <c r="B400">
        <v>749</v>
      </c>
      <c r="C400" t="s">
        <v>4373</v>
      </c>
      <c r="D400" t="s">
        <v>4374</v>
      </c>
      <c r="E400" t="s">
        <v>3298</v>
      </c>
      <c r="F400">
        <f>SUMPRODUCT((LEN(E400)-LEN(SUBSTITUTE(E400,"/","")))) + 1</f>
        <v>1</v>
      </c>
    </row>
    <row r="401" spans="1:6" hidden="1">
      <c r="A401" t="s">
        <v>4378</v>
      </c>
      <c r="B401">
        <v>205</v>
      </c>
      <c r="C401" t="s">
        <v>4376</v>
      </c>
      <c r="D401" t="s">
        <v>4377</v>
      </c>
      <c r="E401" t="s">
        <v>116</v>
      </c>
      <c r="F401">
        <f>SUMPRODUCT((LEN(E401)-LEN(SUBSTITUTE(E401,"/","")))) + 1</f>
        <v>1</v>
      </c>
    </row>
    <row r="402" spans="1:6" hidden="1">
      <c r="A402" t="s">
        <v>4381</v>
      </c>
      <c r="B402">
        <v>470</v>
      </c>
      <c r="C402" t="s">
        <v>4379</v>
      </c>
      <c r="D402" t="s">
        <v>4380</v>
      </c>
      <c r="E402" t="s">
        <v>4382</v>
      </c>
      <c r="F402">
        <f>SUMPRODUCT((LEN(E402)-LEN(SUBSTITUTE(E402,"/","")))) + 1</f>
        <v>2</v>
      </c>
    </row>
    <row r="403" spans="1:6" hidden="1">
      <c r="A403" t="s">
        <v>4385</v>
      </c>
      <c r="B403">
        <v>300</v>
      </c>
      <c r="C403" t="s">
        <v>4383</v>
      </c>
      <c r="D403" t="s">
        <v>4384</v>
      </c>
      <c r="E403" t="s">
        <v>1525</v>
      </c>
      <c r="F403">
        <f>SUMPRODUCT((LEN(E403)-LEN(SUBSTITUTE(E403,"/","")))) + 1</f>
        <v>1</v>
      </c>
    </row>
    <row r="404" spans="1:6" hidden="1">
      <c r="A404" t="s">
        <v>4388</v>
      </c>
      <c r="B404">
        <v>434</v>
      </c>
      <c r="C404" t="s">
        <v>4386</v>
      </c>
      <c r="D404" t="s">
        <v>4387</v>
      </c>
      <c r="E404" t="s">
        <v>1525</v>
      </c>
      <c r="F404">
        <f>SUMPRODUCT((LEN(E404)-LEN(SUBSTITUTE(E404,"/","")))) + 1</f>
        <v>1</v>
      </c>
    </row>
    <row r="405" spans="1:6" hidden="1">
      <c r="A405" t="s">
        <v>4391</v>
      </c>
      <c r="B405">
        <v>719</v>
      </c>
      <c r="C405" t="s">
        <v>4389</v>
      </c>
      <c r="D405" t="s">
        <v>4390</v>
      </c>
      <c r="E405" t="s">
        <v>4392</v>
      </c>
      <c r="F405">
        <f>SUMPRODUCT((LEN(E405)-LEN(SUBSTITUTE(E405,"/","")))) + 1</f>
        <v>5</v>
      </c>
    </row>
    <row r="406" spans="1:6" hidden="1">
      <c r="A406" t="s">
        <v>4395</v>
      </c>
      <c r="B406">
        <v>305</v>
      </c>
      <c r="C406" t="s">
        <v>4393</v>
      </c>
      <c r="D406" t="s">
        <v>4394</v>
      </c>
      <c r="E406" t="s">
        <v>213</v>
      </c>
      <c r="F406">
        <f>SUMPRODUCT((LEN(E406)-LEN(SUBSTITUTE(E406,"/","")))) + 1</f>
        <v>1</v>
      </c>
    </row>
    <row r="407" spans="1:6" hidden="1">
      <c r="A407" t="s">
        <v>4398</v>
      </c>
      <c r="B407">
        <v>257</v>
      </c>
      <c r="C407" t="s">
        <v>4396</v>
      </c>
      <c r="D407" t="s">
        <v>4397</v>
      </c>
      <c r="E407" t="s">
        <v>1538</v>
      </c>
      <c r="F407">
        <f>SUMPRODUCT((LEN(E407)-LEN(SUBSTITUTE(E407,"/","")))) + 1</f>
        <v>1</v>
      </c>
    </row>
    <row r="408" spans="1:6" hidden="1">
      <c r="A408" t="s">
        <v>4401</v>
      </c>
      <c r="B408">
        <v>233</v>
      </c>
      <c r="C408" t="s">
        <v>4399</v>
      </c>
      <c r="D408" t="s">
        <v>4400</v>
      </c>
      <c r="E408" t="s">
        <v>3563</v>
      </c>
      <c r="F408">
        <f>SUMPRODUCT((LEN(E408)-LEN(SUBSTITUTE(E408,"/","")))) + 1</f>
        <v>1</v>
      </c>
    </row>
    <row r="409" spans="1:6" hidden="1">
      <c r="A409" t="s">
        <v>4404</v>
      </c>
      <c r="B409">
        <v>48</v>
      </c>
      <c r="C409" t="s">
        <v>4402</v>
      </c>
      <c r="D409" t="s">
        <v>4403</v>
      </c>
      <c r="E409" t="s">
        <v>72</v>
      </c>
      <c r="F409">
        <f>SUMPRODUCT((LEN(E409)-LEN(SUBSTITUTE(E409,"/","")))) + 1</f>
        <v>1</v>
      </c>
    </row>
    <row r="410" spans="1:6" hidden="1">
      <c r="A410" t="s">
        <v>4407</v>
      </c>
      <c r="B410">
        <v>170</v>
      </c>
      <c r="C410" t="s">
        <v>4405</v>
      </c>
      <c r="D410" t="s">
        <v>4406</v>
      </c>
      <c r="E410" t="s">
        <v>3172</v>
      </c>
      <c r="F410">
        <f>SUMPRODUCT((LEN(E410)-LEN(SUBSTITUTE(E410,"/","")))) + 1</f>
        <v>1</v>
      </c>
    </row>
    <row r="411" spans="1:6" hidden="1">
      <c r="A411" t="s">
        <v>4410</v>
      </c>
      <c r="B411">
        <v>509</v>
      </c>
      <c r="C411" t="s">
        <v>4408</v>
      </c>
      <c r="D411" t="s">
        <v>4409</v>
      </c>
      <c r="E411" t="s">
        <v>3298</v>
      </c>
      <c r="F411">
        <f>SUMPRODUCT((LEN(E411)-LEN(SUBSTITUTE(E411,"/","")))) + 1</f>
        <v>1</v>
      </c>
    </row>
    <row r="412" spans="1:6" hidden="1">
      <c r="A412" t="s">
        <v>4413</v>
      </c>
      <c r="B412">
        <v>276</v>
      </c>
      <c r="C412" t="s">
        <v>4411</v>
      </c>
      <c r="D412" t="s">
        <v>4412</v>
      </c>
      <c r="E412" t="s">
        <v>3263</v>
      </c>
      <c r="F412">
        <f>SUMPRODUCT((LEN(E412)-LEN(SUBSTITUTE(E412,"/","")))) + 1</f>
        <v>1</v>
      </c>
    </row>
    <row r="413" spans="1:6" hidden="1">
      <c r="A413" t="s">
        <v>4416</v>
      </c>
      <c r="B413">
        <v>98</v>
      </c>
      <c r="C413" t="s">
        <v>4414</v>
      </c>
      <c r="D413" t="s">
        <v>4415</v>
      </c>
      <c r="E413" t="s">
        <v>1525</v>
      </c>
      <c r="F413">
        <f>SUMPRODUCT((LEN(E413)-LEN(SUBSTITUTE(E413,"/","")))) + 1</f>
        <v>1</v>
      </c>
    </row>
    <row r="414" spans="1:6" hidden="1">
      <c r="A414" t="s">
        <v>4419</v>
      </c>
      <c r="B414">
        <v>879</v>
      </c>
      <c r="C414" t="s">
        <v>4417</v>
      </c>
      <c r="D414" t="s">
        <v>4418</v>
      </c>
      <c r="E414" t="s">
        <v>4420</v>
      </c>
      <c r="F414">
        <f>SUMPRODUCT((LEN(E414)-LEN(SUBSTITUTE(E414,"/","")))) + 1</f>
        <v>3</v>
      </c>
    </row>
    <row r="415" spans="1:6" hidden="1">
      <c r="A415" t="s">
        <v>4423</v>
      </c>
      <c r="B415">
        <v>334</v>
      </c>
      <c r="C415" t="s">
        <v>4421</v>
      </c>
      <c r="D415" t="s">
        <v>4422</v>
      </c>
      <c r="E415" t="s">
        <v>71</v>
      </c>
      <c r="F415">
        <f>SUMPRODUCT((LEN(E415)-LEN(SUBSTITUTE(E415,"/","")))) + 1</f>
        <v>1</v>
      </c>
    </row>
    <row r="416" spans="1:6" hidden="1">
      <c r="A416" t="s">
        <v>4426</v>
      </c>
      <c r="B416">
        <v>386</v>
      </c>
      <c r="C416" t="s">
        <v>4424</v>
      </c>
      <c r="D416" t="s">
        <v>4425</v>
      </c>
      <c r="E416" t="s">
        <v>1532</v>
      </c>
      <c r="F416">
        <f>SUMPRODUCT((LEN(E416)-LEN(SUBSTITUTE(E416,"/","")))) + 1</f>
        <v>1</v>
      </c>
    </row>
    <row r="417" spans="1:6" hidden="1">
      <c r="A417" t="s">
        <v>4429</v>
      </c>
      <c r="B417">
        <v>624</v>
      </c>
      <c r="C417" t="s">
        <v>4427</v>
      </c>
      <c r="D417" t="s">
        <v>4428</v>
      </c>
      <c r="E417" t="s">
        <v>213</v>
      </c>
      <c r="F417">
        <f>SUMPRODUCT((LEN(E417)-LEN(SUBSTITUTE(E417,"/","")))) + 1</f>
        <v>1</v>
      </c>
    </row>
    <row r="418" spans="1:6" hidden="1">
      <c r="A418" t="s">
        <v>4432</v>
      </c>
      <c r="B418">
        <v>200</v>
      </c>
      <c r="C418" t="s">
        <v>4430</v>
      </c>
      <c r="D418" t="s">
        <v>4431</v>
      </c>
      <c r="E418" t="s">
        <v>1525</v>
      </c>
      <c r="F418">
        <f>SUMPRODUCT((LEN(E418)-LEN(SUBSTITUTE(E418,"/","")))) + 1</f>
        <v>1</v>
      </c>
    </row>
    <row r="419" spans="1:6" hidden="1">
      <c r="A419" t="s">
        <v>4435</v>
      </c>
      <c r="B419">
        <v>5</v>
      </c>
      <c r="C419" t="s">
        <v>4433</v>
      </c>
      <c r="D419" t="s">
        <v>4434</v>
      </c>
      <c r="E419" t="s">
        <v>745</v>
      </c>
      <c r="F419">
        <f>SUMPRODUCT((LEN(E419)-LEN(SUBSTITUTE(E419,"/","")))) + 1</f>
        <v>1</v>
      </c>
    </row>
    <row r="420" spans="1:6" hidden="1">
      <c r="A420" t="s">
        <v>4438</v>
      </c>
      <c r="B420">
        <v>251</v>
      </c>
      <c r="C420" t="s">
        <v>4436</v>
      </c>
      <c r="D420" t="s">
        <v>4437</v>
      </c>
      <c r="E420" t="s">
        <v>220</v>
      </c>
      <c r="F420">
        <f>SUMPRODUCT((LEN(E420)-LEN(SUBSTITUTE(E420,"/","")))) + 1</f>
        <v>1</v>
      </c>
    </row>
    <row r="421" spans="1:6" hidden="1">
      <c r="A421" t="s">
        <v>4441</v>
      </c>
      <c r="B421">
        <v>502</v>
      </c>
      <c r="C421" t="s">
        <v>4439</v>
      </c>
      <c r="D421" t="s">
        <v>4440</v>
      </c>
      <c r="E421" t="s">
        <v>1524</v>
      </c>
      <c r="F421">
        <f>SUMPRODUCT((LEN(E421)-LEN(SUBSTITUTE(E421,"/","")))) + 1</f>
        <v>1</v>
      </c>
    </row>
    <row r="422" spans="1:6" hidden="1">
      <c r="A422" t="s">
        <v>4444</v>
      </c>
      <c r="B422">
        <v>733</v>
      </c>
      <c r="C422" t="s">
        <v>4442</v>
      </c>
      <c r="D422" t="s">
        <v>4443</v>
      </c>
      <c r="E422" t="s">
        <v>4445</v>
      </c>
      <c r="F422">
        <f>SUMPRODUCT((LEN(E422)-LEN(SUBSTITUTE(E422,"/","")))) + 1</f>
        <v>2</v>
      </c>
    </row>
    <row r="423" spans="1:6" hidden="1">
      <c r="A423" t="s">
        <v>4448</v>
      </c>
      <c r="B423">
        <v>544</v>
      </c>
      <c r="C423" t="s">
        <v>4446</v>
      </c>
      <c r="D423" t="s">
        <v>4447</v>
      </c>
      <c r="E423" t="s">
        <v>3172</v>
      </c>
      <c r="F423">
        <f>SUMPRODUCT((LEN(E423)-LEN(SUBSTITUTE(E423,"/","")))) + 1</f>
        <v>1</v>
      </c>
    </row>
    <row r="424" spans="1:6" hidden="1">
      <c r="A424" t="s">
        <v>4451</v>
      </c>
      <c r="B424">
        <v>604</v>
      </c>
      <c r="C424" t="s">
        <v>4449</v>
      </c>
      <c r="D424" t="s">
        <v>4450</v>
      </c>
      <c r="E424" t="s">
        <v>3179</v>
      </c>
      <c r="F424">
        <f>SUMPRODUCT((LEN(E424)-LEN(SUBSTITUTE(E424,"/","")))) + 1</f>
        <v>1</v>
      </c>
    </row>
    <row r="425" spans="1:6" hidden="1">
      <c r="A425" t="s">
        <v>4454</v>
      </c>
      <c r="B425">
        <v>455</v>
      </c>
      <c r="C425" t="s">
        <v>4452</v>
      </c>
      <c r="D425" t="s">
        <v>4453</v>
      </c>
      <c r="E425" t="s">
        <v>519</v>
      </c>
      <c r="F425">
        <f>SUMPRODUCT((LEN(E425)-LEN(SUBSTITUTE(E425,"/","")))) + 1</f>
        <v>1</v>
      </c>
    </row>
    <row r="426" spans="1:6" hidden="1">
      <c r="A426" t="s">
        <v>4457</v>
      </c>
      <c r="B426">
        <v>231</v>
      </c>
      <c r="C426" t="s">
        <v>4455</v>
      </c>
      <c r="D426" t="s">
        <v>4456</v>
      </c>
      <c r="E426" t="s">
        <v>3563</v>
      </c>
      <c r="F426">
        <f>SUMPRODUCT((LEN(E426)-LEN(SUBSTITUTE(E426,"/","")))) + 1</f>
        <v>1</v>
      </c>
    </row>
    <row r="427" spans="1:6" hidden="1">
      <c r="A427" t="s">
        <v>4460</v>
      </c>
      <c r="B427">
        <v>137</v>
      </c>
      <c r="C427" t="s">
        <v>4458</v>
      </c>
      <c r="D427" t="s">
        <v>4459</v>
      </c>
      <c r="E427" t="s">
        <v>110</v>
      </c>
      <c r="F427">
        <f>SUMPRODUCT((LEN(E427)-LEN(SUBSTITUTE(E427,"/","")))) + 1</f>
        <v>1</v>
      </c>
    </row>
    <row r="428" spans="1:6" hidden="1">
      <c r="A428" t="s">
        <v>4463</v>
      </c>
      <c r="B428">
        <v>443</v>
      </c>
      <c r="C428" t="s">
        <v>4461</v>
      </c>
      <c r="D428" t="s">
        <v>4462</v>
      </c>
      <c r="E428" t="s">
        <v>317</v>
      </c>
      <c r="F428">
        <f>SUMPRODUCT((LEN(E428)-LEN(SUBSTITUTE(E428,"/","")))) + 1</f>
        <v>1</v>
      </c>
    </row>
    <row r="429" spans="1:6" hidden="1">
      <c r="A429" t="s">
        <v>4466</v>
      </c>
      <c r="B429">
        <v>792</v>
      </c>
      <c r="C429" t="s">
        <v>4464</v>
      </c>
      <c r="D429" t="s">
        <v>4465</v>
      </c>
      <c r="E429" t="s">
        <v>1525</v>
      </c>
      <c r="F429">
        <f>SUMPRODUCT((LEN(E429)-LEN(SUBSTITUTE(E429,"/","")))) + 1</f>
        <v>1</v>
      </c>
    </row>
    <row r="430" spans="1:6" hidden="1">
      <c r="A430" t="s">
        <v>4469</v>
      </c>
      <c r="B430">
        <v>193</v>
      </c>
      <c r="C430" t="s">
        <v>4467</v>
      </c>
      <c r="D430" t="s">
        <v>4468</v>
      </c>
      <c r="E430" t="s">
        <v>1532</v>
      </c>
      <c r="F430">
        <f>SUMPRODUCT((LEN(E430)-LEN(SUBSTITUTE(E430,"/","")))) + 1</f>
        <v>1</v>
      </c>
    </row>
    <row r="431" spans="1:6" hidden="1">
      <c r="A431" t="s">
        <v>4472</v>
      </c>
      <c r="B431">
        <v>608</v>
      </c>
      <c r="C431" t="s">
        <v>4470</v>
      </c>
      <c r="D431" t="s">
        <v>4471</v>
      </c>
      <c r="E431" t="s">
        <v>3179</v>
      </c>
      <c r="F431">
        <f>SUMPRODUCT((LEN(E431)-LEN(SUBSTITUTE(E431,"/","")))) + 1</f>
        <v>1</v>
      </c>
    </row>
    <row r="432" spans="1:6" hidden="1">
      <c r="A432" t="s">
        <v>4475</v>
      </c>
      <c r="B432">
        <v>322</v>
      </c>
      <c r="C432" t="s">
        <v>4473</v>
      </c>
      <c r="D432" t="s">
        <v>4474</v>
      </c>
      <c r="E432" t="s">
        <v>219</v>
      </c>
      <c r="F432">
        <f>SUMPRODUCT((LEN(E432)-LEN(SUBSTITUTE(E432,"/","")))) + 1</f>
        <v>1</v>
      </c>
    </row>
    <row r="433" spans="1:6">
      <c r="A433" t="s">
        <v>4478</v>
      </c>
      <c r="B433">
        <v>495</v>
      </c>
      <c r="C433" t="s">
        <v>4476</v>
      </c>
      <c r="D433" t="s">
        <v>4477</v>
      </c>
      <c r="E433" t="s">
        <v>4479</v>
      </c>
      <c r="F433">
        <f>SUMPRODUCT((LEN(E433)-LEN(SUBSTITUTE(E433,"/","")))) + 1</f>
        <v>2</v>
      </c>
    </row>
    <row r="434" spans="1:6" hidden="1">
      <c r="A434" t="s">
        <v>4482</v>
      </c>
      <c r="B434">
        <v>159</v>
      </c>
      <c r="C434" t="s">
        <v>4480</v>
      </c>
      <c r="D434" t="s">
        <v>4481</v>
      </c>
      <c r="E434" t="s">
        <v>1538</v>
      </c>
      <c r="F434">
        <f>SUMPRODUCT((LEN(E434)-LEN(SUBSTITUTE(E434,"/","")))) + 1</f>
        <v>1</v>
      </c>
    </row>
    <row r="435" spans="1:6" hidden="1">
      <c r="A435" t="s">
        <v>4485</v>
      </c>
      <c r="B435">
        <v>591</v>
      </c>
      <c r="C435" t="s">
        <v>4483</v>
      </c>
      <c r="D435" t="s">
        <v>4484</v>
      </c>
      <c r="E435" t="s">
        <v>1541</v>
      </c>
      <c r="F435">
        <f>SUMPRODUCT((LEN(E435)-LEN(SUBSTITUTE(E435,"/","")))) + 1</f>
        <v>1</v>
      </c>
    </row>
    <row r="436" spans="1:6" hidden="1">
      <c r="A436" t="s">
        <v>4488</v>
      </c>
      <c r="B436">
        <v>74</v>
      </c>
      <c r="C436" t="s">
        <v>4486</v>
      </c>
      <c r="D436" t="s">
        <v>4487</v>
      </c>
      <c r="E436" t="s">
        <v>1538</v>
      </c>
      <c r="F436">
        <f>SUMPRODUCT((LEN(E436)-LEN(SUBSTITUTE(E436,"/","")))) + 1</f>
        <v>1</v>
      </c>
    </row>
    <row r="437" spans="1:6" hidden="1">
      <c r="A437" t="s">
        <v>4491</v>
      </c>
      <c r="B437">
        <v>190</v>
      </c>
      <c r="C437" t="s">
        <v>4489</v>
      </c>
      <c r="D437" t="s">
        <v>4490</v>
      </c>
      <c r="E437" t="s">
        <v>1525</v>
      </c>
      <c r="F437">
        <f>SUMPRODUCT((LEN(E437)-LEN(SUBSTITUTE(E437,"/","")))) + 1</f>
        <v>1</v>
      </c>
    </row>
    <row r="438" spans="1:6" hidden="1">
      <c r="A438" t="s">
        <v>4494</v>
      </c>
      <c r="B438">
        <v>374</v>
      </c>
      <c r="C438" t="s">
        <v>4492</v>
      </c>
      <c r="D438" t="s">
        <v>4493</v>
      </c>
      <c r="E438" t="s">
        <v>74</v>
      </c>
      <c r="F438">
        <f>SUMPRODUCT((LEN(E438)-LEN(SUBSTITUTE(E438,"/","")))) + 1</f>
        <v>1</v>
      </c>
    </row>
    <row r="439" spans="1:6" hidden="1">
      <c r="A439" t="s">
        <v>4497</v>
      </c>
      <c r="B439">
        <v>556</v>
      </c>
      <c r="C439" t="s">
        <v>4495</v>
      </c>
      <c r="D439" t="s">
        <v>4496</v>
      </c>
      <c r="E439" t="s">
        <v>213</v>
      </c>
      <c r="F439">
        <f>SUMPRODUCT((LEN(E439)-LEN(SUBSTITUTE(E439,"/","")))) + 1</f>
        <v>1</v>
      </c>
    </row>
    <row r="440" spans="1:6" hidden="1">
      <c r="A440" t="s">
        <v>4500</v>
      </c>
      <c r="B440">
        <v>742</v>
      </c>
      <c r="C440" t="s">
        <v>4498</v>
      </c>
      <c r="D440" t="s">
        <v>4499</v>
      </c>
      <c r="E440" t="s">
        <v>1538</v>
      </c>
      <c r="F440">
        <f>SUMPRODUCT((LEN(E440)-LEN(SUBSTITUTE(E440,"/","")))) + 1</f>
        <v>1</v>
      </c>
    </row>
    <row r="441" spans="1:6" hidden="1">
      <c r="A441" t="s">
        <v>4503</v>
      </c>
      <c r="B441">
        <v>195</v>
      </c>
      <c r="C441" t="s">
        <v>4501</v>
      </c>
      <c r="D441" t="s">
        <v>4502</v>
      </c>
      <c r="E441" t="s">
        <v>1524</v>
      </c>
      <c r="F441">
        <f>SUMPRODUCT((LEN(E441)-LEN(SUBSTITUTE(E441,"/","")))) + 1</f>
        <v>1</v>
      </c>
    </row>
    <row r="442" spans="1:6" hidden="1">
      <c r="A442" t="s">
        <v>4506</v>
      </c>
      <c r="B442">
        <v>61</v>
      </c>
      <c r="C442" t="s">
        <v>4504</v>
      </c>
      <c r="D442" t="s">
        <v>4505</v>
      </c>
      <c r="E442" t="s">
        <v>74</v>
      </c>
      <c r="F442">
        <f>SUMPRODUCT((LEN(E442)-LEN(SUBSTITUTE(E442,"/","")))) + 1</f>
        <v>1</v>
      </c>
    </row>
    <row r="443" spans="1:6" hidden="1">
      <c r="A443" t="s">
        <v>4509</v>
      </c>
      <c r="B443">
        <v>896</v>
      </c>
      <c r="C443" t="s">
        <v>4507</v>
      </c>
      <c r="D443" t="s">
        <v>4508</v>
      </c>
      <c r="E443" t="s">
        <v>3309</v>
      </c>
      <c r="F443">
        <f>SUMPRODUCT((LEN(E443)-LEN(SUBSTITUTE(E443,"/","")))) + 1</f>
        <v>1</v>
      </c>
    </row>
    <row r="444" spans="1:6" hidden="1">
      <c r="A444" t="s">
        <v>4512</v>
      </c>
      <c r="B444">
        <v>447</v>
      </c>
      <c r="C444" t="s">
        <v>4510</v>
      </c>
      <c r="D444" t="s">
        <v>4511</v>
      </c>
      <c r="E444" t="s">
        <v>3737</v>
      </c>
      <c r="F444">
        <f>SUMPRODUCT((LEN(E444)-LEN(SUBSTITUTE(E444,"/","")))) + 1</f>
        <v>1</v>
      </c>
    </row>
    <row r="445" spans="1:6" hidden="1">
      <c r="A445" t="s">
        <v>4515</v>
      </c>
      <c r="B445">
        <v>73</v>
      </c>
      <c r="C445" t="s">
        <v>4513</v>
      </c>
      <c r="D445" t="s">
        <v>4514</v>
      </c>
      <c r="E445" t="s">
        <v>1538</v>
      </c>
      <c r="F445">
        <f>SUMPRODUCT((LEN(E445)-LEN(SUBSTITUTE(E445,"/","")))) + 1</f>
        <v>1</v>
      </c>
    </row>
    <row r="446" spans="1:6" hidden="1">
      <c r="A446" t="s">
        <v>4518</v>
      </c>
      <c r="B446">
        <v>406</v>
      </c>
      <c r="C446" t="s">
        <v>4516</v>
      </c>
      <c r="D446" t="s">
        <v>4517</v>
      </c>
      <c r="E446" t="s">
        <v>1541</v>
      </c>
      <c r="F446">
        <f>SUMPRODUCT((LEN(E446)-LEN(SUBSTITUTE(E446,"/","")))) + 1</f>
        <v>1</v>
      </c>
    </row>
    <row r="447" spans="1:6" hidden="1">
      <c r="A447" t="s">
        <v>4521</v>
      </c>
      <c r="B447">
        <v>412</v>
      </c>
      <c r="C447" t="s">
        <v>4519</v>
      </c>
      <c r="D447" t="s">
        <v>4520</v>
      </c>
      <c r="E447" t="s">
        <v>3172</v>
      </c>
      <c r="F447">
        <f>SUMPRODUCT((LEN(E447)-LEN(SUBSTITUTE(E447,"/","")))) + 1</f>
        <v>1</v>
      </c>
    </row>
    <row r="448" spans="1:6" hidden="1">
      <c r="A448" t="s">
        <v>4524</v>
      </c>
      <c r="B448">
        <v>507</v>
      </c>
      <c r="C448" t="s">
        <v>4522</v>
      </c>
      <c r="D448" t="s">
        <v>4523</v>
      </c>
      <c r="E448" t="s">
        <v>3298</v>
      </c>
      <c r="F448">
        <f>SUMPRODUCT((LEN(E448)-LEN(SUBSTITUTE(E448,"/","")))) + 1</f>
        <v>1</v>
      </c>
    </row>
    <row r="449" spans="1:6" hidden="1">
      <c r="A449" t="s">
        <v>4527</v>
      </c>
      <c r="B449">
        <v>408</v>
      </c>
      <c r="C449" t="s">
        <v>4525</v>
      </c>
      <c r="D449" t="s">
        <v>4526</v>
      </c>
      <c r="E449" t="s">
        <v>1538</v>
      </c>
      <c r="F449">
        <f>SUMPRODUCT((LEN(E449)-LEN(SUBSTITUTE(E449,"/","")))) + 1</f>
        <v>1</v>
      </c>
    </row>
    <row r="450" spans="1:6" hidden="1">
      <c r="A450" t="s">
        <v>4530</v>
      </c>
      <c r="B450">
        <v>912</v>
      </c>
      <c r="C450" t="s">
        <v>4528</v>
      </c>
      <c r="D450" t="s">
        <v>4529</v>
      </c>
      <c r="E450" t="s">
        <v>1524</v>
      </c>
      <c r="F450">
        <f>SUMPRODUCT((LEN(E450)-LEN(SUBSTITUTE(E450,"/","")))) + 1</f>
        <v>1</v>
      </c>
    </row>
    <row r="451" spans="1:6" hidden="1">
      <c r="A451" t="s">
        <v>4533</v>
      </c>
      <c r="B451">
        <v>270</v>
      </c>
      <c r="C451" t="s">
        <v>4531</v>
      </c>
      <c r="D451" t="s">
        <v>4532</v>
      </c>
      <c r="E451" t="s">
        <v>1524</v>
      </c>
      <c r="F451">
        <f>SUMPRODUCT((LEN(E451)-LEN(SUBSTITUTE(E451,"/","")))) + 1</f>
        <v>1</v>
      </c>
    </row>
    <row r="452" spans="1:6" hidden="1">
      <c r="A452" t="s">
        <v>4536</v>
      </c>
      <c r="B452">
        <v>461</v>
      </c>
      <c r="C452" t="s">
        <v>4534</v>
      </c>
      <c r="D452" t="s">
        <v>4535</v>
      </c>
      <c r="E452" t="s">
        <v>213</v>
      </c>
      <c r="F452">
        <f>SUMPRODUCT((LEN(E452)-LEN(SUBSTITUTE(E452,"/","")))) + 1</f>
        <v>1</v>
      </c>
    </row>
    <row r="453" spans="1:6" hidden="1">
      <c r="A453" t="s">
        <v>4539</v>
      </c>
      <c r="B453">
        <v>379</v>
      </c>
      <c r="C453" t="s">
        <v>4537</v>
      </c>
      <c r="D453" t="s">
        <v>4538</v>
      </c>
      <c r="E453" t="s">
        <v>220</v>
      </c>
      <c r="F453">
        <f>SUMPRODUCT((LEN(E453)-LEN(SUBSTITUTE(E453,"/","")))) + 1</f>
        <v>1</v>
      </c>
    </row>
    <row r="454" spans="1:6" hidden="1">
      <c r="A454" t="s">
        <v>4542</v>
      </c>
      <c r="B454">
        <v>778</v>
      </c>
      <c r="C454" t="s">
        <v>4540</v>
      </c>
      <c r="D454" t="s">
        <v>4541</v>
      </c>
      <c r="E454" t="s">
        <v>72</v>
      </c>
      <c r="F454">
        <f>SUMPRODUCT((LEN(E454)-LEN(SUBSTITUTE(E454,"/","")))) + 1</f>
        <v>1</v>
      </c>
    </row>
    <row r="455" spans="1:6" hidden="1">
      <c r="A455" t="s">
        <v>4545</v>
      </c>
      <c r="B455">
        <v>295</v>
      </c>
      <c r="C455" t="s">
        <v>4543</v>
      </c>
      <c r="D455" t="s">
        <v>4544</v>
      </c>
      <c r="E455" t="s">
        <v>1532</v>
      </c>
      <c r="F455">
        <f>SUMPRODUCT((LEN(E455)-LEN(SUBSTITUTE(E455,"/","")))) + 1</f>
        <v>1</v>
      </c>
    </row>
    <row r="456" spans="1:6" hidden="1">
      <c r="A456" t="s">
        <v>4548</v>
      </c>
      <c r="B456">
        <v>526</v>
      </c>
      <c r="C456" t="s">
        <v>4546</v>
      </c>
      <c r="D456" t="s">
        <v>4547</v>
      </c>
      <c r="E456" t="s">
        <v>1525</v>
      </c>
      <c r="F456">
        <f>SUMPRODUCT((LEN(E456)-LEN(SUBSTITUTE(E456,"/","")))) + 1</f>
        <v>1</v>
      </c>
    </row>
    <row r="457" spans="1:6" hidden="1">
      <c r="A457" t="s">
        <v>4551</v>
      </c>
      <c r="B457">
        <v>454</v>
      </c>
      <c r="C457" t="s">
        <v>4549</v>
      </c>
      <c r="D457" t="s">
        <v>4550</v>
      </c>
      <c r="E457" t="s">
        <v>519</v>
      </c>
      <c r="F457">
        <f>SUMPRODUCT((LEN(E457)-LEN(SUBSTITUTE(E457,"/","")))) + 1</f>
        <v>1</v>
      </c>
    </row>
    <row r="458" spans="1:6" hidden="1">
      <c r="A458" t="s">
        <v>4554</v>
      </c>
      <c r="B458">
        <v>503</v>
      </c>
      <c r="C458" t="s">
        <v>4552</v>
      </c>
      <c r="D458" t="s">
        <v>4553</v>
      </c>
      <c r="E458" t="s">
        <v>1541</v>
      </c>
      <c r="F458">
        <f>SUMPRODUCT((LEN(E458)-LEN(SUBSTITUTE(E458,"/","")))) + 1</f>
        <v>1</v>
      </c>
    </row>
    <row r="459" spans="1:6" hidden="1">
      <c r="A459" t="s">
        <v>4557</v>
      </c>
      <c r="B459">
        <v>279</v>
      </c>
      <c r="C459" t="s">
        <v>4555</v>
      </c>
      <c r="D459" t="s">
        <v>4556</v>
      </c>
      <c r="E459" t="s">
        <v>3172</v>
      </c>
      <c r="F459">
        <f>SUMPRODUCT((LEN(E459)-LEN(SUBSTITUTE(E459,"/","")))) + 1</f>
        <v>1</v>
      </c>
    </row>
    <row r="460" spans="1:6" hidden="1">
      <c r="A460" t="s">
        <v>4560</v>
      </c>
      <c r="B460">
        <v>831</v>
      </c>
      <c r="C460" t="s">
        <v>4558</v>
      </c>
      <c r="D460" t="s">
        <v>4559</v>
      </c>
      <c r="E460" t="s">
        <v>745</v>
      </c>
      <c r="F460">
        <f>SUMPRODUCT((LEN(E460)-LEN(SUBSTITUTE(E460,"/","")))) + 1</f>
        <v>1</v>
      </c>
    </row>
    <row r="461" spans="1:6" hidden="1">
      <c r="A461" t="s">
        <v>4563</v>
      </c>
      <c r="B461">
        <v>6</v>
      </c>
      <c r="C461" t="s">
        <v>4561</v>
      </c>
      <c r="D461" t="s">
        <v>4562</v>
      </c>
      <c r="E461" t="s">
        <v>661</v>
      </c>
      <c r="F461">
        <f>SUMPRODUCT((LEN(E461)-LEN(SUBSTITUTE(E461,"/","")))) + 1</f>
        <v>1</v>
      </c>
    </row>
    <row r="462" spans="1:6" hidden="1">
      <c r="A462" t="s">
        <v>4566</v>
      </c>
      <c r="B462">
        <v>632</v>
      </c>
      <c r="C462" t="s">
        <v>4564</v>
      </c>
      <c r="D462" t="s">
        <v>4565</v>
      </c>
      <c r="E462" t="s">
        <v>3284</v>
      </c>
      <c r="F462">
        <f>SUMPRODUCT((LEN(E462)-LEN(SUBSTITUTE(E462,"/","")))) + 1</f>
        <v>2</v>
      </c>
    </row>
    <row r="463" spans="1:6" hidden="1">
      <c r="A463" t="s">
        <v>4569</v>
      </c>
      <c r="B463">
        <v>462</v>
      </c>
      <c r="C463" t="s">
        <v>4567</v>
      </c>
      <c r="D463" t="s">
        <v>4568</v>
      </c>
      <c r="E463" t="s">
        <v>661</v>
      </c>
      <c r="F463">
        <f>SUMPRODUCT((LEN(E463)-LEN(SUBSTITUTE(E463,"/","")))) + 1</f>
        <v>1</v>
      </c>
    </row>
    <row r="464" spans="1:6" hidden="1">
      <c r="A464" t="s">
        <v>4572</v>
      </c>
      <c r="B464">
        <v>799</v>
      </c>
      <c r="C464" t="s">
        <v>4570</v>
      </c>
      <c r="D464" t="s">
        <v>4571</v>
      </c>
      <c r="E464" t="s">
        <v>523</v>
      </c>
      <c r="F464">
        <f>SUMPRODUCT((LEN(E464)-LEN(SUBSTITUTE(E464,"/","")))) + 1</f>
        <v>1</v>
      </c>
    </row>
    <row r="465" spans="1:6" hidden="1">
      <c r="A465" t="s">
        <v>4575</v>
      </c>
      <c r="B465">
        <v>372</v>
      </c>
      <c r="C465" t="s">
        <v>4573</v>
      </c>
      <c r="D465" t="s">
        <v>4574</v>
      </c>
      <c r="E465" t="s">
        <v>74</v>
      </c>
      <c r="F465">
        <f>SUMPRODUCT((LEN(E465)-LEN(SUBSTITUTE(E465,"/","")))) + 1</f>
        <v>1</v>
      </c>
    </row>
    <row r="466" spans="1:6" hidden="1">
      <c r="A466" t="s">
        <v>4578</v>
      </c>
      <c r="B466">
        <v>414</v>
      </c>
      <c r="C466" t="s">
        <v>4576</v>
      </c>
      <c r="D466" t="s">
        <v>4577</v>
      </c>
      <c r="E466" t="s">
        <v>1532</v>
      </c>
      <c r="F466">
        <f>SUMPRODUCT((LEN(E466)-LEN(SUBSTITUTE(E466,"/","")))) + 1</f>
        <v>1</v>
      </c>
    </row>
    <row r="467" spans="1:6" hidden="1">
      <c r="A467" t="s">
        <v>4581</v>
      </c>
      <c r="B467">
        <v>19</v>
      </c>
      <c r="C467" t="s">
        <v>4579</v>
      </c>
      <c r="D467" t="s">
        <v>4580</v>
      </c>
      <c r="E467" t="s">
        <v>111</v>
      </c>
      <c r="F467">
        <f>SUMPRODUCT((LEN(E467)-LEN(SUBSTITUTE(E467,"/","")))) + 1</f>
        <v>1</v>
      </c>
    </row>
    <row r="468" spans="1:6" hidden="1">
      <c r="A468" t="s">
        <v>4584</v>
      </c>
      <c r="B468">
        <v>798</v>
      </c>
      <c r="C468" t="s">
        <v>4582</v>
      </c>
      <c r="D468" t="s">
        <v>4583</v>
      </c>
      <c r="E468" t="s">
        <v>523</v>
      </c>
      <c r="F468">
        <f>SUMPRODUCT((LEN(E468)-LEN(SUBSTITUTE(E468,"/","")))) + 1</f>
        <v>1</v>
      </c>
    </row>
    <row r="469" spans="1:6" hidden="1">
      <c r="A469" t="s">
        <v>4587</v>
      </c>
      <c r="B469">
        <v>206</v>
      </c>
      <c r="C469" t="s">
        <v>4585</v>
      </c>
      <c r="D469" t="s">
        <v>4586</v>
      </c>
      <c r="E469" t="s">
        <v>661</v>
      </c>
      <c r="F469">
        <f>SUMPRODUCT((LEN(E469)-LEN(SUBSTITUTE(E469,"/","")))) + 1</f>
        <v>1</v>
      </c>
    </row>
    <row r="470" spans="1:6" hidden="1">
      <c r="A470" t="s">
        <v>4590</v>
      </c>
      <c r="B470">
        <v>549</v>
      </c>
      <c r="C470" t="s">
        <v>4588</v>
      </c>
      <c r="D470" t="s">
        <v>4589</v>
      </c>
      <c r="E470" t="s">
        <v>519</v>
      </c>
      <c r="F470">
        <f>SUMPRODUCT((LEN(E470)-LEN(SUBSTITUTE(E470,"/","")))) + 1</f>
        <v>1</v>
      </c>
    </row>
    <row r="471" spans="1:6" hidden="1">
      <c r="A471" t="s">
        <v>4593</v>
      </c>
      <c r="B471">
        <v>832</v>
      </c>
      <c r="C471" t="s">
        <v>4591</v>
      </c>
      <c r="D471" t="s">
        <v>4592</v>
      </c>
      <c r="E471" t="s">
        <v>661</v>
      </c>
      <c r="F471">
        <f>SUMPRODUCT((LEN(E471)-LEN(SUBSTITUTE(E471,"/","")))) + 1</f>
        <v>1</v>
      </c>
    </row>
    <row r="472" spans="1:6" hidden="1">
      <c r="A472" t="s">
        <v>4596</v>
      </c>
      <c r="B472">
        <v>92</v>
      </c>
      <c r="C472" t="s">
        <v>4594</v>
      </c>
      <c r="D472" t="s">
        <v>4595</v>
      </c>
      <c r="E472" t="s">
        <v>3172</v>
      </c>
      <c r="F472">
        <f>SUMPRODUCT((LEN(E472)-LEN(SUBSTITUTE(E472,"/","")))) + 1</f>
        <v>1</v>
      </c>
    </row>
    <row r="473" spans="1:6" hidden="1">
      <c r="A473" t="s">
        <v>4599</v>
      </c>
      <c r="B473">
        <v>426</v>
      </c>
      <c r="C473" t="s">
        <v>4597</v>
      </c>
      <c r="D473" t="s">
        <v>4598</v>
      </c>
      <c r="E473" t="s">
        <v>1538</v>
      </c>
      <c r="F473">
        <f>SUMPRODUCT((LEN(E473)-LEN(SUBSTITUTE(E473,"/","")))) + 1</f>
        <v>1</v>
      </c>
    </row>
    <row r="474" spans="1:6" hidden="1">
      <c r="A474" t="s">
        <v>4602</v>
      </c>
      <c r="B474">
        <v>7</v>
      </c>
      <c r="C474" t="s">
        <v>4600</v>
      </c>
      <c r="D474" t="s">
        <v>4601</v>
      </c>
      <c r="E474" t="s">
        <v>745</v>
      </c>
      <c r="F474">
        <f>SUMPRODUCT((LEN(E474)-LEN(SUBSTITUTE(E474,"/","")))) + 1</f>
        <v>1</v>
      </c>
    </row>
    <row r="475" spans="1:6" hidden="1">
      <c r="A475" t="s">
        <v>4605</v>
      </c>
      <c r="B475">
        <v>203</v>
      </c>
      <c r="C475" t="s">
        <v>4603</v>
      </c>
      <c r="D475" t="s">
        <v>4604</v>
      </c>
      <c r="E475" t="s">
        <v>115</v>
      </c>
      <c r="F475">
        <f>SUMPRODUCT((LEN(E475)-LEN(SUBSTITUTE(E475,"/","")))) + 1</f>
        <v>1</v>
      </c>
    </row>
    <row r="476" spans="1:6" hidden="1">
      <c r="A476" t="s">
        <v>4608</v>
      </c>
      <c r="B476">
        <v>762</v>
      </c>
      <c r="C476" t="s">
        <v>4606</v>
      </c>
      <c r="D476" t="s">
        <v>4607</v>
      </c>
      <c r="E476" t="s">
        <v>1532</v>
      </c>
      <c r="F476">
        <f>SUMPRODUCT((LEN(E476)-LEN(SUBSTITUTE(E476,"/","")))) + 1</f>
        <v>1</v>
      </c>
    </row>
    <row r="477" spans="1:6" hidden="1">
      <c r="A477" t="s">
        <v>4611</v>
      </c>
      <c r="B477">
        <v>199</v>
      </c>
      <c r="C477" t="s">
        <v>4609</v>
      </c>
      <c r="D477" t="s">
        <v>4610</v>
      </c>
      <c r="E477" t="s">
        <v>3298</v>
      </c>
      <c r="F477">
        <f>SUMPRODUCT((LEN(E477)-LEN(SUBSTITUTE(E477,"/","")))) + 1</f>
        <v>1</v>
      </c>
    </row>
    <row r="478" spans="1:6" hidden="1">
      <c r="A478" t="s">
        <v>4614</v>
      </c>
      <c r="B478">
        <v>651</v>
      </c>
      <c r="C478" t="s">
        <v>4612</v>
      </c>
      <c r="D478" t="s">
        <v>4613</v>
      </c>
      <c r="E478" t="s">
        <v>1541</v>
      </c>
      <c r="F478">
        <f>SUMPRODUCT((LEN(E478)-LEN(SUBSTITUTE(E478,"/","")))) + 1</f>
        <v>1</v>
      </c>
    </row>
    <row r="479" spans="1:6" hidden="1">
      <c r="A479" t="s">
        <v>4617</v>
      </c>
      <c r="B479">
        <v>164</v>
      </c>
      <c r="C479" t="s">
        <v>4615</v>
      </c>
      <c r="D479" t="s">
        <v>4616</v>
      </c>
      <c r="E479" t="s">
        <v>3309</v>
      </c>
      <c r="F479">
        <f>SUMPRODUCT((LEN(E479)-LEN(SUBSTITUTE(E479,"/","")))) + 1</f>
        <v>1</v>
      </c>
    </row>
    <row r="480" spans="1:6" hidden="1">
      <c r="A480" t="s">
        <v>4620</v>
      </c>
      <c r="B480">
        <v>620</v>
      </c>
      <c r="C480" t="s">
        <v>4618</v>
      </c>
      <c r="D480" t="s">
        <v>4619</v>
      </c>
      <c r="E480" t="s">
        <v>3172</v>
      </c>
      <c r="F480">
        <f>SUMPRODUCT((LEN(E480)-LEN(SUBSTITUTE(E480,"/","")))) + 1</f>
        <v>1</v>
      </c>
    </row>
    <row r="481" spans="1:6" hidden="1">
      <c r="A481" t="s">
        <v>4623</v>
      </c>
      <c r="B481">
        <v>8</v>
      </c>
      <c r="C481" t="s">
        <v>4621</v>
      </c>
      <c r="D481" t="s">
        <v>4622</v>
      </c>
      <c r="E481" t="s">
        <v>213</v>
      </c>
      <c r="F481">
        <f>SUMPRODUCT((LEN(E481)-LEN(SUBSTITUTE(E481,"/","")))) + 1</f>
        <v>1</v>
      </c>
    </row>
    <row r="482" spans="1:6" hidden="1">
      <c r="A482" t="s">
        <v>4626</v>
      </c>
      <c r="B482">
        <v>887</v>
      </c>
      <c r="C482" t="s">
        <v>4624</v>
      </c>
      <c r="D482" t="s">
        <v>4625</v>
      </c>
      <c r="E482" t="s">
        <v>220</v>
      </c>
      <c r="F482">
        <f>SUMPRODUCT((LEN(E482)-LEN(SUBSTITUTE(E482,"/","")))) + 1</f>
        <v>1</v>
      </c>
    </row>
    <row r="483" spans="1:6" hidden="1">
      <c r="A483" t="s">
        <v>4629</v>
      </c>
      <c r="B483">
        <v>228</v>
      </c>
      <c r="C483" t="s">
        <v>4627</v>
      </c>
      <c r="D483" t="s">
        <v>4628</v>
      </c>
      <c r="E483" t="s">
        <v>72</v>
      </c>
      <c r="F483">
        <f>SUMPRODUCT((LEN(E483)-LEN(SUBSTITUTE(E483,"/","")))) + 1</f>
        <v>1</v>
      </c>
    </row>
    <row r="484" spans="1:6" hidden="1">
      <c r="A484" t="s">
        <v>4632</v>
      </c>
      <c r="B484">
        <v>913</v>
      </c>
      <c r="C484" t="s">
        <v>4630</v>
      </c>
      <c r="D484" t="s">
        <v>4631</v>
      </c>
      <c r="E484" t="s">
        <v>1538</v>
      </c>
      <c r="F484">
        <f>SUMPRODUCT((LEN(E484)-LEN(SUBSTITUTE(E484,"/","")))) + 1</f>
        <v>1</v>
      </c>
    </row>
    <row r="485" spans="1:6" hidden="1">
      <c r="A485" t="s">
        <v>4635</v>
      </c>
      <c r="B485">
        <v>395</v>
      </c>
      <c r="C485" t="s">
        <v>4633</v>
      </c>
      <c r="D485" t="s">
        <v>4634</v>
      </c>
      <c r="E485" t="s">
        <v>3172</v>
      </c>
      <c r="F485">
        <f>SUMPRODUCT((LEN(E485)-LEN(SUBSTITUTE(E485,"/","")))) + 1</f>
        <v>1</v>
      </c>
    </row>
    <row r="486" spans="1:6" hidden="1">
      <c r="A486" t="s">
        <v>4638</v>
      </c>
      <c r="B486">
        <v>87</v>
      </c>
      <c r="C486" t="s">
        <v>4636</v>
      </c>
      <c r="D486" t="s">
        <v>4637</v>
      </c>
      <c r="E486" t="s">
        <v>3263</v>
      </c>
      <c r="F486">
        <f>SUMPRODUCT((LEN(E486)-LEN(SUBSTITUTE(E486,"/","")))) + 1</f>
        <v>1</v>
      </c>
    </row>
    <row r="487" spans="1:6" hidden="1">
      <c r="A487" t="s">
        <v>4641</v>
      </c>
      <c r="B487">
        <v>144</v>
      </c>
      <c r="C487" t="s">
        <v>4639</v>
      </c>
      <c r="D487" t="s">
        <v>4640</v>
      </c>
      <c r="E487" t="s">
        <v>3563</v>
      </c>
      <c r="F487">
        <f>SUMPRODUCT((LEN(E487)-LEN(SUBSTITUTE(E487,"/","")))) + 1</f>
        <v>1</v>
      </c>
    </row>
    <row r="488" spans="1:6" hidden="1">
      <c r="A488" t="s">
        <v>4644</v>
      </c>
      <c r="B488">
        <v>232</v>
      </c>
      <c r="C488" t="s">
        <v>4642</v>
      </c>
      <c r="D488" t="s">
        <v>4643</v>
      </c>
      <c r="E488" t="s">
        <v>1524</v>
      </c>
      <c r="F488">
        <f>SUMPRODUCT((LEN(E488)-LEN(SUBSTITUTE(E488,"/","")))) + 1</f>
        <v>1</v>
      </c>
    </row>
    <row r="489" spans="1:6" hidden="1">
      <c r="A489" t="s">
        <v>4647</v>
      </c>
      <c r="B489">
        <v>286</v>
      </c>
      <c r="C489" t="s">
        <v>4645</v>
      </c>
      <c r="D489" t="s">
        <v>4646</v>
      </c>
      <c r="E489" t="s">
        <v>1532</v>
      </c>
      <c r="F489">
        <f>SUMPRODUCT((LEN(E489)-LEN(SUBSTITUTE(E489,"/","")))) + 1</f>
        <v>1</v>
      </c>
    </row>
    <row r="490" spans="1:6" hidden="1">
      <c r="A490" t="s">
        <v>4650</v>
      </c>
      <c r="B490">
        <v>85</v>
      </c>
      <c r="C490" t="s">
        <v>4648</v>
      </c>
      <c r="D490" t="s">
        <v>4649</v>
      </c>
      <c r="E490" t="s">
        <v>3563</v>
      </c>
      <c r="F490">
        <f>SUMPRODUCT((LEN(E490)-LEN(SUBSTITUTE(E490,"/","")))) + 1</f>
        <v>1</v>
      </c>
    </row>
    <row r="491" spans="1:6" hidden="1">
      <c r="A491" t="s">
        <v>4653</v>
      </c>
      <c r="B491">
        <v>371</v>
      </c>
      <c r="C491" t="s">
        <v>4651</v>
      </c>
      <c r="D491" t="s">
        <v>4652</v>
      </c>
      <c r="E491" t="s">
        <v>4654</v>
      </c>
      <c r="F491">
        <f>SUMPRODUCT((LEN(E491)-LEN(SUBSTITUTE(E491,"/","")))) + 1</f>
        <v>2</v>
      </c>
    </row>
    <row r="492" spans="1:6" hidden="1">
      <c r="A492" t="s">
        <v>4657</v>
      </c>
      <c r="B492">
        <v>17</v>
      </c>
      <c r="C492" t="s">
        <v>4655</v>
      </c>
      <c r="D492" t="s">
        <v>4656</v>
      </c>
      <c r="E492" t="s">
        <v>109</v>
      </c>
      <c r="F492">
        <f>SUMPRODUCT((LEN(E492)-LEN(SUBSTITUTE(E492,"/","")))) + 1</f>
        <v>1</v>
      </c>
    </row>
    <row r="493" spans="1:6" hidden="1">
      <c r="A493" t="s">
        <v>4660</v>
      </c>
      <c r="B493">
        <v>375</v>
      </c>
      <c r="C493" t="s">
        <v>4658</v>
      </c>
      <c r="D493" t="s">
        <v>4659</v>
      </c>
      <c r="E493" t="s">
        <v>220</v>
      </c>
      <c r="F493">
        <f>SUMPRODUCT((LEN(E493)-LEN(SUBSTITUTE(E493,"/","")))) + 1</f>
        <v>1</v>
      </c>
    </row>
    <row r="494" spans="1:6" hidden="1">
      <c r="A494" t="s">
        <v>4663</v>
      </c>
      <c r="B494">
        <v>187</v>
      </c>
      <c r="C494" t="s">
        <v>4661</v>
      </c>
      <c r="D494" t="s">
        <v>4662</v>
      </c>
      <c r="E494" t="s">
        <v>3298</v>
      </c>
      <c r="F494">
        <f>SUMPRODUCT((LEN(E494)-LEN(SUBSTITUTE(E494,"/","")))) + 1</f>
        <v>1</v>
      </c>
    </row>
    <row r="495" spans="1:6" hidden="1">
      <c r="A495" t="s">
        <v>4666</v>
      </c>
      <c r="B495">
        <v>553</v>
      </c>
      <c r="C495" t="s">
        <v>4664</v>
      </c>
      <c r="D495" t="s">
        <v>4665</v>
      </c>
      <c r="E495" t="s">
        <v>521</v>
      </c>
      <c r="F495">
        <f>SUMPRODUCT((LEN(E495)-LEN(SUBSTITUTE(E495,"/","")))) + 1</f>
        <v>1</v>
      </c>
    </row>
    <row r="496" spans="1:6" hidden="1">
      <c r="A496" t="s">
        <v>4669</v>
      </c>
      <c r="B496">
        <v>101</v>
      </c>
      <c r="C496" t="s">
        <v>4667</v>
      </c>
      <c r="D496" t="s">
        <v>4668</v>
      </c>
      <c r="E496" t="s">
        <v>115</v>
      </c>
      <c r="F496">
        <f>SUMPRODUCT((LEN(E496)-LEN(SUBSTITUTE(E496,"/","")))) + 1</f>
        <v>1</v>
      </c>
    </row>
    <row r="497" spans="1:6" hidden="1">
      <c r="A497" t="s">
        <v>4672</v>
      </c>
      <c r="B497">
        <v>670</v>
      </c>
      <c r="C497" t="s">
        <v>4670</v>
      </c>
      <c r="D497" t="s">
        <v>4671</v>
      </c>
      <c r="E497" t="s">
        <v>1538</v>
      </c>
      <c r="F497">
        <f>SUMPRODUCT((LEN(E497)-LEN(SUBSTITUTE(E497,"/","")))) + 1</f>
        <v>1</v>
      </c>
    </row>
    <row r="498" spans="1:6" hidden="1">
      <c r="A498" t="s">
        <v>4675</v>
      </c>
      <c r="B498">
        <v>756</v>
      </c>
      <c r="C498" t="s">
        <v>4673</v>
      </c>
      <c r="D498" t="s">
        <v>4674</v>
      </c>
      <c r="E498" t="s">
        <v>1525</v>
      </c>
      <c r="F498">
        <f>SUMPRODUCT((LEN(E498)-LEN(SUBSTITUTE(E498,"/","")))) + 1</f>
        <v>1</v>
      </c>
    </row>
    <row r="499" spans="1:6" hidden="1">
      <c r="A499" t="s">
        <v>4678</v>
      </c>
      <c r="B499">
        <v>433</v>
      </c>
      <c r="C499" t="s">
        <v>4676</v>
      </c>
      <c r="D499" t="s">
        <v>4677</v>
      </c>
      <c r="E499" t="s">
        <v>1525</v>
      </c>
      <c r="F499">
        <f>SUMPRODUCT((LEN(E499)-LEN(SUBSTITUTE(E499,"/","")))) + 1</f>
        <v>1</v>
      </c>
    </row>
    <row r="500" spans="1:6" hidden="1">
      <c r="A500" t="s">
        <v>4681</v>
      </c>
      <c r="B500">
        <v>786</v>
      </c>
      <c r="C500" t="s">
        <v>4679</v>
      </c>
      <c r="D500" t="s">
        <v>4680</v>
      </c>
      <c r="E500" t="s">
        <v>3241</v>
      </c>
      <c r="F500">
        <f>SUMPRODUCT((LEN(E500)-LEN(SUBSTITUTE(E500,"/","")))) + 1</f>
        <v>1</v>
      </c>
    </row>
    <row r="501" spans="1:6" hidden="1">
      <c r="A501" t="s">
        <v>4684</v>
      </c>
      <c r="B501">
        <v>105</v>
      </c>
      <c r="C501" t="s">
        <v>4682</v>
      </c>
      <c r="D501" t="s">
        <v>4683</v>
      </c>
      <c r="E501" t="s">
        <v>745</v>
      </c>
      <c r="F501">
        <f>SUMPRODUCT((LEN(E501)-LEN(SUBSTITUTE(E501,"/","")))) + 1</f>
        <v>1</v>
      </c>
    </row>
    <row r="502" spans="1:6" hidden="1">
      <c r="A502" t="s">
        <v>4687</v>
      </c>
      <c r="B502">
        <v>217</v>
      </c>
      <c r="C502" t="s">
        <v>4685</v>
      </c>
      <c r="D502" t="s">
        <v>4686</v>
      </c>
      <c r="E502" t="s">
        <v>195</v>
      </c>
      <c r="F502">
        <f>SUMPRODUCT((LEN(E502)-LEN(SUBSTITUTE(E502,"/","")))) + 1</f>
        <v>1</v>
      </c>
    </row>
    <row r="503" spans="1:6" hidden="1">
      <c r="A503" t="s">
        <v>4690</v>
      </c>
      <c r="B503">
        <v>66</v>
      </c>
      <c r="C503" t="s">
        <v>4688</v>
      </c>
      <c r="D503" t="s">
        <v>4689</v>
      </c>
      <c r="E503" t="s">
        <v>4691</v>
      </c>
      <c r="F503">
        <f>SUMPRODUCT((LEN(E503)-LEN(SUBSTITUTE(E503,"/","")))) + 1</f>
        <v>3</v>
      </c>
    </row>
    <row r="504" spans="1:6" hidden="1">
      <c r="A504" t="s">
        <v>4694</v>
      </c>
      <c r="B504">
        <v>595</v>
      </c>
      <c r="C504" t="s">
        <v>4692</v>
      </c>
      <c r="D504" t="s">
        <v>4693</v>
      </c>
      <c r="E504" t="s">
        <v>1541</v>
      </c>
      <c r="F504">
        <f>SUMPRODUCT((LEN(E504)-LEN(SUBSTITUTE(E504,"/","")))) + 1</f>
        <v>1</v>
      </c>
    </row>
    <row r="505" spans="1:6" hidden="1">
      <c r="A505" t="s">
        <v>4697</v>
      </c>
      <c r="B505">
        <v>550</v>
      </c>
      <c r="C505" t="s">
        <v>4695</v>
      </c>
      <c r="D505" t="s">
        <v>4696</v>
      </c>
      <c r="E505" t="s">
        <v>521</v>
      </c>
      <c r="F505">
        <f>SUMPRODUCT((LEN(E505)-LEN(SUBSTITUTE(E505,"/","")))) + 1</f>
        <v>1</v>
      </c>
    </row>
    <row r="506" spans="1:6" hidden="1">
      <c r="A506" t="s">
        <v>4700</v>
      </c>
      <c r="B506">
        <v>780</v>
      </c>
      <c r="C506" t="s">
        <v>4698</v>
      </c>
      <c r="D506" t="s">
        <v>4699</v>
      </c>
      <c r="E506" t="s">
        <v>3179</v>
      </c>
      <c r="F506">
        <f>SUMPRODUCT((LEN(E506)-LEN(SUBSTITUTE(E506,"/","")))) + 1</f>
        <v>1</v>
      </c>
    </row>
    <row r="507" spans="1:6" hidden="1">
      <c r="A507" t="s">
        <v>4703</v>
      </c>
      <c r="B507">
        <v>39</v>
      </c>
      <c r="C507" t="s">
        <v>4701</v>
      </c>
      <c r="D507" t="s">
        <v>4702</v>
      </c>
      <c r="E507" t="s">
        <v>110</v>
      </c>
      <c r="F507">
        <f>SUMPRODUCT((LEN(E507)-LEN(SUBSTITUTE(E507,"/","")))) + 1</f>
        <v>1</v>
      </c>
    </row>
    <row r="508" spans="1:6" hidden="1">
      <c r="A508" t="s">
        <v>4706</v>
      </c>
      <c r="B508">
        <v>373</v>
      </c>
      <c r="C508" t="s">
        <v>4704</v>
      </c>
      <c r="D508" t="s">
        <v>4705</v>
      </c>
      <c r="E508" t="s">
        <v>74</v>
      </c>
      <c r="F508">
        <f>SUMPRODUCT((LEN(E508)-LEN(SUBSTITUTE(E508,"/","")))) + 1</f>
        <v>1</v>
      </c>
    </row>
    <row r="509" spans="1:6" hidden="1">
      <c r="A509" t="s">
        <v>4709</v>
      </c>
      <c r="B509">
        <v>138</v>
      </c>
      <c r="C509" t="s">
        <v>4707</v>
      </c>
      <c r="D509" t="s">
        <v>4708</v>
      </c>
      <c r="E509" t="s">
        <v>72</v>
      </c>
      <c r="F509">
        <f>SUMPRODUCT((LEN(E509)-LEN(SUBSTITUTE(E509,"/","")))) + 1</f>
        <v>1</v>
      </c>
    </row>
    <row r="510" spans="1:6" hidden="1">
      <c r="A510" t="s">
        <v>4712</v>
      </c>
      <c r="B510">
        <v>126</v>
      </c>
      <c r="C510" t="s">
        <v>4710</v>
      </c>
      <c r="D510" t="s">
        <v>4711</v>
      </c>
      <c r="E510" t="s">
        <v>71</v>
      </c>
      <c r="F510">
        <f>SUMPRODUCT((LEN(E510)-LEN(SUBSTITUTE(E510,"/","")))) + 1</f>
        <v>1</v>
      </c>
    </row>
    <row r="511" spans="1:6" hidden="1">
      <c r="A511" t="s">
        <v>4715</v>
      </c>
      <c r="B511">
        <v>530</v>
      </c>
      <c r="C511" t="s">
        <v>4713</v>
      </c>
      <c r="D511" t="s">
        <v>4714</v>
      </c>
      <c r="E511" t="s">
        <v>111</v>
      </c>
      <c r="F511">
        <f>SUMPRODUCT((LEN(E511)-LEN(SUBSTITUTE(E511,"/","")))) + 1</f>
        <v>1</v>
      </c>
    </row>
    <row r="512" spans="1:6" hidden="1">
      <c r="A512" t="s">
        <v>4718</v>
      </c>
      <c r="B512">
        <v>800</v>
      </c>
      <c r="C512" t="s">
        <v>4716</v>
      </c>
      <c r="D512" t="s">
        <v>4717</v>
      </c>
      <c r="E512" t="s">
        <v>523</v>
      </c>
      <c r="F512">
        <f>SUMPRODUCT((LEN(E512)-LEN(SUBSTITUTE(E512,"/","")))) + 1</f>
        <v>1</v>
      </c>
    </row>
    <row r="513" spans="1:6" hidden="1">
      <c r="A513" t="s">
        <v>4721</v>
      </c>
      <c r="B513">
        <v>229</v>
      </c>
      <c r="C513" t="s">
        <v>4719</v>
      </c>
      <c r="D513" t="s">
        <v>4720</v>
      </c>
      <c r="E513" t="s">
        <v>72</v>
      </c>
      <c r="F513">
        <f>SUMPRODUCT((LEN(E513)-LEN(SUBSTITUTE(E513,"/","")))) + 1</f>
        <v>1</v>
      </c>
    </row>
    <row r="514" spans="1:6" hidden="1">
      <c r="A514" t="s">
        <v>4724</v>
      </c>
      <c r="B514">
        <v>554</v>
      </c>
      <c r="C514" t="s">
        <v>4722</v>
      </c>
      <c r="D514" t="s">
        <v>4723</v>
      </c>
      <c r="E514" t="s">
        <v>521</v>
      </c>
      <c r="F514">
        <f>SUMPRODUCT((LEN(E514)-LEN(SUBSTITUTE(E514,"/","")))) + 1</f>
        <v>1</v>
      </c>
    </row>
    <row r="515" spans="1:6" hidden="1">
      <c r="A515" t="s">
        <v>4727</v>
      </c>
      <c r="B515">
        <v>623</v>
      </c>
      <c r="C515" t="s">
        <v>4725</v>
      </c>
      <c r="D515" t="s">
        <v>4726</v>
      </c>
      <c r="E515" t="s">
        <v>213</v>
      </c>
      <c r="F515">
        <f>SUMPRODUCT((LEN(E515)-LEN(SUBSTITUTE(E515,"/","")))) + 1</f>
        <v>1</v>
      </c>
    </row>
    <row r="516" spans="1:6" hidden="1">
      <c r="A516" t="s">
        <v>4730</v>
      </c>
      <c r="B516">
        <v>219</v>
      </c>
      <c r="C516" t="s">
        <v>4728</v>
      </c>
      <c r="D516" t="s">
        <v>4729</v>
      </c>
      <c r="E516" t="s">
        <v>76</v>
      </c>
      <c r="F516">
        <f>SUMPRODUCT((LEN(E516)-LEN(SUBSTITUTE(E516,"/","")))) + 1</f>
        <v>1</v>
      </c>
    </row>
    <row r="517" spans="1:6" hidden="1">
      <c r="A517" t="s">
        <v>4733</v>
      </c>
      <c r="B517">
        <v>249</v>
      </c>
      <c r="C517" t="s">
        <v>4731</v>
      </c>
      <c r="D517" t="s">
        <v>4732</v>
      </c>
      <c r="E517" t="s">
        <v>74</v>
      </c>
      <c r="F517">
        <f>SUMPRODUCT((LEN(E517)-LEN(SUBSTITUTE(E517,"/","")))) + 1</f>
        <v>1</v>
      </c>
    </row>
    <row r="518" spans="1:6" hidden="1">
      <c r="A518" t="s">
        <v>4736</v>
      </c>
      <c r="B518">
        <v>197</v>
      </c>
      <c r="C518" t="s">
        <v>4734</v>
      </c>
      <c r="D518" t="s">
        <v>4735</v>
      </c>
      <c r="E518" t="s">
        <v>1538</v>
      </c>
      <c r="F518">
        <f>SUMPRODUCT((LEN(E518)-LEN(SUBSTITUTE(E518,"/","")))) + 1</f>
        <v>1</v>
      </c>
    </row>
    <row r="519" spans="1:6" hidden="1">
      <c r="A519" t="s">
        <v>4739</v>
      </c>
      <c r="B519">
        <v>156</v>
      </c>
      <c r="C519" t="s">
        <v>4737</v>
      </c>
      <c r="D519" t="s">
        <v>4738</v>
      </c>
      <c r="E519" t="s">
        <v>220</v>
      </c>
      <c r="F519">
        <f>SUMPRODUCT((LEN(E519)-LEN(SUBSTITUTE(E519,"/","")))) + 1</f>
        <v>1</v>
      </c>
    </row>
    <row r="520" spans="1:6" hidden="1">
      <c r="A520" t="s">
        <v>4742</v>
      </c>
      <c r="B520">
        <v>889</v>
      </c>
      <c r="C520" t="s">
        <v>4740</v>
      </c>
      <c r="D520" t="s">
        <v>4741</v>
      </c>
      <c r="E520" t="s">
        <v>220</v>
      </c>
      <c r="F520">
        <f>SUMPRODUCT((LEN(E520)-LEN(SUBSTITUTE(E520,"/","")))) + 1</f>
        <v>1</v>
      </c>
    </row>
    <row r="521" spans="1:6" hidden="1">
      <c r="A521" t="s">
        <v>4745</v>
      </c>
      <c r="B521">
        <v>577</v>
      </c>
      <c r="C521" t="s">
        <v>4743</v>
      </c>
      <c r="D521" t="s">
        <v>4744</v>
      </c>
      <c r="E521" t="s">
        <v>3129</v>
      </c>
      <c r="F521">
        <f>SUMPRODUCT((LEN(E521)-LEN(SUBSTITUTE(E521,"/","")))) + 1</f>
        <v>2</v>
      </c>
    </row>
    <row r="522" spans="1:6" hidden="1">
      <c r="A522" t="s">
        <v>4748</v>
      </c>
      <c r="B522">
        <v>258</v>
      </c>
      <c r="C522" t="s">
        <v>4746</v>
      </c>
      <c r="D522" t="s">
        <v>4747</v>
      </c>
      <c r="E522" t="s">
        <v>1538</v>
      </c>
      <c r="F522">
        <f>SUMPRODUCT((LEN(E522)-LEN(SUBSTITUTE(E522,"/","")))) + 1</f>
        <v>1</v>
      </c>
    </row>
    <row r="523" spans="1:6" hidden="1">
      <c r="A523" t="s">
        <v>4751</v>
      </c>
      <c r="B523">
        <v>866</v>
      </c>
      <c r="C523" t="s">
        <v>4749</v>
      </c>
      <c r="D523" t="s">
        <v>4750</v>
      </c>
      <c r="E523" t="s">
        <v>72</v>
      </c>
      <c r="F523">
        <f>SUMPRODUCT((LEN(E523)-LEN(SUBSTITUTE(E523,"/","")))) + 1</f>
        <v>1</v>
      </c>
    </row>
    <row r="524" spans="1:6" hidden="1">
      <c r="A524" t="s">
        <v>4754</v>
      </c>
      <c r="B524">
        <v>227</v>
      </c>
      <c r="C524" t="s">
        <v>4752</v>
      </c>
      <c r="D524" t="s">
        <v>4753</v>
      </c>
      <c r="E524" t="s">
        <v>72</v>
      </c>
      <c r="F524">
        <f>SUMPRODUCT((LEN(E524)-LEN(SUBSTITUTE(E524,"/","")))) + 1</f>
        <v>1</v>
      </c>
    </row>
    <row r="525" spans="1:6" hidden="1">
      <c r="A525" t="s">
        <v>4757</v>
      </c>
      <c r="B525">
        <v>16</v>
      </c>
      <c r="C525" t="s">
        <v>4755</v>
      </c>
      <c r="D525" t="s">
        <v>4756</v>
      </c>
      <c r="E525" t="s">
        <v>109</v>
      </c>
      <c r="F525">
        <f>SUMPRODUCT((LEN(E525)-LEN(SUBSTITUTE(E525,"/","")))) + 1</f>
        <v>1</v>
      </c>
    </row>
    <row r="526" spans="1:6" hidden="1">
      <c r="A526" t="s">
        <v>4757</v>
      </c>
      <c r="B526">
        <v>598</v>
      </c>
      <c r="C526" t="s">
        <v>4758</v>
      </c>
      <c r="D526" t="s">
        <v>4759</v>
      </c>
      <c r="E526" t="s">
        <v>1538</v>
      </c>
      <c r="F526">
        <f>SUMPRODUCT((LEN(E526)-LEN(SUBSTITUTE(E526,"/","")))) + 1</f>
        <v>1</v>
      </c>
    </row>
    <row r="527" spans="1:6" hidden="1">
      <c r="A527" t="s">
        <v>4762</v>
      </c>
      <c r="B527">
        <v>263</v>
      </c>
      <c r="C527" t="s">
        <v>4760</v>
      </c>
      <c r="D527" t="s">
        <v>4761</v>
      </c>
      <c r="E527" t="s">
        <v>3956</v>
      </c>
      <c r="F527">
        <f>SUMPRODUCT((LEN(E527)-LEN(SUBSTITUTE(E527,"/","")))) + 1</f>
        <v>2</v>
      </c>
    </row>
    <row r="528" spans="1:6" hidden="1">
      <c r="A528" t="s">
        <v>4765</v>
      </c>
      <c r="B528">
        <v>899</v>
      </c>
      <c r="C528" t="s">
        <v>4763</v>
      </c>
      <c r="D528" t="s">
        <v>4764</v>
      </c>
      <c r="E528" t="s">
        <v>3172</v>
      </c>
      <c r="F528">
        <f>SUMPRODUCT((LEN(E528)-LEN(SUBSTITUTE(E528,"/","")))) + 1</f>
        <v>1</v>
      </c>
    </row>
    <row r="529" spans="1:6" hidden="1">
      <c r="A529" t="s">
        <v>4768</v>
      </c>
      <c r="B529">
        <v>33</v>
      </c>
      <c r="C529" t="s">
        <v>4766</v>
      </c>
      <c r="D529" t="s">
        <v>4767</v>
      </c>
      <c r="E529" t="s">
        <v>71</v>
      </c>
      <c r="F529">
        <f>SUMPRODUCT((LEN(E529)-LEN(SUBSTITUTE(E529,"/","")))) + 1</f>
        <v>1</v>
      </c>
    </row>
    <row r="530" spans="1:6" hidden="1">
      <c r="A530" t="s">
        <v>4771</v>
      </c>
      <c r="B530">
        <v>346</v>
      </c>
      <c r="C530" t="s">
        <v>4769</v>
      </c>
      <c r="D530" t="s">
        <v>4770</v>
      </c>
      <c r="E530" t="s">
        <v>4772</v>
      </c>
      <c r="F530">
        <f>SUMPRODUCT((LEN(E530)-LEN(SUBSTITUTE(E530,"/","")))) + 1</f>
        <v>2</v>
      </c>
    </row>
    <row r="531" spans="1:6" hidden="1">
      <c r="A531" t="s">
        <v>4775</v>
      </c>
      <c r="B531">
        <v>383</v>
      </c>
      <c r="C531" t="s">
        <v>4773</v>
      </c>
      <c r="D531" t="s">
        <v>4774</v>
      </c>
      <c r="E531" t="s">
        <v>71</v>
      </c>
      <c r="F531">
        <f>SUMPRODUCT((LEN(E531)-LEN(SUBSTITUTE(E531,"/","")))) + 1</f>
        <v>1</v>
      </c>
    </row>
    <row r="532" spans="1:6" hidden="1">
      <c r="A532" t="s">
        <v>4778</v>
      </c>
      <c r="B532">
        <v>307</v>
      </c>
      <c r="C532" t="s">
        <v>4776</v>
      </c>
      <c r="D532" t="s">
        <v>4777</v>
      </c>
      <c r="E532" t="s">
        <v>4779</v>
      </c>
      <c r="F532">
        <f>SUMPRODUCT((LEN(E532)-LEN(SUBSTITUTE(E532,"/","")))) + 1</f>
        <v>2</v>
      </c>
    </row>
    <row r="533" spans="1:6" hidden="1">
      <c r="A533" t="s">
        <v>4782</v>
      </c>
      <c r="B533">
        <v>444</v>
      </c>
      <c r="C533" t="s">
        <v>4780</v>
      </c>
      <c r="D533" t="s">
        <v>4781</v>
      </c>
      <c r="E533" t="s">
        <v>3309</v>
      </c>
      <c r="F533">
        <f>SUMPRODUCT((LEN(E533)-LEN(SUBSTITUTE(E533,"/","")))) + 1</f>
        <v>1</v>
      </c>
    </row>
    <row r="534" spans="1:6" hidden="1">
      <c r="A534" t="s">
        <v>4785</v>
      </c>
      <c r="B534">
        <v>600</v>
      </c>
      <c r="C534" t="s">
        <v>4783</v>
      </c>
      <c r="D534" t="s">
        <v>4784</v>
      </c>
      <c r="E534" t="s">
        <v>3298</v>
      </c>
      <c r="F534">
        <f>SUMPRODUCT((LEN(E534)-LEN(SUBSTITUTE(E534,"/","")))) + 1</f>
        <v>1</v>
      </c>
    </row>
    <row r="535" spans="1:6" hidden="1">
      <c r="A535" t="s">
        <v>4788</v>
      </c>
      <c r="B535">
        <v>736</v>
      </c>
      <c r="C535" t="s">
        <v>4786</v>
      </c>
      <c r="D535" t="s">
        <v>4787</v>
      </c>
      <c r="E535" t="s">
        <v>3309</v>
      </c>
      <c r="F535">
        <f>SUMPRODUCT((LEN(E535)-LEN(SUBSTITUTE(E535,"/","")))) + 1</f>
        <v>1</v>
      </c>
    </row>
    <row r="536" spans="1:6" hidden="1">
      <c r="A536" t="s">
        <v>4791</v>
      </c>
      <c r="B536">
        <v>328</v>
      </c>
      <c r="C536" t="s">
        <v>4789</v>
      </c>
      <c r="D536" t="s">
        <v>4790</v>
      </c>
      <c r="E536" t="s">
        <v>3563</v>
      </c>
      <c r="F536">
        <f>SUMPRODUCT((LEN(E536)-LEN(SUBSTITUTE(E536,"/","")))) + 1</f>
        <v>1</v>
      </c>
    </row>
    <row r="537" spans="1:6" hidden="1">
      <c r="A537" t="s">
        <v>4794</v>
      </c>
      <c r="B537">
        <v>560</v>
      </c>
      <c r="C537" t="s">
        <v>4792</v>
      </c>
      <c r="D537" t="s">
        <v>4793</v>
      </c>
      <c r="E537" t="s">
        <v>143</v>
      </c>
      <c r="F537">
        <f>SUMPRODUCT((LEN(E537)-LEN(SUBSTITUTE(E537,"/","")))) + 1</f>
        <v>1</v>
      </c>
    </row>
    <row r="538" spans="1:6" hidden="1">
      <c r="A538" t="s">
        <v>4797</v>
      </c>
      <c r="B538">
        <v>235</v>
      </c>
      <c r="C538" t="s">
        <v>4795</v>
      </c>
      <c r="D538" t="s">
        <v>4796</v>
      </c>
      <c r="E538" t="s">
        <v>3563</v>
      </c>
      <c r="F538">
        <f>SUMPRODUCT((LEN(E538)-LEN(SUBSTITUTE(E538,"/","")))) + 1</f>
        <v>1</v>
      </c>
    </row>
    <row r="539" spans="1:6" hidden="1">
      <c r="A539" t="s">
        <v>4800</v>
      </c>
      <c r="B539">
        <v>748</v>
      </c>
      <c r="C539" t="s">
        <v>4798</v>
      </c>
      <c r="D539" t="s">
        <v>4799</v>
      </c>
      <c r="E539" t="s">
        <v>3298</v>
      </c>
      <c r="F539">
        <f>SUMPRODUCT((LEN(E539)-LEN(SUBSTITUTE(E539,"/","")))) + 1</f>
        <v>1</v>
      </c>
    </row>
    <row r="540" spans="1:6" hidden="1">
      <c r="A540" t="s">
        <v>4803</v>
      </c>
      <c r="B540">
        <v>290</v>
      </c>
      <c r="C540" t="s">
        <v>4801</v>
      </c>
      <c r="D540" t="s">
        <v>4802</v>
      </c>
      <c r="E540" t="s">
        <v>1532</v>
      </c>
      <c r="F540">
        <f>SUMPRODUCT((LEN(E540)-LEN(SUBSTITUTE(E540,"/","")))) + 1</f>
        <v>1</v>
      </c>
    </row>
    <row r="541" spans="1:6" hidden="1">
      <c r="A541" t="s">
        <v>4806</v>
      </c>
      <c r="B541">
        <v>347</v>
      </c>
      <c r="C541" t="s">
        <v>4804</v>
      </c>
      <c r="D541" t="s">
        <v>4805</v>
      </c>
      <c r="E541" t="s">
        <v>110</v>
      </c>
      <c r="F541">
        <f>SUMPRODUCT((LEN(E541)-LEN(SUBSTITUTE(E541,"/","")))) + 1</f>
        <v>1</v>
      </c>
    </row>
    <row r="542" spans="1:6" hidden="1">
      <c r="A542" t="s">
        <v>4809</v>
      </c>
      <c r="B542">
        <v>467</v>
      </c>
      <c r="C542" t="s">
        <v>4807</v>
      </c>
      <c r="D542" t="s">
        <v>4808</v>
      </c>
      <c r="E542" t="s">
        <v>198</v>
      </c>
      <c r="F542">
        <f>SUMPRODUCT((LEN(E542)-LEN(SUBSTITUTE(E542,"/","")))) + 1</f>
        <v>1</v>
      </c>
    </row>
    <row r="543" spans="1:6" hidden="1">
      <c r="A543" t="s">
        <v>4812</v>
      </c>
      <c r="B543">
        <v>846</v>
      </c>
      <c r="C543" t="s">
        <v>4810</v>
      </c>
      <c r="D543" t="s">
        <v>4811</v>
      </c>
      <c r="E543" t="s">
        <v>4813</v>
      </c>
      <c r="F543">
        <f>SUMPRODUCT((LEN(E543)-LEN(SUBSTITUTE(E543,"/","")))) + 1</f>
        <v>2</v>
      </c>
    </row>
    <row r="544" spans="1:6" hidden="1">
      <c r="A544" t="s">
        <v>4816</v>
      </c>
      <c r="B544">
        <v>288</v>
      </c>
      <c r="C544" t="s">
        <v>4814</v>
      </c>
      <c r="D544" t="s">
        <v>4815</v>
      </c>
      <c r="E544" t="s">
        <v>4813</v>
      </c>
      <c r="F544">
        <f>SUMPRODUCT((LEN(E544)-LEN(SUBSTITUTE(E544,"/","")))) + 1</f>
        <v>2</v>
      </c>
    </row>
    <row r="545" spans="1:6" hidden="1">
      <c r="A545" t="s">
        <v>4819</v>
      </c>
      <c r="B545">
        <v>131</v>
      </c>
      <c r="C545" t="s">
        <v>4817</v>
      </c>
      <c r="D545" t="s">
        <v>4818</v>
      </c>
      <c r="E545" t="s">
        <v>195</v>
      </c>
      <c r="F545">
        <f>SUMPRODUCT((LEN(E545)-LEN(SUBSTITUTE(E545,"/","")))) + 1</f>
        <v>1</v>
      </c>
    </row>
    <row r="546" spans="1:6" hidden="1">
      <c r="A546" t="s">
        <v>4822</v>
      </c>
      <c r="B546">
        <v>910</v>
      </c>
      <c r="C546" t="s">
        <v>4820</v>
      </c>
      <c r="D546" t="s">
        <v>4821</v>
      </c>
      <c r="E546" t="s">
        <v>3309</v>
      </c>
      <c r="F546">
        <f>SUMPRODUCT((LEN(E546)-LEN(SUBSTITUTE(E546,"/","")))) + 1</f>
        <v>1</v>
      </c>
    </row>
    <row r="547" spans="1:6" hidden="1">
      <c r="A547" t="s">
        <v>4825</v>
      </c>
      <c r="B547">
        <v>904</v>
      </c>
      <c r="C547" t="s">
        <v>4823</v>
      </c>
      <c r="D547" t="s">
        <v>4824</v>
      </c>
      <c r="E547" t="s">
        <v>3172</v>
      </c>
      <c r="F547">
        <f>SUMPRODUCT((LEN(E547)-LEN(SUBSTITUTE(E547,"/","")))) + 1</f>
        <v>1</v>
      </c>
    </row>
    <row r="548" spans="1:6" hidden="1">
      <c r="A548" t="s">
        <v>4828</v>
      </c>
      <c r="B548">
        <v>308</v>
      </c>
      <c r="C548" t="s">
        <v>4826</v>
      </c>
      <c r="D548" t="s">
        <v>4827</v>
      </c>
      <c r="E548" t="s">
        <v>213</v>
      </c>
      <c r="F548">
        <f>SUMPRODUCT((LEN(E548)-LEN(SUBSTITUTE(E548,"/","")))) + 1</f>
        <v>1</v>
      </c>
    </row>
    <row r="549" spans="1:6" hidden="1">
      <c r="A549" t="s">
        <v>4831</v>
      </c>
      <c r="B549">
        <v>143</v>
      </c>
      <c r="C549" t="s">
        <v>4829</v>
      </c>
      <c r="D549" t="s">
        <v>4830</v>
      </c>
      <c r="E549" t="s">
        <v>3563</v>
      </c>
      <c r="F549">
        <f>SUMPRODUCT((LEN(E549)-LEN(SUBSTITUTE(E549,"/","")))) + 1</f>
        <v>1</v>
      </c>
    </row>
    <row r="550" spans="1:6" hidden="1">
      <c r="A550" t="s">
        <v>4834</v>
      </c>
      <c r="B550">
        <v>492</v>
      </c>
      <c r="C550" t="s">
        <v>4832</v>
      </c>
      <c r="D550" t="s">
        <v>4833</v>
      </c>
      <c r="E550" t="s">
        <v>4835</v>
      </c>
      <c r="F550">
        <f>SUMPRODUCT((LEN(E550)-LEN(SUBSTITUTE(E550,"/","")))) + 1</f>
        <v>2</v>
      </c>
    </row>
    <row r="551" spans="1:6" hidden="1">
      <c r="A551" t="s">
        <v>4838</v>
      </c>
      <c r="B551">
        <v>204</v>
      </c>
      <c r="C551" t="s">
        <v>4836</v>
      </c>
      <c r="D551" t="s">
        <v>4837</v>
      </c>
      <c r="E551" t="s">
        <v>116</v>
      </c>
      <c r="F551">
        <f>SUMPRODUCT((LEN(E551)-LEN(SUBSTITUTE(E551,"/","")))) + 1</f>
        <v>1</v>
      </c>
    </row>
    <row r="552" spans="1:6" hidden="1">
      <c r="A552" t="s">
        <v>4841</v>
      </c>
      <c r="B552">
        <v>160</v>
      </c>
      <c r="C552" t="s">
        <v>4839</v>
      </c>
      <c r="D552" t="s">
        <v>4840</v>
      </c>
      <c r="E552" t="s">
        <v>1538</v>
      </c>
      <c r="F552">
        <f>SUMPRODUCT((LEN(E552)-LEN(SUBSTITUTE(E552,"/","")))) + 1</f>
        <v>1</v>
      </c>
    </row>
    <row r="553" spans="1:6" hidden="1">
      <c r="A553" t="s">
        <v>4844</v>
      </c>
      <c r="B553">
        <v>522</v>
      </c>
      <c r="C553" t="s">
        <v>4842</v>
      </c>
      <c r="D553" t="s">
        <v>4843</v>
      </c>
      <c r="E553" t="s">
        <v>3241</v>
      </c>
      <c r="F553">
        <f>SUMPRODUCT((LEN(E553)-LEN(SUBSTITUTE(E553,"/","")))) + 1</f>
        <v>1</v>
      </c>
    </row>
    <row r="554" spans="1:6" hidden="1">
      <c r="A554" t="s">
        <v>4847</v>
      </c>
      <c r="B554">
        <v>80</v>
      </c>
      <c r="C554" t="s">
        <v>4845</v>
      </c>
      <c r="D554" t="s">
        <v>4846</v>
      </c>
      <c r="E554" t="s">
        <v>3241</v>
      </c>
      <c r="F554">
        <f>SUMPRODUCT((LEN(E554)-LEN(SUBSTITUTE(E554,"/","")))) + 1</f>
        <v>1</v>
      </c>
    </row>
    <row r="555" spans="1:6" hidden="1">
      <c r="A555" t="s">
        <v>4850</v>
      </c>
      <c r="B555">
        <v>613</v>
      </c>
      <c r="C555" t="s">
        <v>4848</v>
      </c>
      <c r="D555" t="s">
        <v>4849</v>
      </c>
      <c r="E555" t="s">
        <v>3309</v>
      </c>
      <c r="F555">
        <f>SUMPRODUCT((LEN(E555)-LEN(SUBSTITUTE(E555,"/","")))) + 1</f>
        <v>1</v>
      </c>
    </row>
    <row r="556" spans="1:6" hidden="1">
      <c r="A556" t="s">
        <v>4853</v>
      </c>
      <c r="B556">
        <v>552</v>
      </c>
      <c r="C556" t="s">
        <v>4851</v>
      </c>
      <c r="D556" t="s">
        <v>4852</v>
      </c>
      <c r="E556" t="s">
        <v>521</v>
      </c>
      <c r="F556">
        <f>SUMPRODUCT((LEN(E556)-LEN(SUBSTITUTE(E556,"/","")))) + 1</f>
        <v>1</v>
      </c>
    </row>
    <row r="557" spans="1:6" hidden="1">
      <c r="A557" t="s">
        <v>4856</v>
      </c>
      <c r="B557">
        <v>9</v>
      </c>
      <c r="C557" t="s">
        <v>4854</v>
      </c>
      <c r="D557" t="s">
        <v>4855</v>
      </c>
      <c r="E557" t="s">
        <v>661</v>
      </c>
      <c r="F557">
        <f>SUMPRODUCT((LEN(E557)-LEN(SUBSTITUTE(E557,"/","")))) + 1</f>
        <v>1</v>
      </c>
    </row>
    <row r="558" spans="1:6" hidden="1">
      <c r="A558" t="s">
        <v>4859</v>
      </c>
      <c r="B558">
        <v>438</v>
      </c>
      <c r="C558" t="s">
        <v>4857</v>
      </c>
      <c r="D558" t="s">
        <v>4858</v>
      </c>
      <c r="E558" t="s">
        <v>1532</v>
      </c>
      <c r="F558">
        <f>SUMPRODUCT((LEN(E558)-LEN(SUBSTITUTE(E558,"/","")))) + 1</f>
        <v>1</v>
      </c>
    </row>
    <row r="559" spans="1:6" hidden="1">
      <c r="A559" t="s">
        <v>4862</v>
      </c>
      <c r="B559">
        <v>901</v>
      </c>
      <c r="C559" t="s">
        <v>4860</v>
      </c>
      <c r="D559" t="s">
        <v>4861</v>
      </c>
      <c r="E559" t="s">
        <v>3172</v>
      </c>
      <c r="F559">
        <f>SUMPRODUCT((LEN(E559)-LEN(SUBSTITUTE(E559,"/","")))) + 1</f>
        <v>1</v>
      </c>
    </row>
    <row r="560" spans="1:6" hidden="1">
      <c r="A560" t="s">
        <v>4865</v>
      </c>
      <c r="B560">
        <v>69</v>
      </c>
      <c r="C560" t="s">
        <v>4863</v>
      </c>
      <c r="D560" t="s">
        <v>4864</v>
      </c>
      <c r="E560" t="s">
        <v>220</v>
      </c>
      <c r="F560">
        <f>SUMPRODUCT((LEN(E560)-LEN(SUBSTITUTE(E560,"/","")))) + 1</f>
        <v>1</v>
      </c>
    </row>
    <row r="561" spans="1:6" hidden="1">
      <c r="A561" t="s">
        <v>4868</v>
      </c>
      <c r="B561">
        <v>341</v>
      </c>
      <c r="C561" t="s">
        <v>4866</v>
      </c>
      <c r="D561" t="s">
        <v>4867</v>
      </c>
      <c r="E561" t="s">
        <v>4869</v>
      </c>
      <c r="F561">
        <f>SUMPRODUCT((LEN(E561)-LEN(SUBSTITUTE(E561,"/","")))) + 1</f>
        <v>2</v>
      </c>
    </row>
    <row r="562" spans="1:6" hidden="1">
      <c r="A562" t="s">
        <v>4872</v>
      </c>
      <c r="B562">
        <v>859</v>
      </c>
      <c r="C562" t="s">
        <v>4870</v>
      </c>
      <c r="D562" t="s">
        <v>4871</v>
      </c>
      <c r="E562" t="s">
        <v>4869</v>
      </c>
      <c r="F562">
        <f>SUMPRODUCT((LEN(E562)-LEN(SUBSTITUTE(E562,"/","")))) + 1</f>
        <v>2</v>
      </c>
    </row>
    <row r="563" spans="1:6" hidden="1">
      <c r="A563" t="s">
        <v>4875</v>
      </c>
      <c r="B563">
        <v>127</v>
      </c>
      <c r="C563" t="s">
        <v>4873</v>
      </c>
      <c r="D563" t="s">
        <v>4874</v>
      </c>
      <c r="E563" t="s">
        <v>195</v>
      </c>
      <c r="F563">
        <f>SUMPRODUCT((LEN(E563)-LEN(SUBSTITUTE(E563,"/","")))) + 1</f>
        <v>1</v>
      </c>
    </row>
    <row r="564" spans="1:6" hidden="1">
      <c r="A564" t="s">
        <v>4878</v>
      </c>
      <c r="B564">
        <v>139</v>
      </c>
      <c r="C564" t="s">
        <v>4876</v>
      </c>
      <c r="D564" t="s">
        <v>4877</v>
      </c>
      <c r="E564" t="s">
        <v>4879</v>
      </c>
      <c r="F564">
        <f>SUMPRODUCT((LEN(E564)-LEN(SUBSTITUTE(E564,"/","")))) + 1</f>
        <v>2</v>
      </c>
    </row>
    <row r="565" spans="1:6" hidden="1">
      <c r="A565" t="s">
        <v>4882</v>
      </c>
      <c r="B565">
        <v>644</v>
      </c>
      <c r="C565" t="s">
        <v>4880</v>
      </c>
      <c r="D565" t="s">
        <v>4881</v>
      </c>
      <c r="E565" t="s">
        <v>4883</v>
      </c>
      <c r="F565">
        <f>SUMPRODUCT((LEN(E565)-LEN(SUBSTITUTE(E565,"/","")))) + 1</f>
        <v>2</v>
      </c>
    </row>
    <row r="566" spans="1:6" hidden="1">
      <c r="A566" t="s">
        <v>4886</v>
      </c>
      <c r="B566">
        <v>13</v>
      </c>
      <c r="C566" t="s">
        <v>4884</v>
      </c>
      <c r="D566" t="s">
        <v>4885</v>
      </c>
      <c r="E566" t="s">
        <v>116</v>
      </c>
      <c r="F566">
        <f>SUMPRODUCT((LEN(E566)-LEN(SUBSTITUTE(E566,"/","")))) + 1</f>
        <v>1</v>
      </c>
    </row>
    <row r="567" spans="1:6" hidden="1">
      <c r="A567" t="s">
        <v>4889</v>
      </c>
      <c r="B567">
        <v>384</v>
      </c>
      <c r="C567" t="s">
        <v>4887</v>
      </c>
      <c r="D567" t="s">
        <v>4888</v>
      </c>
      <c r="E567" t="s">
        <v>3179</v>
      </c>
      <c r="F567">
        <f>SUMPRODUCT((LEN(E567)-LEN(SUBSTITUTE(E567,"/","")))) + 1</f>
        <v>1</v>
      </c>
    </row>
    <row r="568" spans="1:6" hidden="1">
      <c r="A568" t="s">
        <v>4892</v>
      </c>
      <c r="B568">
        <v>618</v>
      </c>
      <c r="C568" t="s">
        <v>4890</v>
      </c>
      <c r="D568" t="s">
        <v>4891</v>
      </c>
      <c r="E568" t="s">
        <v>3263</v>
      </c>
      <c r="F568">
        <f>SUMPRODUCT((LEN(E568)-LEN(SUBSTITUTE(E568,"/","")))) + 1</f>
        <v>1</v>
      </c>
    </row>
    <row r="569" spans="1:6" hidden="1">
      <c r="A569" t="s">
        <v>4895</v>
      </c>
      <c r="B569">
        <v>465</v>
      </c>
      <c r="C569" t="s">
        <v>4893</v>
      </c>
      <c r="D569" t="s">
        <v>4894</v>
      </c>
      <c r="E569" t="s">
        <v>198</v>
      </c>
      <c r="F569">
        <f>SUMPRODUCT((LEN(E569)-LEN(SUBSTITUTE(E569,"/","")))) + 1</f>
        <v>1</v>
      </c>
    </row>
    <row r="570" spans="1:6" hidden="1">
      <c r="A570" t="s">
        <v>4898</v>
      </c>
      <c r="B570">
        <v>916</v>
      </c>
      <c r="C570" t="s">
        <v>4896</v>
      </c>
      <c r="D570" t="s">
        <v>4897</v>
      </c>
      <c r="E570" t="s">
        <v>3263</v>
      </c>
      <c r="F570">
        <f>SUMPRODUCT((LEN(E570)-LEN(SUBSTITUTE(E570,"/","")))) + 1</f>
        <v>1</v>
      </c>
    </row>
    <row r="571" spans="1:6" hidden="1">
      <c r="A571" t="s">
        <v>4901</v>
      </c>
      <c r="B571">
        <v>735</v>
      </c>
      <c r="C571" t="s">
        <v>4899</v>
      </c>
      <c r="D571" t="s">
        <v>4900</v>
      </c>
      <c r="E571" t="s">
        <v>3309</v>
      </c>
      <c r="F571">
        <f>SUMPRODUCT((LEN(E571)-LEN(SUBSTITUTE(E571,"/","")))) + 1</f>
        <v>1</v>
      </c>
    </row>
    <row r="572" spans="1:6" hidden="1">
      <c r="A572" t="s">
        <v>4904</v>
      </c>
      <c r="B572">
        <v>68</v>
      </c>
      <c r="C572" t="s">
        <v>4902</v>
      </c>
      <c r="D572" t="s">
        <v>4903</v>
      </c>
      <c r="E572" t="s">
        <v>220</v>
      </c>
      <c r="F572">
        <f>SUMPRODUCT((LEN(E572)-LEN(SUBSTITUTE(E572,"/","")))) + 1</f>
        <v>1</v>
      </c>
    </row>
    <row r="573" spans="1:6" hidden="1">
      <c r="A573" t="s">
        <v>4907</v>
      </c>
      <c r="B573">
        <v>402</v>
      </c>
      <c r="C573" t="s">
        <v>4905</v>
      </c>
      <c r="D573" t="s">
        <v>4906</v>
      </c>
      <c r="E573" t="s">
        <v>1538</v>
      </c>
      <c r="F573">
        <f>SUMPRODUCT((LEN(E573)-LEN(SUBSTITUTE(E573,"/","")))) + 1</f>
        <v>1</v>
      </c>
    </row>
    <row r="574" spans="1:6" hidden="1">
      <c r="A574" t="s">
        <v>4910</v>
      </c>
      <c r="B574">
        <v>790</v>
      </c>
      <c r="C574" t="s">
        <v>4908</v>
      </c>
      <c r="D574" t="s">
        <v>4909</v>
      </c>
      <c r="E574" t="s">
        <v>3172</v>
      </c>
      <c r="F574">
        <f>SUMPRODUCT((LEN(E574)-LEN(SUBSTITUTE(E574,"/","")))) + 1</f>
        <v>1</v>
      </c>
    </row>
    <row r="575" spans="1:6" hidden="1">
      <c r="A575" t="s">
        <v>4913</v>
      </c>
      <c r="B575">
        <v>824</v>
      </c>
      <c r="C575" t="s">
        <v>4911</v>
      </c>
      <c r="D575" t="s">
        <v>4912</v>
      </c>
      <c r="E575" t="s">
        <v>3535</v>
      </c>
      <c r="F575">
        <f>SUMPRODUCT((LEN(E575)-LEN(SUBSTITUTE(E575,"/","")))) + 1</f>
        <v>2</v>
      </c>
    </row>
    <row r="576" spans="1:6" hidden="1">
      <c r="A576" t="s">
        <v>4916</v>
      </c>
      <c r="B576">
        <v>185</v>
      </c>
      <c r="C576" t="s">
        <v>4914</v>
      </c>
      <c r="D576" t="s">
        <v>4915</v>
      </c>
      <c r="E576" t="s">
        <v>3263</v>
      </c>
      <c r="F576">
        <f>SUMPRODUCT((LEN(E576)-LEN(SUBSTITUTE(E576,"/","")))) + 1</f>
        <v>1</v>
      </c>
    </row>
    <row r="577" spans="1:6" hidden="1">
      <c r="A577" t="s">
        <v>4919</v>
      </c>
      <c r="B577">
        <v>477</v>
      </c>
      <c r="C577" t="s">
        <v>4917</v>
      </c>
      <c r="D577" t="s">
        <v>4918</v>
      </c>
      <c r="E577" t="s">
        <v>4920</v>
      </c>
      <c r="F577">
        <f>SUMPRODUCT((LEN(E577)-LEN(SUBSTITUTE(E577,"/","")))) + 1</f>
        <v>5</v>
      </c>
    </row>
    <row r="578" spans="1:6" hidden="1">
      <c r="A578" t="s">
        <v>4923</v>
      </c>
      <c r="B578">
        <v>282</v>
      </c>
      <c r="C578" t="s">
        <v>4921</v>
      </c>
      <c r="D578" t="s">
        <v>4922</v>
      </c>
      <c r="E578" t="s">
        <v>3298</v>
      </c>
      <c r="F578">
        <f>SUMPRODUCT((LEN(E578)-LEN(SUBSTITUTE(E578,"/","")))) + 1</f>
        <v>1</v>
      </c>
    </row>
    <row r="579" spans="1:6" hidden="1">
      <c r="A579" t="s">
        <v>4926</v>
      </c>
      <c r="B579">
        <v>874</v>
      </c>
      <c r="C579" t="s">
        <v>4924</v>
      </c>
      <c r="D579" t="s">
        <v>4925</v>
      </c>
      <c r="E579" t="s">
        <v>3563</v>
      </c>
      <c r="F579">
        <f>SUMPRODUCT((LEN(E579)-LEN(SUBSTITUTE(E579,"/","")))) + 1</f>
        <v>1</v>
      </c>
    </row>
    <row r="580" spans="1:6" hidden="1">
      <c r="A580" t="s">
        <v>4929</v>
      </c>
      <c r="B580">
        <v>667</v>
      </c>
      <c r="C580" t="s">
        <v>4927</v>
      </c>
      <c r="D580" t="s">
        <v>4928</v>
      </c>
      <c r="E580" t="s">
        <v>3241</v>
      </c>
      <c r="F580">
        <f>SUMPRODUCT((LEN(E580)-LEN(SUBSTITUTE(E580,"/","")))) + 1</f>
        <v>1</v>
      </c>
    </row>
    <row r="581" spans="1:6" hidden="1">
      <c r="A581" t="s">
        <v>4932</v>
      </c>
      <c r="B581">
        <v>835</v>
      </c>
      <c r="C581" t="s">
        <v>4930</v>
      </c>
      <c r="D581" t="s">
        <v>4931</v>
      </c>
      <c r="E581" t="s">
        <v>198</v>
      </c>
      <c r="F581">
        <f>SUMPRODUCT((LEN(E581)-LEN(SUBSTITUTE(E581,"/","")))) + 1</f>
        <v>1</v>
      </c>
    </row>
    <row r="582" spans="1:6" hidden="1">
      <c r="A582" t="s">
        <v>4935</v>
      </c>
      <c r="B582">
        <v>326</v>
      </c>
      <c r="C582" t="s">
        <v>4933</v>
      </c>
      <c r="D582" t="s">
        <v>4934</v>
      </c>
      <c r="E582" t="s">
        <v>3263</v>
      </c>
      <c r="F582">
        <f>SUMPRODUCT((LEN(E582)-LEN(SUBSTITUTE(E582,"/","")))) + 1</f>
        <v>1</v>
      </c>
    </row>
    <row r="583" spans="1:6" hidden="1">
      <c r="A583" t="s">
        <v>4938</v>
      </c>
      <c r="B583">
        <v>737</v>
      </c>
      <c r="C583" t="s">
        <v>4936</v>
      </c>
      <c r="D583" t="s">
        <v>4937</v>
      </c>
      <c r="E583" t="s">
        <v>3563</v>
      </c>
      <c r="F583">
        <f>SUMPRODUCT((LEN(E583)-LEN(SUBSTITUTE(E583,"/","")))) + 1</f>
        <v>1</v>
      </c>
    </row>
    <row r="584" spans="1:6" hidden="1">
      <c r="A584" t="s">
        <v>4941</v>
      </c>
      <c r="B584">
        <v>236</v>
      </c>
      <c r="C584" t="s">
        <v>4939</v>
      </c>
      <c r="D584" t="s">
        <v>4940</v>
      </c>
      <c r="E584" t="s">
        <v>3563</v>
      </c>
      <c r="F584">
        <f>SUMPRODUCT((LEN(E584)-LEN(SUBSTITUTE(E584,"/","")))) + 1</f>
        <v>1</v>
      </c>
    </row>
    <row r="585" spans="1:6" hidden="1">
      <c r="A585" t="s">
        <v>4944</v>
      </c>
      <c r="B585">
        <v>538</v>
      </c>
      <c r="C585" t="s">
        <v>4942</v>
      </c>
      <c r="D585" t="s">
        <v>4943</v>
      </c>
      <c r="E585" t="s">
        <v>317</v>
      </c>
      <c r="F585">
        <f>SUMPRODUCT((LEN(E585)-LEN(SUBSTITUTE(E585,"/","")))) + 1</f>
        <v>1</v>
      </c>
    </row>
    <row r="586" spans="1:6" hidden="1">
      <c r="A586" t="s">
        <v>4947</v>
      </c>
      <c r="B586">
        <v>393</v>
      </c>
      <c r="C586" t="s">
        <v>4945</v>
      </c>
      <c r="D586" t="s">
        <v>4946</v>
      </c>
      <c r="E586" t="s">
        <v>1538</v>
      </c>
      <c r="F586">
        <f>SUMPRODUCT((LEN(E586)-LEN(SUBSTITUTE(E586,"/","")))) + 1</f>
        <v>1</v>
      </c>
    </row>
    <row r="587" spans="1:6" hidden="1">
      <c r="A587" t="s">
        <v>4950</v>
      </c>
      <c r="B587">
        <v>56</v>
      </c>
      <c r="C587" t="s">
        <v>4948</v>
      </c>
      <c r="D587" t="s">
        <v>4949</v>
      </c>
      <c r="E587" t="s">
        <v>3563</v>
      </c>
      <c r="F587">
        <f>SUMPRODUCT((LEN(E587)-LEN(SUBSTITUTE(E587,"/","")))) + 1</f>
        <v>1</v>
      </c>
    </row>
    <row r="588" spans="1:6" hidden="1">
      <c r="A588" t="s">
        <v>4953</v>
      </c>
      <c r="B588">
        <v>22</v>
      </c>
      <c r="C588" t="s">
        <v>4951</v>
      </c>
      <c r="D588" t="s">
        <v>4952</v>
      </c>
      <c r="E588" t="s">
        <v>111</v>
      </c>
      <c r="F588">
        <f>SUMPRODUCT((LEN(E588)-LEN(SUBSTITUTE(E588,"/","")))) + 1</f>
        <v>1</v>
      </c>
    </row>
    <row r="589" spans="1:6" hidden="1">
      <c r="A589" t="s">
        <v>4956</v>
      </c>
      <c r="B589">
        <v>793</v>
      </c>
      <c r="C589" t="s">
        <v>4954</v>
      </c>
      <c r="D589" t="s">
        <v>4955</v>
      </c>
      <c r="E589" t="s">
        <v>1532</v>
      </c>
      <c r="F589">
        <f>SUMPRODUCT((LEN(E589)-LEN(SUBSTITUTE(E589,"/","")))) + 1</f>
        <v>1</v>
      </c>
    </row>
    <row r="590" spans="1:6" hidden="1">
      <c r="A590" t="s">
        <v>4959</v>
      </c>
      <c r="B590">
        <v>833</v>
      </c>
      <c r="C590" t="s">
        <v>4957</v>
      </c>
      <c r="D590" t="s">
        <v>4958</v>
      </c>
      <c r="E590" t="s">
        <v>661</v>
      </c>
      <c r="F590">
        <f>SUMPRODUCT((LEN(E590)-LEN(SUBSTITUTE(E590,"/","")))) + 1</f>
        <v>1</v>
      </c>
    </row>
    <row r="591" spans="1:6" hidden="1">
      <c r="A591" t="s">
        <v>4962</v>
      </c>
      <c r="B591">
        <v>738</v>
      </c>
      <c r="C591" t="s">
        <v>4960</v>
      </c>
      <c r="D591" t="s">
        <v>4961</v>
      </c>
      <c r="E591" t="s">
        <v>3563</v>
      </c>
      <c r="F591">
        <f>SUMPRODUCT((LEN(E591)-LEN(SUBSTITUTE(E591,"/","")))) + 1</f>
        <v>1</v>
      </c>
    </row>
    <row r="592" spans="1:6" hidden="1">
      <c r="A592" t="s">
        <v>4965</v>
      </c>
      <c r="B592">
        <v>768</v>
      </c>
      <c r="C592" t="s">
        <v>4963</v>
      </c>
      <c r="D592" t="s">
        <v>4964</v>
      </c>
      <c r="E592" t="s">
        <v>1524</v>
      </c>
      <c r="F592">
        <f>SUMPRODUCT((LEN(E592)-LEN(SUBSTITUTE(E592,"/","")))) + 1</f>
        <v>1</v>
      </c>
    </row>
    <row r="593" spans="1:6" hidden="1">
      <c r="A593" t="s">
        <v>4968</v>
      </c>
      <c r="B593">
        <v>574</v>
      </c>
      <c r="C593" t="s">
        <v>4966</v>
      </c>
      <c r="D593" t="s">
        <v>4967</v>
      </c>
      <c r="E593" t="s">
        <v>3129</v>
      </c>
      <c r="F593">
        <f>SUMPRODUCT((LEN(E593)-LEN(SUBSTITUTE(E593,"/","")))) + 1</f>
        <v>2</v>
      </c>
    </row>
    <row r="594" spans="1:6" hidden="1">
      <c r="A594" t="s">
        <v>4971</v>
      </c>
      <c r="B594">
        <v>298</v>
      </c>
      <c r="C594" t="s">
        <v>4969</v>
      </c>
      <c r="D594" t="s">
        <v>4970</v>
      </c>
      <c r="E594" t="s">
        <v>1524</v>
      </c>
      <c r="F594">
        <f>SUMPRODUCT((LEN(E594)-LEN(SUBSTITUTE(E594,"/","")))) + 1</f>
        <v>1</v>
      </c>
    </row>
    <row r="595" spans="1:6" hidden="1">
      <c r="A595" t="s">
        <v>4974</v>
      </c>
      <c r="B595">
        <v>621</v>
      </c>
      <c r="C595" t="s">
        <v>4972</v>
      </c>
      <c r="D595" t="s">
        <v>4973</v>
      </c>
      <c r="E595" t="s">
        <v>3737</v>
      </c>
      <c r="F595">
        <f>SUMPRODUCT((LEN(E595)-LEN(SUBSTITUTE(E595,"/","")))) + 1</f>
        <v>1</v>
      </c>
    </row>
    <row r="596" spans="1:6" hidden="1">
      <c r="A596" t="s">
        <v>4977</v>
      </c>
      <c r="B596">
        <v>873</v>
      </c>
      <c r="C596" t="s">
        <v>4975</v>
      </c>
      <c r="D596" t="s">
        <v>4976</v>
      </c>
      <c r="E596" t="s">
        <v>3563</v>
      </c>
      <c r="F596">
        <f>SUMPRODUCT((LEN(E596)-LEN(SUBSTITUTE(E596,"/","")))) + 1</f>
        <v>1</v>
      </c>
    </row>
    <row r="597" spans="1:6" hidden="1">
      <c r="A597" t="s">
        <v>4980</v>
      </c>
      <c r="B597">
        <v>475</v>
      </c>
      <c r="C597" t="s">
        <v>4978</v>
      </c>
      <c r="D597" t="s">
        <v>4979</v>
      </c>
      <c r="E597" t="s">
        <v>4981</v>
      </c>
      <c r="F597">
        <f>SUMPRODUCT((LEN(E597)-LEN(SUBSTITUTE(E597,"/","")))) + 1</f>
        <v>5</v>
      </c>
    </row>
    <row r="598" spans="1:6" hidden="1">
      <c r="A598" t="s">
        <v>4984</v>
      </c>
      <c r="B598">
        <v>147</v>
      </c>
      <c r="C598" t="s">
        <v>4982</v>
      </c>
      <c r="D598" t="s">
        <v>4983</v>
      </c>
      <c r="E598" t="s">
        <v>196</v>
      </c>
      <c r="F598">
        <f>SUMPRODUCT((LEN(E598)-LEN(SUBSTITUTE(E598,"/","")))) + 1</f>
        <v>1</v>
      </c>
    </row>
    <row r="599" spans="1:6" hidden="1">
      <c r="A599" t="s">
        <v>4987</v>
      </c>
      <c r="B599">
        <v>277</v>
      </c>
      <c r="C599" t="s">
        <v>4985</v>
      </c>
      <c r="D599" t="s">
        <v>4986</v>
      </c>
      <c r="E599" t="s">
        <v>3263</v>
      </c>
      <c r="F599">
        <f>SUMPRODUCT((LEN(E599)-LEN(SUBSTITUTE(E599,"/","")))) + 1</f>
        <v>1</v>
      </c>
    </row>
    <row r="600" spans="1:6" hidden="1">
      <c r="A600" t="s">
        <v>4990</v>
      </c>
      <c r="B600">
        <v>294</v>
      </c>
      <c r="C600" t="s">
        <v>4988</v>
      </c>
      <c r="D600" t="s">
        <v>4989</v>
      </c>
      <c r="E600" t="s">
        <v>1524</v>
      </c>
      <c r="F600">
        <f>SUMPRODUCT((LEN(E600)-LEN(SUBSTITUTE(E600,"/","")))) + 1</f>
        <v>1</v>
      </c>
    </row>
    <row r="601" spans="1:6" hidden="1">
      <c r="A601" t="s">
        <v>4993</v>
      </c>
      <c r="B601">
        <v>581</v>
      </c>
      <c r="C601" t="s">
        <v>4991</v>
      </c>
      <c r="D601" t="s">
        <v>4992</v>
      </c>
      <c r="E601" t="s">
        <v>3129</v>
      </c>
      <c r="F601">
        <f>SUMPRODUCT((LEN(E601)-LEN(SUBSTITUTE(E601,"/","")))) + 1</f>
        <v>2</v>
      </c>
    </row>
    <row r="602" spans="1:6" hidden="1">
      <c r="A602" t="s">
        <v>4996</v>
      </c>
      <c r="B602">
        <v>911</v>
      </c>
      <c r="C602" t="s">
        <v>4994</v>
      </c>
      <c r="D602" t="s">
        <v>4995</v>
      </c>
      <c r="E602" t="s">
        <v>3309</v>
      </c>
      <c r="F602">
        <f>SUMPRODUCT((LEN(E602)-LEN(SUBSTITUTE(E602,"/","")))) + 1</f>
        <v>1</v>
      </c>
    </row>
    <row r="603" spans="1:6" hidden="1">
      <c r="A603" t="s">
        <v>4999</v>
      </c>
      <c r="B603">
        <v>448</v>
      </c>
      <c r="C603" t="s">
        <v>4997</v>
      </c>
      <c r="D603" t="s">
        <v>4998</v>
      </c>
      <c r="E603" t="s">
        <v>3563</v>
      </c>
      <c r="F603">
        <f>SUMPRODUCT((LEN(E603)-LEN(SUBSTITUTE(E603,"/","")))) + 1</f>
        <v>1</v>
      </c>
    </row>
    <row r="604" spans="1:6" hidden="1">
      <c r="A604" t="s">
        <v>5002</v>
      </c>
      <c r="B604">
        <v>293</v>
      </c>
      <c r="C604" t="s">
        <v>5000</v>
      </c>
      <c r="D604" t="s">
        <v>5001</v>
      </c>
      <c r="E604" t="s">
        <v>1541</v>
      </c>
      <c r="F604">
        <f>SUMPRODUCT((LEN(E604)-LEN(SUBSTITUTE(E604,"/","")))) + 1</f>
        <v>1</v>
      </c>
    </row>
    <row r="605" spans="1:6" hidden="1">
      <c r="A605" t="s">
        <v>5005</v>
      </c>
      <c r="B605">
        <v>758</v>
      </c>
      <c r="C605" t="s">
        <v>5003</v>
      </c>
      <c r="D605" t="s">
        <v>5004</v>
      </c>
      <c r="E605" t="s">
        <v>1524</v>
      </c>
      <c r="F605">
        <f>SUMPRODUCT((LEN(E605)-LEN(SUBSTITUTE(E605,"/","")))) + 1</f>
        <v>1</v>
      </c>
    </row>
    <row r="606" spans="1:6" hidden="1">
      <c r="A606" t="s">
        <v>5008</v>
      </c>
      <c r="B606">
        <v>787</v>
      </c>
      <c r="C606" t="s">
        <v>5006</v>
      </c>
      <c r="D606" t="s">
        <v>5007</v>
      </c>
      <c r="E606" t="s">
        <v>3241</v>
      </c>
      <c r="F606">
        <f>SUMPRODUCT((LEN(E606)-LEN(SUBSTITUTE(E606,"/","")))) + 1</f>
        <v>1</v>
      </c>
    </row>
    <row r="607" spans="1:6" hidden="1">
      <c r="A607" t="s">
        <v>5011</v>
      </c>
      <c r="B607">
        <v>355</v>
      </c>
      <c r="C607" t="s">
        <v>5009</v>
      </c>
      <c r="D607" t="s">
        <v>5010</v>
      </c>
      <c r="E607" t="s">
        <v>1524</v>
      </c>
      <c r="F607">
        <f>SUMPRODUCT((LEN(E607)-LEN(SUBSTITUTE(E607,"/","")))) + 1</f>
        <v>1</v>
      </c>
    </row>
    <row r="608" spans="1:6" hidden="1">
      <c r="A608" t="s">
        <v>5014</v>
      </c>
      <c r="B608">
        <v>653</v>
      </c>
      <c r="C608" t="s">
        <v>5012</v>
      </c>
      <c r="D608" t="s">
        <v>5013</v>
      </c>
      <c r="E608" t="s">
        <v>1524</v>
      </c>
      <c r="F608">
        <f>SUMPRODUCT((LEN(E608)-LEN(SUBSTITUTE(E608,"/","")))) + 1</f>
        <v>1</v>
      </c>
    </row>
    <row r="609" spans="1:6" hidden="1">
      <c r="A609" t="s">
        <v>5017</v>
      </c>
      <c r="B609">
        <v>652</v>
      </c>
      <c r="C609" t="s">
        <v>5015</v>
      </c>
      <c r="D609" t="s">
        <v>5016</v>
      </c>
      <c r="E609" t="s">
        <v>1524</v>
      </c>
      <c r="F609">
        <f>SUMPRODUCT((LEN(E609)-LEN(SUBSTITUTE(E609,"/","")))) + 1</f>
        <v>1</v>
      </c>
    </row>
    <row r="610" spans="1:6" hidden="1">
      <c r="A610" t="s">
        <v>5020</v>
      </c>
      <c r="B610">
        <v>599</v>
      </c>
      <c r="C610" t="s">
        <v>5018</v>
      </c>
      <c r="D610" t="s">
        <v>5019</v>
      </c>
      <c r="E610" t="s">
        <v>3298</v>
      </c>
      <c r="F610">
        <f>SUMPRODUCT((LEN(E610)-LEN(SUBSTITUTE(E610,"/","")))) + 1</f>
        <v>1</v>
      </c>
    </row>
    <row r="611" spans="1:6" hidden="1">
      <c r="A611" t="s">
        <v>5023</v>
      </c>
      <c r="B611">
        <v>473</v>
      </c>
      <c r="C611" t="s">
        <v>5021</v>
      </c>
      <c r="D611" t="s">
        <v>5022</v>
      </c>
      <c r="E611" t="s">
        <v>5024</v>
      </c>
      <c r="F611">
        <f>SUMPRODUCT((LEN(E611)-LEN(SUBSTITUTE(E611,"/","")))) + 1</f>
        <v>2</v>
      </c>
    </row>
    <row r="612" spans="1:6" hidden="1">
      <c r="A612" t="s">
        <v>5027</v>
      </c>
      <c r="B612">
        <v>136</v>
      </c>
      <c r="C612" t="s">
        <v>5025</v>
      </c>
      <c r="D612" t="s">
        <v>5026</v>
      </c>
      <c r="E612" t="s">
        <v>110</v>
      </c>
      <c r="F612">
        <f>SUMPRODUCT((LEN(E612)-LEN(SUBSTITUTE(E612,"/","")))) + 1</f>
        <v>1</v>
      </c>
    </row>
    <row r="613" spans="1:6" hidden="1">
      <c r="A613" t="s">
        <v>5030</v>
      </c>
      <c r="B613">
        <v>863</v>
      </c>
      <c r="C613" t="s">
        <v>5028</v>
      </c>
      <c r="D613" t="s">
        <v>5029</v>
      </c>
      <c r="E613" t="s">
        <v>110</v>
      </c>
      <c r="F613">
        <f>SUMPRODUCT((LEN(E613)-LEN(SUBSTITUTE(E613,"/","")))) + 1</f>
        <v>1</v>
      </c>
    </row>
    <row r="614" spans="1:6" hidden="1">
      <c r="A614" t="s">
        <v>5033</v>
      </c>
      <c r="B614">
        <v>124</v>
      </c>
      <c r="C614" t="s">
        <v>5031</v>
      </c>
      <c r="D614" t="s">
        <v>5032</v>
      </c>
      <c r="E614" t="s">
        <v>5034</v>
      </c>
      <c r="F614">
        <f>SUMPRODUCT((LEN(E614)-LEN(SUBSTITUTE(E614,"/","")))) + 1</f>
        <v>2</v>
      </c>
    </row>
    <row r="615" spans="1:6" hidden="1">
      <c r="A615" t="s">
        <v>5037</v>
      </c>
      <c r="B615">
        <v>115</v>
      </c>
      <c r="C615" t="s">
        <v>5035</v>
      </c>
      <c r="D615" t="s">
        <v>5036</v>
      </c>
      <c r="E615" t="s">
        <v>5038</v>
      </c>
      <c r="F615">
        <f>SUMPRODUCT((LEN(E615)-LEN(SUBSTITUTE(E615,"/","")))) + 1</f>
        <v>2</v>
      </c>
    </row>
    <row r="616" spans="1:6" hidden="1">
      <c r="A616" t="s">
        <v>5041</v>
      </c>
      <c r="B616">
        <v>513</v>
      </c>
      <c r="C616" t="s">
        <v>5039</v>
      </c>
      <c r="D616" t="s">
        <v>5040</v>
      </c>
      <c r="E616" t="s">
        <v>248</v>
      </c>
      <c r="F616">
        <f>SUMPRODUCT((LEN(E616)-LEN(SUBSTITUTE(E616,"/","")))) + 1</f>
        <v>1</v>
      </c>
    </row>
    <row r="617" spans="1:6" hidden="1">
      <c r="A617" t="s">
        <v>5044</v>
      </c>
      <c r="B617">
        <v>67</v>
      </c>
      <c r="C617" t="s">
        <v>5042</v>
      </c>
      <c r="D617" t="s">
        <v>5043</v>
      </c>
      <c r="E617" t="s">
        <v>5045</v>
      </c>
      <c r="F617">
        <f>SUMPRODUCT((LEN(E617)-LEN(SUBSTITUTE(E617,"/","")))) + 1</f>
        <v>3</v>
      </c>
    </row>
    <row r="618" spans="1:6" hidden="1">
      <c r="A618" t="s">
        <v>5048</v>
      </c>
      <c r="B618">
        <v>287</v>
      </c>
      <c r="C618" t="s">
        <v>5046</v>
      </c>
      <c r="D618" t="s">
        <v>5047</v>
      </c>
      <c r="E618" t="s">
        <v>1538</v>
      </c>
      <c r="F618">
        <f>SUMPRODUCT((LEN(E618)-LEN(SUBSTITUTE(E618,"/","")))) + 1</f>
        <v>1</v>
      </c>
    </row>
    <row r="619" spans="1:6" hidden="1">
      <c r="A619" t="s">
        <v>5051</v>
      </c>
      <c r="B619">
        <v>166</v>
      </c>
      <c r="C619" t="s">
        <v>5049</v>
      </c>
      <c r="D619" t="s">
        <v>5050</v>
      </c>
      <c r="E619" t="s">
        <v>3309</v>
      </c>
      <c r="F619">
        <f>SUMPRODUCT((LEN(E619)-LEN(SUBSTITUTE(E619,"/","")))) + 1</f>
        <v>1</v>
      </c>
    </row>
    <row r="620" spans="1:6" hidden="1">
      <c r="A620" t="s">
        <v>5054</v>
      </c>
      <c r="B620">
        <v>763</v>
      </c>
      <c r="C620" t="s">
        <v>5052</v>
      </c>
      <c r="D620" t="s">
        <v>5053</v>
      </c>
      <c r="E620" t="s">
        <v>1532</v>
      </c>
      <c r="F620">
        <f>SUMPRODUCT((LEN(E620)-LEN(SUBSTITUTE(E620,"/","")))) + 1</f>
        <v>1</v>
      </c>
    </row>
    <row r="621" spans="1:6" hidden="1">
      <c r="A621" t="s">
        <v>5057</v>
      </c>
      <c r="B621">
        <v>446</v>
      </c>
      <c r="C621" t="s">
        <v>5055</v>
      </c>
      <c r="D621" t="s">
        <v>5056</v>
      </c>
      <c r="E621" t="s">
        <v>3737</v>
      </c>
      <c r="F621">
        <f>SUMPRODUCT((LEN(E621)-LEN(SUBSTITUTE(E621,"/","")))) + 1</f>
        <v>1</v>
      </c>
    </row>
    <row r="622" spans="1:6" hidden="1">
      <c r="A622" t="s">
        <v>5060</v>
      </c>
      <c r="B622">
        <v>777</v>
      </c>
      <c r="C622" t="s">
        <v>5058</v>
      </c>
      <c r="D622" t="s">
        <v>5059</v>
      </c>
      <c r="E622" t="s">
        <v>1538</v>
      </c>
      <c r="F622">
        <f>SUMPRODUCT((LEN(E622)-LEN(SUBSTITUTE(E622,"/","")))) + 1</f>
        <v>1</v>
      </c>
    </row>
    <row r="623" spans="1:6" hidden="1">
      <c r="A623" t="s">
        <v>5063</v>
      </c>
      <c r="B623">
        <v>162</v>
      </c>
      <c r="C623" t="s">
        <v>5061</v>
      </c>
      <c r="D623" t="s">
        <v>5062</v>
      </c>
      <c r="E623" t="s">
        <v>1525</v>
      </c>
      <c r="F623">
        <f>SUMPRODUCT((LEN(E623)-LEN(SUBSTITUTE(E623,"/","")))) + 1</f>
        <v>1</v>
      </c>
    </row>
    <row r="624" spans="1:6" hidden="1">
      <c r="A624" t="s">
        <v>5066</v>
      </c>
      <c r="B624">
        <v>675</v>
      </c>
      <c r="C624" t="s">
        <v>5064</v>
      </c>
      <c r="D624" t="s">
        <v>5065</v>
      </c>
      <c r="E624" t="s">
        <v>3172</v>
      </c>
      <c r="F624">
        <f>SUMPRODUCT((LEN(E624)-LEN(SUBSTITUTE(E624,"/","")))) + 1</f>
        <v>1</v>
      </c>
    </row>
    <row r="625" spans="1:6" hidden="1">
      <c r="A625" t="s">
        <v>5069</v>
      </c>
      <c r="B625">
        <v>321</v>
      </c>
      <c r="C625" t="s">
        <v>5067</v>
      </c>
      <c r="D625" t="s">
        <v>5068</v>
      </c>
      <c r="E625" t="s">
        <v>219</v>
      </c>
      <c r="F625">
        <f>SUMPRODUCT((LEN(E625)-LEN(SUBSTITUTE(E625,"/","")))) + 1</f>
        <v>1</v>
      </c>
    </row>
    <row r="626" spans="1:6" hidden="1">
      <c r="A626" t="s">
        <v>5072</v>
      </c>
      <c r="B626">
        <v>52</v>
      </c>
      <c r="C626" t="s">
        <v>5070</v>
      </c>
      <c r="D626" t="s">
        <v>5071</v>
      </c>
      <c r="E626" t="s">
        <v>1541</v>
      </c>
      <c r="F626">
        <f>SUMPRODUCT((LEN(E626)-LEN(SUBSTITUTE(E626,"/","")))) + 1</f>
        <v>1</v>
      </c>
    </row>
    <row r="627" spans="1:6" hidden="1">
      <c r="A627" t="s">
        <v>5075</v>
      </c>
      <c r="B627">
        <v>810</v>
      </c>
      <c r="C627" t="s">
        <v>5073</v>
      </c>
      <c r="D627" t="s">
        <v>5074</v>
      </c>
      <c r="E627" t="s">
        <v>519</v>
      </c>
      <c r="F627">
        <f>SUMPRODUCT((LEN(E627)-LEN(SUBSTITUTE(E627,"/","")))) + 1</f>
        <v>1</v>
      </c>
    </row>
    <row r="628" spans="1:6" hidden="1">
      <c r="A628" t="s">
        <v>5078</v>
      </c>
      <c r="B628">
        <v>325</v>
      </c>
      <c r="C628" t="s">
        <v>5076</v>
      </c>
      <c r="D628" t="s">
        <v>5077</v>
      </c>
      <c r="E628" t="s">
        <v>5079</v>
      </c>
      <c r="F628">
        <f>SUMPRODUCT((LEN(E628)-LEN(SUBSTITUTE(E628,"/","")))) + 1</f>
        <v>2</v>
      </c>
    </row>
    <row r="629" spans="1:6" hidden="1">
      <c r="A629" t="s">
        <v>5082</v>
      </c>
      <c r="B629">
        <v>755</v>
      </c>
      <c r="C629" t="s">
        <v>5080</v>
      </c>
      <c r="D629" t="s">
        <v>5081</v>
      </c>
      <c r="E629" t="s">
        <v>1525</v>
      </c>
      <c r="F629">
        <f>SUMPRODUCT((LEN(E629)-LEN(SUBSTITUTE(E629,"/","")))) + 1</f>
        <v>1</v>
      </c>
    </row>
    <row r="630" spans="1:6" hidden="1">
      <c r="A630" t="s">
        <v>5085</v>
      </c>
      <c r="B630">
        <v>401</v>
      </c>
      <c r="C630" t="s">
        <v>5083</v>
      </c>
      <c r="D630" t="s">
        <v>5084</v>
      </c>
      <c r="E630" t="s">
        <v>1525</v>
      </c>
      <c r="F630">
        <f>SUMPRODUCT((LEN(E630)-LEN(SUBSTITUTE(E630,"/","")))) + 1</f>
        <v>1</v>
      </c>
    </row>
    <row r="631" spans="1:6" hidden="1">
      <c r="A631" t="s">
        <v>5088</v>
      </c>
      <c r="B631">
        <v>296</v>
      </c>
      <c r="C631" t="s">
        <v>5086</v>
      </c>
      <c r="D631" t="s">
        <v>5087</v>
      </c>
      <c r="E631" t="s">
        <v>1541</v>
      </c>
      <c r="F631">
        <f>SUMPRODUCT((LEN(E631)-LEN(SUBSTITUTE(E631,"/","")))) + 1</f>
        <v>1</v>
      </c>
    </row>
    <row r="632" spans="1:6" hidden="1">
      <c r="A632" t="s">
        <v>5091</v>
      </c>
      <c r="B632">
        <v>813</v>
      </c>
      <c r="C632" t="s">
        <v>5089</v>
      </c>
      <c r="D632" t="s">
        <v>5090</v>
      </c>
      <c r="E632" t="s">
        <v>521</v>
      </c>
      <c r="F632">
        <f>SUMPRODUCT((LEN(E632)-LEN(SUBSTITUTE(E632,"/","")))) + 1</f>
        <v>1</v>
      </c>
    </row>
    <row r="633" spans="1:6" hidden="1">
      <c r="A633" t="s">
        <v>5094</v>
      </c>
      <c r="B633">
        <v>834</v>
      </c>
      <c r="C633" t="s">
        <v>5092</v>
      </c>
      <c r="D633" t="s">
        <v>5093</v>
      </c>
      <c r="E633" t="s">
        <v>661</v>
      </c>
      <c r="F633">
        <f>SUMPRODUCT((LEN(E633)-LEN(SUBSTITUTE(E633,"/","")))) + 1</f>
        <v>1</v>
      </c>
    </row>
    <row r="634" spans="1:6" hidden="1">
      <c r="A634" t="s">
        <v>5097</v>
      </c>
      <c r="B634">
        <v>452</v>
      </c>
      <c r="C634" t="s">
        <v>5095</v>
      </c>
      <c r="D634" t="s">
        <v>5096</v>
      </c>
      <c r="E634" t="s">
        <v>213</v>
      </c>
      <c r="F634">
        <f>SUMPRODUCT((LEN(E634)-LEN(SUBSTITUTE(E634,"/","")))) + 1</f>
        <v>1</v>
      </c>
    </row>
    <row r="635" spans="1:6" hidden="1">
      <c r="A635" t="s">
        <v>5100</v>
      </c>
      <c r="B635">
        <v>589</v>
      </c>
      <c r="C635" t="s">
        <v>5098</v>
      </c>
      <c r="D635" t="s">
        <v>5099</v>
      </c>
      <c r="E635" t="s">
        <v>1525</v>
      </c>
      <c r="F635">
        <f>SUMPRODUCT((LEN(E635)-LEN(SUBSTITUTE(E635,"/","")))) + 1</f>
        <v>1</v>
      </c>
    </row>
    <row r="636" spans="1:6" hidden="1">
      <c r="A636" t="s">
        <v>5103</v>
      </c>
      <c r="B636">
        <v>464</v>
      </c>
      <c r="C636" t="s">
        <v>5101</v>
      </c>
      <c r="D636" t="s">
        <v>5102</v>
      </c>
      <c r="E636" t="s">
        <v>661</v>
      </c>
      <c r="F636">
        <f>SUMPRODUCT((LEN(E636)-LEN(SUBSTITUTE(E636,"/","")))) + 1</f>
        <v>1</v>
      </c>
    </row>
    <row r="637" spans="1:6" hidden="1">
      <c r="A637" t="s">
        <v>5106</v>
      </c>
      <c r="B637">
        <v>329</v>
      </c>
      <c r="C637" t="s">
        <v>5104</v>
      </c>
      <c r="D637" t="s">
        <v>5105</v>
      </c>
      <c r="E637" t="s">
        <v>5107</v>
      </c>
      <c r="F637">
        <f>SUMPRODUCT((LEN(E637)-LEN(SUBSTITUTE(E637,"/","")))) + 1</f>
        <v>1</v>
      </c>
    </row>
    <row r="638" spans="1:6" hidden="1">
      <c r="A638" t="s">
        <v>5110</v>
      </c>
      <c r="B638">
        <v>525</v>
      </c>
      <c r="C638" t="s">
        <v>5108</v>
      </c>
      <c r="D638" t="s">
        <v>5109</v>
      </c>
      <c r="E638" t="s">
        <v>1525</v>
      </c>
      <c r="F638">
        <f>SUMPRODUCT((LEN(E638)-LEN(SUBSTITUTE(E638,"/","")))) + 1</f>
        <v>1</v>
      </c>
    </row>
    <row r="639" spans="1:6" hidden="1">
      <c r="A639" t="s">
        <v>5113</v>
      </c>
      <c r="B639">
        <v>666</v>
      </c>
      <c r="C639" t="s">
        <v>5111</v>
      </c>
      <c r="D639" t="s">
        <v>5112</v>
      </c>
      <c r="E639" t="s">
        <v>3179</v>
      </c>
      <c r="F639">
        <f>SUMPRODUCT((LEN(E639)-LEN(SUBSTITUTE(E639,"/","")))) + 1</f>
        <v>1</v>
      </c>
    </row>
    <row r="640" spans="1:6" hidden="1">
      <c r="A640" t="s">
        <v>5116</v>
      </c>
      <c r="B640">
        <v>111</v>
      </c>
      <c r="C640" t="s">
        <v>5114</v>
      </c>
      <c r="D640" t="s">
        <v>5115</v>
      </c>
      <c r="E640" t="s">
        <v>109</v>
      </c>
      <c r="F640">
        <f>SUMPRODUCT((LEN(E640)-LEN(SUBSTITUTE(E640,"/","")))) + 1</f>
        <v>1</v>
      </c>
    </row>
    <row r="641" spans="1:6" hidden="1">
      <c r="A641" t="s">
        <v>5119</v>
      </c>
      <c r="B641">
        <v>242</v>
      </c>
      <c r="C641" t="s">
        <v>5117</v>
      </c>
      <c r="D641" t="s">
        <v>5118</v>
      </c>
      <c r="E641" t="s">
        <v>196</v>
      </c>
      <c r="F641">
        <f>SUMPRODUCT((LEN(E641)-LEN(SUBSTITUTE(E641,"/","")))) + 1</f>
        <v>1</v>
      </c>
    </row>
    <row r="642" spans="1:6" hidden="1">
      <c r="A642" t="s">
        <v>5122</v>
      </c>
      <c r="B642">
        <v>134</v>
      </c>
      <c r="C642" t="s">
        <v>5120</v>
      </c>
      <c r="D642" t="s">
        <v>5121</v>
      </c>
      <c r="E642" t="s">
        <v>5123</v>
      </c>
      <c r="F642">
        <f>SUMPRODUCT((LEN(E642)-LEN(SUBSTITUTE(E642,"/","")))) + 1</f>
        <v>2</v>
      </c>
    </row>
    <row r="643" spans="1:6" hidden="1">
      <c r="A643" t="s">
        <v>5126</v>
      </c>
      <c r="B643">
        <v>457</v>
      </c>
      <c r="C643" t="s">
        <v>5124</v>
      </c>
      <c r="D643" t="s">
        <v>5125</v>
      </c>
      <c r="E643" t="s">
        <v>519</v>
      </c>
      <c r="F643">
        <f>SUMPRODUCT((LEN(E643)-LEN(SUBSTITUTE(E643,"/","")))) + 1</f>
        <v>1</v>
      </c>
    </row>
    <row r="644" spans="1:6" hidden="1">
      <c r="A644" t="s">
        <v>5129</v>
      </c>
      <c r="B644">
        <v>685</v>
      </c>
      <c r="C644" t="s">
        <v>5127</v>
      </c>
      <c r="D644" t="s">
        <v>5128</v>
      </c>
      <c r="E644" t="s">
        <v>523</v>
      </c>
      <c r="F644">
        <f>SUMPRODUCT((LEN(E644)-LEN(SUBSTITUTE(E644,"/","")))) + 1</f>
        <v>1</v>
      </c>
    </row>
    <row r="645" spans="1:6" hidden="1">
      <c r="A645" t="s">
        <v>5132</v>
      </c>
      <c r="B645">
        <v>551</v>
      </c>
      <c r="C645" t="s">
        <v>5130</v>
      </c>
      <c r="D645" t="s">
        <v>5131</v>
      </c>
      <c r="E645" t="s">
        <v>521</v>
      </c>
      <c r="F645">
        <f>SUMPRODUCT((LEN(E645)-LEN(SUBSTITUTE(E645,"/","")))) + 1</f>
        <v>1</v>
      </c>
    </row>
    <row r="646" spans="1:6" hidden="1">
      <c r="A646" t="s">
        <v>5135</v>
      </c>
      <c r="B646">
        <v>870</v>
      </c>
      <c r="C646" t="s">
        <v>5133</v>
      </c>
      <c r="D646" t="s">
        <v>5134</v>
      </c>
      <c r="E646" t="s">
        <v>5136</v>
      </c>
      <c r="F646">
        <f>SUMPRODUCT((LEN(E646)-LEN(SUBSTITUTE(E646,"/","")))) + 1</f>
        <v>1</v>
      </c>
    </row>
    <row r="647" spans="1:6" hidden="1">
      <c r="A647" t="s">
        <v>5139</v>
      </c>
      <c r="B647">
        <v>14</v>
      </c>
      <c r="C647" t="s">
        <v>5137</v>
      </c>
      <c r="D647" t="s">
        <v>5138</v>
      </c>
      <c r="E647" t="s">
        <v>5140</v>
      </c>
      <c r="F647">
        <f>SUMPRODUCT((LEN(E647)-LEN(SUBSTITUTE(E647,"/","")))) + 1</f>
        <v>2</v>
      </c>
    </row>
    <row r="648" spans="1:6" hidden="1">
      <c r="A648" t="s">
        <v>5143</v>
      </c>
      <c r="B648">
        <v>642</v>
      </c>
      <c r="C648" t="s">
        <v>5141</v>
      </c>
      <c r="D648" t="s">
        <v>5142</v>
      </c>
      <c r="E648" t="s">
        <v>5144</v>
      </c>
      <c r="F648">
        <f>SUMPRODUCT((LEN(E648)-LEN(SUBSTITUTE(E648,"/","")))) + 1</f>
        <v>2</v>
      </c>
    </row>
    <row r="649" spans="1:6" hidden="1">
      <c r="A649" t="s">
        <v>5147</v>
      </c>
      <c r="B649">
        <v>350</v>
      </c>
      <c r="C649" t="s">
        <v>5145</v>
      </c>
      <c r="D649" t="s">
        <v>5146</v>
      </c>
      <c r="E649" t="s">
        <v>72</v>
      </c>
      <c r="F649">
        <f>SUMPRODUCT((LEN(E649)-LEN(SUBSTITUTE(E649,"/","")))) + 1</f>
        <v>1</v>
      </c>
    </row>
    <row r="650" spans="1:6" hidden="1">
      <c r="A650" t="s">
        <v>5150</v>
      </c>
      <c r="B650">
        <v>520</v>
      </c>
      <c r="C650" t="s">
        <v>5148</v>
      </c>
      <c r="D650" t="s">
        <v>5149</v>
      </c>
      <c r="E650" t="s">
        <v>3241</v>
      </c>
      <c r="F650">
        <f>SUMPRODUCT((LEN(E650)-LEN(SUBSTITUTE(E650,"/","")))) + 1</f>
        <v>1</v>
      </c>
    </row>
    <row r="651" spans="1:6" hidden="1">
      <c r="A651" t="s">
        <v>5153</v>
      </c>
      <c r="B651">
        <v>106</v>
      </c>
      <c r="C651" t="s">
        <v>5151</v>
      </c>
      <c r="D651" t="s">
        <v>5152</v>
      </c>
      <c r="E651" t="s">
        <v>213</v>
      </c>
      <c r="F651">
        <f>SUMPRODUCT((LEN(E651)-LEN(SUBSTITUTE(E651,"/","")))) + 1</f>
        <v>1</v>
      </c>
    </row>
    <row r="652" spans="1:6" hidden="1">
      <c r="A652" t="s">
        <v>5156</v>
      </c>
      <c r="B652">
        <v>440</v>
      </c>
      <c r="C652" t="s">
        <v>5154</v>
      </c>
      <c r="D652" t="s">
        <v>5155</v>
      </c>
      <c r="E652" t="s">
        <v>523</v>
      </c>
      <c r="F652">
        <f>SUMPRODUCT((LEN(E652)-LEN(SUBSTITUTE(E652,"/","")))) + 1</f>
        <v>1</v>
      </c>
    </row>
    <row r="653" spans="1:6" hidden="1">
      <c r="A653" t="s">
        <v>5159</v>
      </c>
      <c r="B653">
        <v>179</v>
      </c>
      <c r="C653" t="s">
        <v>5157</v>
      </c>
      <c r="D653" t="s">
        <v>5158</v>
      </c>
      <c r="E653" t="s">
        <v>1532</v>
      </c>
      <c r="F653">
        <f>SUMPRODUCT((LEN(E653)-LEN(SUBSTITUTE(E653,"/","")))) + 1</f>
        <v>1</v>
      </c>
    </row>
    <row r="654" spans="1:6" hidden="1">
      <c r="A654" t="s">
        <v>5162</v>
      </c>
      <c r="B654">
        <v>753</v>
      </c>
      <c r="C654" t="s">
        <v>5160</v>
      </c>
      <c r="D654" t="s">
        <v>5161</v>
      </c>
      <c r="E654" t="s">
        <v>1532</v>
      </c>
      <c r="F654">
        <f>SUMPRODUCT((LEN(E654)-LEN(SUBSTITUTE(E654,"/","")))) + 1</f>
        <v>1</v>
      </c>
    </row>
    <row r="655" spans="1:6" hidden="1">
      <c r="A655" t="s">
        <v>5165</v>
      </c>
      <c r="B655">
        <v>829</v>
      </c>
      <c r="C655" t="s">
        <v>5163</v>
      </c>
      <c r="D655" t="s">
        <v>5164</v>
      </c>
      <c r="E655" t="s">
        <v>116</v>
      </c>
      <c r="F655">
        <f>SUMPRODUCT((LEN(E655)-LEN(SUBSTITUTE(E655,"/","")))) + 1</f>
        <v>1</v>
      </c>
    </row>
    <row r="656" spans="1:6" hidden="1">
      <c r="A656" t="s">
        <v>5168</v>
      </c>
      <c r="B656">
        <v>877</v>
      </c>
      <c r="C656" t="s">
        <v>5166</v>
      </c>
      <c r="D656" t="s">
        <v>5167</v>
      </c>
      <c r="E656" t="s">
        <v>196</v>
      </c>
      <c r="F656">
        <f>SUMPRODUCT((LEN(E656)-LEN(SUBSTITUTE(E656,"/","")))) + 1</f>
        <v>1</v>
      </c>
    </row>
    <row r="657" spans="1:6" hidden="1">
      <c r="A657" t="s">
        <v>5171</v>
      </c>
      <c r="B657">
        <v>150</v>
      </c>
      <c r="C657" t="s">
        <v>5169</v>
      </c>
      <c r="D657" t="s">
        <v>5170</v>
      </c>
      <c r="E657" t="s">
        <v>74</v>
      </c>
      <c r="F657">
        <f>SUMPRODUCT((LEN(E657)-LEN(SUBSTITUTE(E657,"/","")))) + 1</f>
        <v>1</v>
      </c>
    </row>
    <row r="658" spans="1:6" hidden="1">
      <c r="A658" t="s">
        <v>5174</v>
      </c>
      <c r="B658">
        <v>811</v>
      </c>
      <c r="C658" t="s">
        <v>5172</v>
      </c>
      <c r="D658" t="s">
        <v>5173</v>
      </c>
      <c r="E658" t="s">
        <v>519</v>
      </c>
      <c r="F658">
        <f>SUMPRODUCT((LEN(E658)-LEN(SUBSTITUTE(E658,"/","")))) + 1</f>
        <v>1</v>
      </c>
    </row>
    <row r="659" spans="1:6">
      <c r="A659" t="s">
        <v>5177</v>
      </c>
      <c r="B659">
        <v>923</v>
      </c>
      <c r="C659" t="s">
        <v>5175</v>
      </c>
      <c r="D659" t="s">
        <v>5176</v>
      </c>
      <c r="E659" t="s">
        <v>5178</v>
      </c>
      <c r="F659">
        <f>SUMPRODUCT((LEN(E659)-LEN(SUBSTITUTE(E659,"/","")))) + 1</f>
        <v>2</v>
      </c>
    </row>
    <row r="660" spans="1:6" hidden="1">
      <c r="A660" t="s">
        <v>5181</v>
      </c>
      <c r="B660">
        <v>488</v>
      </c>
      <c r="C660" t="s">
        <v>5179</v>
      </c>
      <c r="D660" t="s">
        <v>5180</v>
      </c>
      <c r="E660" t="s">
        <v>3535</v>
      </c>
      <c r="F660">
        <f>SUMPRODUCT((LEN(E660)-LEN(SUBSTITUTE(E660,"/","")))) + 1</f>
        <v>2</v>
      </c>
    </row>
    <row r="661" spans="1:6" hidden="1">
      <c r="A661" t="s">
        <v>5184</v>
      </c>
      <c r="B661">
        <v>41</v>
      </c>
      <c r="C661" t="s">
        <v>5182</v>
      </c>
      <c r="D661" t="s">
        <v>5183</v>
      </c>
      <c r="E661" t="s">
        <v>5185</v>
      </c>
      <c r="F661">
        <f>SUMPRODUCT((LEN(E661)-LEN(SUBSTITUTE(E661,"/","")))) + 1</f>
        <v>2</v>
      </c>
    </row>
    <row r="662" spans="1:6" hidden="1">
      <c r="A662" t="s">
        <v>5188</v>
      </c>
      <c r="B662">
        <v>240</v>
      </c>
      <c r="C662" t="s">
        <v>5186</v>
      </c>
      <c r="D662" t="s">
        <v>5187</v>
      </c>
      <c r="E662" t="s">
        <v>5189</v>
      </c>
      <c r="F662">
        <f>SUMPRODUCT((LEN(E662)-LEN(SUBSTITUTE(E662,"/","")))) + 1</f>
        <v>3</v>
      </c>
    </row>
    <row r="663" spans="1:6" hidden="1">
      <c r="A663" t="s">
        <v>5192</v>
      </c>
      <c r="B663">
        <v>47</v>
      </c>
      <c r="C663" t="s">
        <v>5190</v>
      </c>
      <c r="D663" t="s">
        <v>5191</v>
      </c>
      <c r="E663" t="s">
        <v>5193</v>
      </c>
      <c r="F663">
        <f>SUMPRODUCT((LEN(E663)-LEN(SUBSTITUTE(E663,"/","")))) + 1</f>
        <v>2</v>
      </c>
    </row>
    <row r="664" spans="1:6" hidden="1">
      <c r="A664" t="s">
        <v>5196</v>
      </c>
      <c r="B664">
        <v>541</v>
      </c>
      <c r="C664" t="s">
        <v>5194</v>
      </c>
      <c r="D664" t="s">
        <v>5195</v>
      </c>
      <c r="E664" t="s">
        <v>317</v>
      </c>
      <c r="F664">
        <f>SUMPRODUCT((LEN(E664)-LEN(SUBSTITUTE(E664,"/","")))) + 1</f>
        <v>1</v>
      </c>
    </row>
    <row r="665" spans="1:6" hidden="1">
      <c r="A665" t="s">
        <v>5199</v>
      </c>
      <c r="B665">
        <v>37</v>
      </c>
      <c r="C665" t="s">
        <v>5197</v>
      </c>
      <c r="D665" t="s">
        <v>5198</v>
      </c>
      <c r="E665" t="s">
        <v>5200</v>
      </c>
      <c r="F665">
        <f>SUMPRODUCT((LEN(E665)-LEN(SUBSTITUTE(E665,"/","")))) + 1</f>
        <v>2</v>
      </c>
    </row>
    <row r="666" spans="1:6" hidden="1">
      <c r="A666" t="s">
        <v>5203</v>
      </c>
      <c r="B666">
        <v>64</v>
      </c>
      <c r="C666" t="s">
        <v>5201</v>
      </c>
      <c r="D666" t="s">
        <v>5202</v>
      </c>
      <c r="E666" t="s">
        <v>74</v>
      </c>
      <c r="F666">
        <f>SUMPRODUCT((LEN(E666)-LEN(SUBSTITUTE(E666,"/","")))) + 1</f>
        <v>1</v>
      </c>
    </row>
    <row r="667" spans="1:6" hidden="1">
      <c r="A667" t="s">
        <v>5206</v>
      </c>
      <c r="B667">
        <v>349</v>
      </c>
      <c r="C667" t="s">
        <v>5204</v>
      </c>
      <c r="D667" t="s">
        <v>5205</v>
      </c>
      <c r="E667" t="s">
        <v>72</v>
      </c>
      <c r="F667">
        <f>SUMPRODUCT((LEN(E667)-LEN(SUBSTITUTE(E667,"/","")))) + 1</f>
        <v>1</v>
      </c>
    </row>
    <row r="668" spans="1:6" hidden="1">
      <c r="A668" t="s">
        <v>5209</v>
      </c>
      <c r="B668">
        <v>84</v>
      </c>
      <c r="C668" t="s">
        <v>5207</v>
      </c>
      <c r="D668" t="s">
        <v>5208</v>
      </c>
      <c r="E668" t="s">
        <v>3309</v>
      </c>
      <c r="F668">
        <f>SUMPRODUCT((LEN(E668)-LEN(SUBSTITUTE(E668,"/","")))) + 1</f>
        <v>1</v>
      </c>
    </row>
    <row r="669" spans="1:6" hidden="1">
      <c r="A669" t="s">
        <v>5212</v>
      </c>
      <c r="B669">
        <v>182</v>
      </c>
      <c r="C669" t="s">
        <v>5210</v>
      </c>
      <c r="D669" t="s">
        <v>5211</v>
      </c>
      <c r="E669" t="s">
        <v>3309</v>
      </c>
      <c r="F669">
        <f>SUMPRODUCT((LEN(E669)-LEN(SUBSTITUTE(E669,"/","")))) + 1</f>
        <v>1</v>
      </c>
    </row>
    <row r="670" spans="1:6" hidden="1">
      <c r="A670" t="s">
        <v>5215</v>
      </c>
      <c r="B670">
        <v>246</v>
      </c>
      <c r="C670" t="s">
        <v>5213</v>
      </c>
      <c r="D670" t="s">
        <v>5214</v>
      </c>
      <c r="E670" t="s">
        <v>74</v>
      </c>
      <c r="F670">
        <f>SUMPRODUCT((LEN(E670)-LEN(SUBSTITUTE(E670,"/","")))) + 1</f>
        <v>1</v>
      </c>
    </row>
    <row r="671" spans="1:6" hidden="1">
      <c r="A671" t="s">
        <v>5218</v>
      </c>
      <c r="B671">
        <v>578</v>
      </c>
      <c r="C671" t="s">
        <v>5216</v>
      </c>
      <c r="D671" t="s">
        <v>5217</v>
      </c>
      <c r="E671" t="s">
        <v>5219</v>
      </c>
      <c r="F671">
        <f>SUMPRODUCT((LEN(E671)-LEN(SUBSTITUTE(E671,"/","")))) + 1</f>
        <v>2</v>
      </c>
    </row>
    <row r="672" spans="1:6" hidden="1">
      <c r="A672" t="s">
        <v>5222</v>
      </c>
      <c r="B672">
        <v>684</v>
      </c>
      <c r="C672" t="s">
        <v>5220</v>
      </c>
      <c r="D672" t="s">
        <v>5221</v>
      </c>
      <c r="E672" t="s">
        <v>661</v>
      </c>
      <c r="F672">
        <f>SUMPRODUCT((LEN(E672)-LEN(SUBSTITUTE(E672,"/","")))) + 1</f>
        <v>1</v>
      </c>
    </row>
    <row r="673" spans="1:6" hidden="1">
      <c r="A673" t="s">
        <v>5225</v>
      </c>
      <c r="B673">
        <v>10</v>
      </c>
      <c r="C673" t="s">
        <v>5223</v>
      </c>
      <c r="D673" t="s">
        <v>5224</v>
      </c>
      <c r="E673" t="s">
        <v>213</v>
      </c>
      <c r="F673">
        <f>SUMPRODUCT((LEN(E673)-LEN(SUBSTITUTE(E673,"/","")))) + 1</f>
        <v>1</v>
      </c>
    </row>
    <row r="674" spans="1:6" hidden="1">
      <c r="A674" t="s">
        <v>5228</v>
      </c>
      <c r="B674">
        <v>528</v>
      </c>
      <c r="C674" t="s">
        <v>5226</v>
      </c>
      <c r="D674" t="s">
        <v>5227</v>
      </c>
      <c r="E674" t="s">
        <v>1532</v>
      </c>
      <c r="F674">
        <f>SUMPRODUCT((LEN(E674)-LEN(SUBSTITUTE(E674,"/","")))) + 1</f>
        <v>1</v>
      </c>
    </row>
    <row r="675" spans="1:6" hidden="1">
      <c r="A675" t="s">
        <v>5231</v>
      </c>
      <c r="B675">
        <v>840</v>
      </c>
      <c r="C675" t="s">
        <v>5229</v>
      </c>
      <c r="D675" t="s">
        <v>5230</v>
      </c>
      <c r="E675" t="s">
        <v>109</v>
      </c>
      <c r="F675">
        <f>SUMPRODUCT((LEN(E675)-LEN(SUBSTITUTE(E675,"/","")))) + 1</f>
        <v>1</v>
      </c>
    </row>
    <row r="676" spans="1:6" hidden="1">
      <c r="A676" t="s">
        <v>5234</v>
      </c>
      <c r="B676">
        <v>302</v>
      </c>
      <c r="C676" t="s">
        <v>5232</v>
      </c>
      <c r="D676" t="s">
        <v>5233</v>
      </c>
      <c r="E676" t="s">
        <v>115</v>
      </c>
      <c r="F676">
        <f>SUMPRODUCT((LEN(E676)-LEN(SUBSTITUTE(E676,"/","")))) + 1</f>
        <v>1</v>
      </c>
    </row>
    <row r="677" spans="1:6" hidden="1">
      <c r="A677" t="s">
        <v>5237</v>
      </c>
      <c r="B677">
        <v>764</v>
      </c>
      <c r="C677" t="s">
        <v>5235</v>
      </c>
      <c r="D677" t="s">
        <v>5236</v>
      </c>
      <c r="E677" t="s">
        <v>1532</v>
      </c>
      <c r="F677">
        <f>SUMPRODUCT((LEN(E677)-LEN(SUBSTITUTE(E677,"/","")))) + 1</f>
        <v>1</v>
      </c>
    </row>
    <row r="678" spans="1:6" hidden="1">
      <c r="A678" t="s">
        <v>5240</v>
      </c>
      <c r="B678">
        <v>254</v>
      </c>
      <c r="C678" t="s">
        <v>5238</v>
      </c>
      <c r="D678" t="s">
        <v>5239</v>
      </c>
      <c r="E678" t="s">
        <v>71</v>
      </c>
      <c r="F678">
        <f>SUMPRODUCT((LEN(E678)-LEN(SUBSTITUTE(E678,"/","")))) + 1</f>
        <v>1</v>
      </c>
    </row>
    <row r="679" spans="1:6" hidden="1">
      <c r="A679" t="s">
        <v>5243</v>
      </c>
      <c r="B679">
        <v>682</v>
      </c>
      <c r="C679" t="s">
        <v>5241</v>
      </c>
      <c r="D679" t="s">
        <v>5242</v>
      </c>
      <c r="E679" t="s">
        <v>5244</v>
      </c>
      <c r="F679">
        <f>SUMPRODUCT((LEN(E679)-LEN(SUBSTITUTE(E679,"/","")))) + 1</f>
        <v>2</v>
      </c>
    </row>
    <row r="680" spans="1:6" hidden="1">
      <c r="A680" t="s">
        <v>5247</v>
      </c>
      <c r="B680">
        <v>617</v>
      </c>
      <c r="C680" t="s">
        <v>5245</v>
      </c>
      <c r="D680" t="s">
        <v>5246</v>
      </c>
      <c r="E680" t="s">
        <v>3298</v>
      </c>
      <c r="F680">
        <f>SUMPRODUCT((LEN(E680)-LEN(SUBSTITUTE(E680,"/","")))) + 1</f>
        <v>1</v>
      </c>
    </row>
    <row r="681" spans="1:6" hidden="1">
      <c r="A681" t="s">
        <v>5250</v>
      </c>
      <c r="B681">
        <v>63</v>
      </c>
      <c r="C681" t="s">
        <v>5248</v>
      </c>
      <c r="D681" t="s">
        <v>5249</v>
      </c>
      <c r="E681" t="s">
        <v>74</v>
      </c>
      <c r="F681">
        <f>SUMPRODUCT((LEN(E681)-LEN(SUBSTITUTE(E681,"/","")))) + 1</f>
        <v>1</v>
      </c>
    </row>
    <row r="682" spans="1:6" hidden="1">
      <c r="A682" t="s">
        <v>5253</v>
      </c>
      <c r="B682">
        <v>62</v>
      </c>
      <c r="C682" t="s">
        <v>5251</v>
      </c>
      <c r="D682" t="s">
        <v>5252</v>
      </c>
      <c r="E682" t="s">
        <v>74</v>
      </c>
      <c r="F682">
        <f>SUMPRODUCT((LEN(E682)-LEN(SUBSTITUTE(E682,"/","")))) + 1</f>
        <v>1</v>
      </c>
    </row>
    <row r="683" spans="1:6" hidden="1">
      <c r="A683" t="s">
        <v>5256</v>
      </c>
      <c r="B683">
        <v>173</v>
      </c>
      <c r="C683" t="s">
        <v>5254</v>
      </c>
      <c r="D683" t="s">
        <v>5255</v>
      </c>
      <c r="E683" t="s">
        <v>3241</v>
      </c>
      <c r="F683">
        <f>SUMPRODUCT((LEN(E683)-LEN(SUBSTITUTE(E683,"/","")))) + 1</f>
        <v>1</v>
      </c>
    </row>
    <row r="684" spans="1:6" hidden="1">
      <c r="A684" t="s">
        <v>5259</v>
      </c>
      <c r="B684">
        <v>781</v>
      </c>
      <c r="C684" t="s">
        <v>5257</v>
      </c>
      <c r="D684" t="s">
        <v>5258</v>
      </c>
      <c r="E684" t="s">
        <v>3179</v>
      </c>
      <c r="F684">
        <f>SUMPRODUCT((LEN(E684)-LEN(SUBSTITUTE(E684,"/","")))) + 1</f>
        <v>1</v>
      </c>
    </row>
    <row r="685" spans="1:6" hidden="1">
      <c r="A685" t="s">
        <v>5262</v>
      </c>
      <c r="B685">
        <v>272</v>
      </c>
      <c r="C685" t="s">
        <v>5260</v>
      </c>
      <c r="D685" t="s">
        <v>5261</v>
      </c>
      <c r="E685" t="s">
        <v>1538</v>
      </c>
      <c r="F685">
        <f>SUMPRODUCT((LEN(E685)-LEN(SUBSTITUTE(E685,"/","")))) + 1</f>
        <v>1</v>
      </c>
    </row>
    <row r="686" spans="1:6" hidden="1">
      <c r="A686" t="s">
        <v>5265</v>
      </c>
      <c r="B686">
        <v>724</v>
      </c>
      <c r="C686" t="s">
        <v>5263</v>
      </c>
      <c r="D686" t="s">
        <v>5264</v>
      </c>
      <c r="E686" t="s">
        <v>3963</v>
      </c>
      <c r="F686">
        <f>SUMPRODUCT((LEN(E686)-LEN(SUBSTITUTE(E686,"/","")))) + 1</f>
        <v>3</v>
      </c>
    </row>
    <row r="687" spans="1:6" hidden="1">
      <c r="A687" t="s">
        <v>5268</v>
      </c>
      <c r="B687">
        <v>730</v>
      </c>
      <c r="C687" t="s">
        <v>5266</v>
      </c>
      <c r="D687" t="s">
        <v>5267</v>
      </c>
      <c r="E687" t="s">
        <v>1532</v>
      </c>
      <c r="F687">
        <f>SUMPRODUCT((LEN(E687)-LEN(SUBSTITUTE(E687,"/","")))) + 1</f>
        <v>1</v>
      </c>
    </row>
    <row r="688" spans="1:6" hidden="1">
      <c r="A688" t="s">
        <v>5271</v>
      </c>
      <c r="B688">
        <v>593</v>
      </c>
      <c r="C688" t="s">
        <v>5269</v>
      </c>
      <c r="D688" t="s">
        <v>5270</v>
      </c>
      <c r="E688" t="s">
        <v>1525</v>
      </c>
      <c r="F688">
        <f>SUMPRODUCT((LEN(E688)-LEN(SUBSTITUTE(E688,"/","")))) + 1</f>
        <v>1</v>
      </c>
    </row>
    <row r="689" spans="1:6" hidden="1">
      <c r="A689" t="s">
        <v>5274</v>
      </c>
      <c r="B689">
        <v>704</v>
      </c>
      <c r="C689" t="s">
        <v>5272</v>
      </c>
      <c r="D689" t="s">
        <v>5273</v>
      </c>
      <c r="E689" t="s">
        <v>143</v>
      </c>
      <c r="F689">
        <f>SUMPRODUCT((LEN(E689)-LEN(SUBSTITUTE(E689,"/","")))) + 1</f>
        <v>1</v>
      </c>
    </row>
    <row r="690" spans="1:6" hidden="1">
      <c r="A690" t="s">
        <v>5277</v>
      </c>
      <c r="B690">
        <v>587</v>
      </c>
      <c r="C690" t="s">
        <v>5275</v>
      </c>
      <c r="D690" t="s">
        <v>5276</v>
      </c>
      <c r="E690" t="s">
        <v>143</v>
      </c>
      <c r="F690">
        <f>SUMPRODUCT((LEN(E690)-LEN(SUBSTITUTE(E690,"/","")))) + 1</f>
        <v>1</v>
      </c>
    </row>
    <row r="691" spans="1:6" hidden="1">
      <c r="A691" t="s">
        <v>5280</v>
      </c>
      <c r="B691">
        <v>858</v>
      </c>
      <c r="C691" t="s">
        <v>5278</v>
      </c>
      <c r="D691" t="s">
        <v>5279</v>
      </c>
      <c r="E691" t="s">
        <v>195</v>
      </c>
      <c r="F691">
        <f>SUMPRODUCT((LEN(E691)-LEN(SUBSTITUTE(E691,"/","")))) + 1</f>
        <v>1</v>
      </c>
    </row>
    <row r="692" spans="1:6" hidden="1">
      <c r="A692" t="s">
        <v>5283</v>
      </c>
      <c r="B692">
        <v>660</v>
      </c>
      <c r="C692" t="s">
        <v>5281</v>
      </c>
      <c r="D692" t="s">
        <v>5282</v>
      </c>
      <c r="E692" t="s">
        <v>661</v>
      </c>
      <c r="F692">
        <f>SUMPRODUCT((LEN(E692)-LEN(SUBSTITUTE(E692,"/","")))) + 1</f>
        <v>1</v>
      </c>
    </row>
    <row r="693" spans="1:6" hidden="1">
      <c r="A693" t="s">
        <v>5286</v>
      </c>
      <c r="B693">
        <v>482</v>
      </c>
      <c r="C693" t="s">
        <v>5284</v>
      </c>
      <c r="D693" t="s">
        <v>5285</v>
      </c>
      <c r="E693" t="s">
        <v>5287</v>
      </c>
      <c r="F693">
        <f>SUMPRODUCT((LEN(E693)-LEN(SUBSTITUTE(E693,"/","")))) + 1</f>
        <v>2</v>
      </c>
    </row>
    <row r="694" spans="1:6" hidden="1">
      <c r="A694" t="s">
        <v>5290</v>
      </c>
      <c r="B694">
        <v>822</v>
      </c>
      <c r="C694" t="s">
        <v>5288</v>
      </c>
      <c r="D694" t="s">
        <v>5289</v>
      </c>
      <c r="E694" t="s">
        <v>5287</v>
      </c>
      <c r="F694">
        <f>SUMPRODUCT((LEN(E694)-LEN(SUBSTITUTE(E694,"/","")))) + 1</f>
        <v>2</v>
      </c>
    </row>
    <row r="695" spans="1:6" hidden="1">
      <c r="A695" t="s">
        <v>5293</v>
      </c>
      <c r="B695">
        <v>717</v>
      </c>
      <c r="C695" t="s">
        <v>5291</v>
      </c>
      <c r="D695" t="s">
        <v>5292</v>
      </c>
      <c r="E695" t="s">
        <v>5294</v>
      </c>
      <c r="F695">
        <f>SUMPRODUCT((LEN(E695)-LEN(SUBSTITUTE(E695,"/","")))) + 1</f>
        <v>2</v>
      </c>
    </row>
    <row r="696" spans="1:6" hidden="1">
      <c r="A696" t="s">
        <v>5297</v>
      </c>
      <c r="B696">
        <v>836</v>
      </c>
      <c r="C696" t="s">
        <v>5295</v>
      </c>
      <c r="D696" t="s">
        <v>5296</v>
      </c>
      <c r="E696" t="s">
        <v>116</v>
      </c>
      <c r="F696">
        <f>SUMPRODUCT((LEN(E696)-LEN(SUBSTITUTE(E696,"/","")))) + 1</f>
        <v>1</v>
      </c>
    </row>
    <row r="697" spans="1:6" hidden="1">
      <c r="A697" t="s">
        <v>5300</v>
      </c>
      <c r="B697">
        <v>637</v>
      </c>
      <c r="C697" t="s">
        <v>5298</v>
      </c>
      <c r="D697" t="s">
        <v>5299</v>
      </c>
      <c r="E697" t="s">
        <v>5301</v>
      </c>
      <c r="F697">
        <f>SUMPRODUCT((LEN(E697)-LEN(SUBSTITUTE(E697,"/","")))) + 1</f>
        <v>2</v>
      </c>
    </row>
    <row r="698" spans="1:6" hidden="1">
      <c r="A698" t="s">
        <v>5304</v>
      </c>
      <c r="B698">
        <v>309</v>
      </c>
      <c r="C698" t="s">
        <v>5302</v>
      </c>
      <c r="D698" t="s">
        <v>5303</v>
      </c>
      <c r="E698" t="s">
        <v>198</v>
      </c>
      <c r="F698">
        <f>SUMPRODUCT((LEN(E698)-LEN(SUBSTITUTE(E698,"/","")))) + 1</f>
        <v>1</v>
      </c>
    </row>
    <row r="699" spans="1:6" hidden="1">
      <c r="A699" t="s">
        <v>5307</v>
      </c>
      <c r="B699">
        <v>315</v>
      </c>
      <c r="C699" t="s">
        <v>5305</v>
      </c>
      <c r="D699" t="s">
        <v>5306</v>
      </c>
      <c r="E699" t="s">
        <v>109</v>
      </c>
      <c r="F699">
        <f>SUMPRODUCT((LEN(E699)-LEN(SUBSTITUTE(E699,"/","")))) + 1</f>
        <v>1</v>
      </c>
    </row>
    <row r="700" spans="1:6" hidden="1">
      <c r="A700" t="s">
        <v>5310</v>
      </c>
      <c r="B700">
        <v>641</v>
      </c>
      <c r="C700" t="s">
        <v>5308</v>
      </c>
      <c r="D700" t="s">
        <v>5309</v>
      </c>
      <c r="E700" t="s">
        <v>3270</v>
      </c>
      <c r="F700">
        <f>SUMPRODUCT((LEN(E700)-LEN(SUBSTITUTE(E700,"/","")))) + 1</f>
        <v>2</v>
      </c>
    </row>
    <row r="701" spans="1:6" hidden="1">
      <c r="A701" t="s">
        <v>5313</v>
      </c>
      <c r="B701">
        <v>821</v>
      </c>
      <c r="C701" t="s">
        <v>5311</v>
      </c>
      <c r="D701" t="s">
        <v>5312</v>
      </c>
      <c r="E701" t="s">
        <v>5287</v>
      </c>
      <c r="F701">
        <f>SUMPRODUCT((LEN(E701)-LEN(SUBSTITUTE(E701,"/","")))) + 1</f>
        <v>2</v>
      </c>
    </row>
    <row r="702" spans="1:6" hidden="1">
      <c r="A702" t="s">
        <v>5316</v>
      </c>
      <c r="B702">
        <v>726</v>
      </c>
      <c r="C702" t="s">
        <v>5314</v>
      </c>
      <c r="D702" t="s">
        <v>5315</v>
      </c>
      <c r="E702" t="s">
        <v>5317</v>
      </c>
      <c r="F702">
        <f>SUMPRODUCT((LEN(E702)-LEN(SUBSTITUTE(E702,"/","")))) + 1</f>
        <v>3</v>
      </c>
    </row>
    <row r="703" spans="1:6" hidden="1">
      <c r="A703" t="s">
        <v>5320</v>
      </c>
      <c r="B703">
        <v>646</v>
      </c>
      <c r="C703" t="s">
        <v>5318</v>
      </c>
      <c r="D703" t="s">
        <v>5319</v>
      </c>
      <c r="E703" t="s">
        <v>5321</v>
      </c>
      <c r="F703">
        <f>SUMPRODUCT((LEN(E703)-LEN(SUBSTITUTE(E703,"/","")))) + 1</f>
        <v>2</v>
      </c>
    </row>
    <row r="704" spans="1:6" hidden="1">
      <c r="A704" t="s">
        <v>5324</v>
      </c>
      <c r="B704">
        <v>691</v>
      </c>
      <c r="C704" t="s">
        <v>5322</v>
      </c>
      <c r="D704" t="s">
        <v>5323</v>
      </c>
      <c r="E704" t="s">
        <v>317</v>
      </c>
      <c r="F704">
        <f>SUMPRODUCT((LEN(E704)-LEN(SUBSTITUTE(E704,"/","")))) + 1</f>
        <v>1</v>
      </c>
    </row>
    <row r="705" spans="1:6" hidden="1">
      <c r="A705" t="s">
        <v>5327</v>
      </c>
      <c r="B705">
        <v>636</v>
      </c>
      <c r="C705" t="s">
        <v>5325</v>
      </c>
      <c r="D705" t="s">
        <v>5326</v>
      </c>
      <c r="E705" t="s">
        <v>5328</v>
      </c>
      <c r="F705">
        <f>SUMPRODUCT((LEN(E705)-LEN(SUBSTITUTE(E705,"/","")))) + 1</f>
        <v>2</v>
      </c>
    </row>
    <row r="706" spans="1:6" hidden="1">
      <c r="A706" t="s">
        <v>5331</v>
      </c>
      <c r="B706">
        <v>710</v>
      </c>
      <c r="C706" t="s">
        <v>5329</v>
      </c>
      <c r="D706" t="s">
        <v>5330</v>
      </c>
      <c r="E706" t="s">
        <v>5332</v>
      </c>
      <c r="F706">
        <f>SUMPRODUCT((LEN(E706)-LEN(SUBSTITUTE(E706,"/","")))) + 1</f>
        <v>2</v>
      </c>
    </row>
    <row r="707" spans="1:6" hidden="1">
      <c r="A707" t="s">
        <v>5335</v>
      </c>
      <c r="B707">
        <v>568</v>
      </c>
      <c r="C707" t="s">
        <v>5333</v>
      </c>
      <c r="D707" t="s">
        <v>5334</v>
      </c>
      <c r="E707" t="s">
        <v>5336</v>
      </c>
      <c r="F707">
        <f>SUMPRODUCT((LEN(E707)-LEN(SUBSTITUTE(E707,"/","")))) + 1</f>
        <v>2</v>
      </c>
    </row>
    <row r="708" spans="1:6" hidden="1">
      <c r="A708" t="s">
        <v>5339</v>
      </c>
      <c r="B708">
        <v>711</v>
      </c>
      <c r="C708" t="s">
        <v>5337</v>
      </c>
      <c r="D708" t="s">
        <v>5338</v>
      </c>
      <c r="E708" t="s">
        <v>5340</v>
      </c>
      <c r="F708">
        <f>SUMPRODUCT((LEN(E708)-LEN(SUBSTITUTE(E708,"/","")))) + 1</f>
        <v>2</v>
      </c>
    </row>
    <row r="709" spans="1:6" hidden="1">
      <c r="A709" t="s">
        <v>5343</v>
      </c>
      <c r="B709">
        <v>801</v>
      </c>
      <c r="C709" t="s">
        <v>5341</v>
      </c>
      <c r="D709" t="s">
        <v>5342</v>
      </c>
      <c r="E709" t="s">
        <v>317</v>
      </c>
      <c r="F709">
        <f>SUMPRODUCT((LEN(E709)-LEN(SUBSTITUTE(E709,"/","")))) + 1</f>
        <v>1</v>
      </c>
    </row>
    <row r="710" spans="1:6" hidden="1">
      <c r="A710" t="s">
        <v>5346</v>
      </c>
      <c r="B710">
        <v>890</v>
      </c>
      <c r="C710" t="s">
        <v>5344</v>
      </c>
      <c r="D710" t="s">
        <v>5345</v>
      </c>
      <c r="E710" t="s">
        <v>71</v>
      </c>
      <c r="F710">
        <f>SUMPRODUCT((LEN(E710)-LEN(SUBSTITUTE(E710,"/","")))) + 1</f>
        <v>1</v>
      </c>
    </row>
    <row r="711" spans="1:6" hidden="1">
      <c r="A711" t="s">
        <v>5349</v>
      </c>
      <c r="B711">
        <v>140</v>
      </c>
      <c r="C711" t="s">
        <v>5347</v>
      </c>
      <c r="D711" t="s">
        <v>5348</v>
      </c>
      <c r="E711" t="s">
        <v>72</v>
      </c>
      <c r="F711">
        <f>SUMPRODUCT((LEN(E711)-LEN(SUBSTITUTE(E711,"/","")))) + 1</f>
        <v>1</v>
      </c>
    </row>
    <row r="712" spans="1:6" hidden="1">
      <c r="A712" t="s">
        <v>5352</v>
      </c>
      <c r="B712">
        <v>540</v>
      </c>
      <c r="C712" t="s">
        <v>5350</v>
      </c>
      <c r="D712" t="s">
        <v>5351</v>
      </c>
      <c r="E712" t="s">
        <v>317</v>
      </c>
      <c r="F712">
        <f>SUMPRODUCT((LEN(E712)-LEN(SUBSTITUTE(E712,"/","")))) + 1</f>
        <v>1</v>
      </c>
    </row>
    <row r="713" spans="1:6" hidden="1">
      <c r="A713" t="s">
        <v>5355</v>
      </c>
      <c r="B713">
        <v>716</v>
      </c>
      <c r="C713" t="s">
        <v>5353</v>
      </c>
      <c r="D713" t="s">
        <v>5354</v>
      </c>
      <c r="E713" t="s">
        <v>5356</v>
      </c>
      <c r="F713">
        <f>SUMPRODUCT((LEN(E713)-LEN(SUBSTITUTE(E713,"/","")))) + 1</f>
        <v>2</v>
      </c>
    </row>
    <row r="714" spans="1:6" hidden="1">
      <c r="A714" t="s">
        <v>5359</v>
      </c>
      <c r="B714">
        <v>480</v>
      </c>
      <c r="C714" t="s">
        <v>5357</v>
      </c>
      <c r="D714" t="s">
        <v>5358</v>
      </c>
      <c r="E714" t="s">
        <v>5360</v>
      </c>
      <c r="F714">
        <f>SUMPRODUCT((LEN(E714)-LEN(SUBSTITUTE(E714,"/","")))) + 1</f>
        <v>2</v>
      </c>
    </row>
    <row r="715" spans="1:6" hidden="1">
      <c r="A715" t="s">
        <v>5363</v>
      </c>
      <c r="B715">
        <v>569</v>
      </c>
      <c r="C715" t="s">
        <v>5361</v>
      </c>
      <c r="D715" t="s">
        <v>5362</v>
      </c>
      <c r="E715" t="s">
        <v>5364</v>
      </c>
      <c r="F715">
        <f>SUMPRODUCT((LEN(E715)-LEN(SUBSTITUTE(E715,"/","")))) + 1</f>
        <v>3</v>
      </c>
    </row>
    <row r="716" spans="1:6" hidden="1">
      <c r="A716" t="s">
        <v>5367</v>
      </c>
      <c r="B716">
        <v>713</v>
      </c>
      <c r="C716" t="s">
        <v>5365</v>
      </c>
      <c r="D716" t="s">
        <v>5366</v>
      </c>
      <c r="E716" t="s">
        <v>5368</v>
      </c>
      <c r="F716">
        <f>SUMPRODUCT((LEN(E716)-LEN(SUBSTITUTE(E716,"/","")))) + 1</f>
        <v>3</v>
      </c>
    </row>
    <row r="717" spans="1:6" hidden="1">
      <c r="A717" t="s">
        <v>5371</v>
      </c>
      <c r="B717">
        <v>639</v>
      </c>
      <c r="C717" t="s">
        <v>5369</v>
      </c>
      <c r="D717" t="s">
        <v>5370</v>
      </c>
      <c r="E717" t="s">
        <v>3270</v>
      </c>
      <c r="F717">
        <f>SUMPRODUCT((LEN(E717)-LEN(SUBSTITUTE(E717,"/","")))) + 1</f>
        <v>2</v>
      </c>
    </row>
    <row r="718" spans="1:6" hidden="1">
      <c r="A718" t="s">
        <v>5374</v>
      </c>
      <c r="B718">
        <v>575</v>
      </c>
      <c r="C718" t="s">
        <v>5372</v>
      </c>
      <c r="D718" t="s">
        <v>5373</v>
      </c>
      <c r="E718" t="s">
        <v>5375</v>
      </c>
      <c r="F718">
        <f>SUMPRODUCT((LEN(E718)-LEN(SUBSTITUTE(E718,"/","")))) + 1</f>
        <v>2</v>
      </c>
    </row>
    <row r="719" spans="1:6" hidden="1">
      <c r="A719" t="s">
        <v>5378</v>
      </c>
      <c r="B719">
        <v>640</v>
      </c>
      <c r="C719" t="s">
        <v>5376</v>
      </c>
      <c r="D719" t="s">
        <v>5377</v>
      </c>
      <c r="E719" t="s">
        <v>198</v>
      </c>
      <c r="F719">
        <f>SUMPRODUCT((LEN(E719)-LEN(SUBSTITUTE(E719,"/","")))) + 1</f>
        <v>1</v>
      </c>
    </row>
    <row r="720" spans="1:6" hidden="1">
      <c r="A720" t="s">
        <v>5381</v>
      </c>
      <c r="B720">
        <v>352</v>
      </c>
      <c r="C720" t="s">
        <v>5379</v>
      </c>
      <c r="D720" t="s">
        <v>5380</v>
      </c>
      <c r="E720" t="s">
        <v>3382</v>
      </c>
      <c r="F720">
        <f>SUMPRODUCT((LEN(E720)-LEN(SUBSTITUTE(E720,"/","")))) + 1</f>
        <v>1</v>
      </c>
    </row>
    <row r="721" spans="1:6" hidden="1">
      <c r="A721" t="s">
        <v>5384</v>
      </c>
      <c r="B721">
        <v>804</v>
      </c>
      <c r="C721" t="s">
        <v>5382</v>
      </c>
      <c r="D721" t="s">
        <v>5383</v>
      </c>
      <c r="E721" t="s">
        <v>3241</v>
      </c>
      <c r="F721">
        <f>SUMPRODUCT((LEN(E721)-LEN(SUBSTITUTE(E721,"/","")))) + 1</f>
        <v>1</v>
      </c>
    </row>
    <row r="722" spans="1:6" hidden="1">
      <c r="A722" t="s">
        <v>5387</v>
      </c>
      <c r="B722">
        <v>427</v>
      </c>
      <c r="C722" t="s">
        <v>5385</v>
      </c>
      <c r="D722" t="s">
        <v>5386</v>
      </c>
      <c r="E722" t="s">
        <v>3241</v>
      </c>
      <c r="F722">
        <f>SUMPRODUCT((LEN(E722)-LEN(SUBSTITUTE(E722,"/","")))) + 1</f>
        <v>1</v>
      </c>
    </row>
    <row r="723" spans="1:6" hidden="1">
      <c r="A723" t="s">
        <v>5390</v>
      </c>
      <c r="B723">
        <v>271</v>
      </c>
      <c r="C723" t="s">
        <v>5388</v>
      </c>
      <c r="D723" t="s">
        <v>5389</v>
      </c>
      <c r="E723" t="s">
        <v>3563</v>
      </c>
      <c r="F723">
        <f>SUMPRODUCT((LEN(E723)-LEN(SUBSTITUTE(E723,"/","")))) + 1</f>
        <v>1</v>
      </c>
    </row>
    <row r="724" spans="1:6" hidden="1">
      <c r="A724" t="s">
        <v>5393</v>
      </c>
      <c r="B724">
        <v>573</v>
      </c>
      <c r="C724" t="s">
        <v>5391</v>
      </c>
      <c r="D724" t="s">
        <v>5392</v>
      </c>
      <c r="E724" t="s">
        <v>5394</v>
      </c>
      <c r="F724">
        <f>SUMPRODUCT((LEN(E724)-LEN(SUBSTITUTE(E724,"/","")))) + 1</f>
        <v>3</v>
      </c>
    </row>
    <row r="725" spans="1:6" hidden="1">
      <c r="A725" t="s">
        <v>5397</v>
      </c>
      <c r="B725">
        <v>247</v>
      </c>
      <c r="C725" t="s">
        <v>5395</v>
      </c>
      <c r="D725" t="s">
        <v>5396</v>
      </c>
      <c r="E725" t="s">
        <v>5398</v>
      </c>
      <c r="F725">
        <f>SUMPRODUCT((LEN(E725)-LEN(SUBSTITUTE(E725,"/","")))) + 1</f>
        <v>2</v>
      </c>
    </row>
    <row r="726" spans="1:6" hidden="1">
      <c r="A726" t="s">
        <v>5401</v>
      </c>
      <c r="B726">
        <v>220</v>
      </c>
      <c r="C726" t="s">
        <v>5399</v>
      </c>
      <c r="D726" t="s">
        <v>5400</v>
      </c>
      <c r="E726" t="s">
        <v>76</v>
      </c>
      <c r="F726">
        <f>SUMPRODUCT((LEN(E726)-LEN(SUBSTITUTE(E726,"/","")))) + 1</f>
        <v>1</v>
      </c>
    </row>
    <row r="727" spans="1:6" hidden="1">
      <c r="A727" t="s">
        <v>5404</v>
      </c>
      <c r="B727">
        <v>365</v>
      </c>
      <c r="C727" t="s">
        <v>5402</v>
      </c>
      <c r="D727" t="s">
        <v>5403</v>
      </c>
      <c r="E727" t="s">
        <v>196</v>
      </c>
      <c r="F727">
        <f>SUMPRODUCT((LEN(E727)-LEN(SUBSTITUTE(E727,"/","")))) + 1</f>
        <v>1</v>
      </c>
    </row>
    <row r="728" spans="1:6" hidden="1">
      <c r="A728" t="s">
        <v>5407</v>
      </c>
      <c r="B728">
        <v>213</v>
      </c>
      <c r="C728" t="s">
        <v>5405</v>
      </c>
      <c r="D728" t="s">
        <v>5406</v>
      </c>
      <c r="E728" t="s">
        <v>219</v>
      </c>
      <c r="F728">
        <f>SUMPRODUCT((LEN(E728)-LEN(SUBSTITUTE(E728,"/","")))) + 1</f>
        <v>1</v>
      </c>
    </row>
    <row r="729" spans="1:6" hidden="1">
      <c r="A729" t="s">
        <v>5410</v>
      </c>
      <c r="B729">
        <v>112</v>
      </c>
      <c r="C729" t="s">
        <v>5408</v>
      </c>
      <c r="D729" t="s">
        <v>5409</v>
      </c>
      <c r="E729" t="s">
        <v>109</v>
      </c>
      <c r="F729">
        <f>SUMPRODUCT((LEN(E729)-LEN(SUBSTITUTE(E729,"/","")))) + 1</f>
        <v>1</v>
      </c>
    </row>
    <row r="730" spans="1:6" hidden="1">
      <c r="A730" t="s">
        <v>5413</v>
      </c>
      <c r="B730">
        <v>165</v>
      </c>
      <c r="C730" t="s">
        <v>5411</v>
      </c>
      <c r="D730" t="s">
        <v>5412</v>
      </c>
      <c r="E730" t="s">
        <v>3309</v>
      </c>
      <c r="F730">
        <f>SUMPRODUCT((LEN(E730)-LEN(SUBSTITUTE(E730,"/","")))) + 1</f>
        <v>1</v>
      </c>
    </row>
    <row r="731" spans="1:6" hidden="1">
      <c r="A731" t="s">
        <v>5416</v>
      </c>
      <c r="B731">
        <v>343</v>
      </c>
      <c r="C731" t="s">
        <v>5414</v>
      </c>
      <c r="D731" t="s">
        <v>5415</v>
      </c>
      <c r="E731" t="s">
        <v>76</v>
      </c>
      <c r="F731">
        <f>SUMPRODUCT((LEN(E731)-LEN(SUBSTITUTE(E731,"/","")))) + 1</f>
        <v>1</v>
      </c>
    </row>
    <row r="732" spans="1:6" hidden="1">
      <c r="A732" t="s">
        <v>5419</v>
      </c>
      <c r="B732">
        <v>30</v>
      </c>
      <c r="C732" t="s">
        <v>5417</v>
      </c>
      <c r="D732" t="s">
        <v>5418</v>
      </c>
      <c r="E732" t="s">
        <v>71</v>
      </c>
      <c r="F732">
        <f>SUMPRODUCT((LEN(E732)-LEN(SUBSTITUTE(E732,"/","")))) + 1</f>
        <v>1</v>
      </c>
    </row>
    <row r="733" spans="1:6" hidden="1">
      <c r="A733" t="s">
        <v>5422</v>
      </c>
      <c r="B733">
        <v>843</v>
      </c>
      <c r="C733" t="s">
        <v>5420</v>
      </c>
      <c r="D733" t="s">
        <v>5421</v>
      </c>
      <c r="E733" t="s">
        <v>5423</v>
      </c>
      <c r="F733">
        <f>SUMPRODUCT((LEN(E733)-LEN(SUBSTITUTE(E733,"/","")))) + 1</f>
        <v>2</v>
      </c>
    </row>
    <row r="734" spans="1:6" hidden="1">
      <c r="A734" t="s">
        <v>5426</v>
      </c>
      <c r="B734">
        <v>114</v>
      </c>
      <c r="C734" t="s">
        <v>5424</v>
      </c>
      <c r="D734" t="s">
        <v>5425</v>
      </c>
      <c r="E734" t="s">
        <v>5427</v>
      </c>
      <c r="F734">
        <f>SUMPRODUCT((LEN(E734)-LEN(SUBSTITUTE(E734,"/","")))) + 1</f>
        <v>2</v>
      </c>
    </row>
    <row r="735" spans="1:6" hidden="1">
      <c r="A735" t="s">
        <v>5430</v>
      </c>
      <c r="B735">
        <v>224</v>
      </c>
      <c r="C735" t="s">
        <v>5428</v>
      </c>
      <c r="D735" t="s">
        <v>5429</v>
      </c>
      <c r="E735" t="s">
        <v>110</v>
      </c>
      <c r="F735">
        <f>SUMPRODUCT((LEN(E735)-LEN(SUBSTITUTE(E735,"/","")))) + 1</f>
        <v>1</v>
      </c>
    </row>
    <row r="736" spans="1:6" hidden="1">
      <c r="A736" t="s">
        <v>5433</v>
      </c>
      <c r="B736">
        <v>123</v>
      </c>
      <c r="C736" t="s">
        <v>5431</v>
      </c>
      <c r="D736" t="s">
        <v>5432</v>
      </c>
      <c r="E736" t="s">
        <v>5434</v>
      </c>
      <c r="F736">
        <f>SUMPRODUCT((LEN(E736)-LEN(SUBSTITUTE(E736,"/","")))) + 1</f>
        <v>5</v>
      </c>
    </row>
    <row r="737" spans="1:6" hidden="1">
      <c r="A737" t="s">
        <v>5437</v>
      </c>
      <c r="B737">
        <v>202</v>
      </c>
      <c r="C737" t="s">
        <v>5435</v>
      </c>
      <c r="D737" t="s">
        <v>5436</v>
      </c>
      <c r="E737" t="s">
        <v>5438</v>
      </c>
      <c r="F737">
        <f>SUMPRODUCT((LEN(E737)-LEN(SUBSTITUTE(E737,"/","")))) + 1</f>
        <v>2</v>
      </c>
    </row>
    <row r="738" spans="1:6" hidden="1">
      <c r="A738" t="s">
        <v>5441</v>
      </c>
      <c r="B738">
        <v>323</v>
      </c>
      <c r="C738" t="s">
        <v>5439</v>
      </c>
      <c r="D738" t="s">
        <v>5440</v>
      </c>
      <c r="E738" t="s">
        <v>219</v>
      </c>
      <c r="F738">
        <f>SUMPRODUCT((LEN(E738)-LEN(SUBSTITUTE(E738,"/","")))) + 1</f>
        <v>1</v>
      </c>
    </row>
    <row r="739" spans="1:6" hidden="1">
      <c r="A739" t="s">
        <v>5444</v>
      </c>
      <c r="B739">
        <v>152</v>
      </c>
      <c r="C739" t="s">
        <v>5442</v>
      </c>
      <c r="D739" t="s">
        <v>5443</v>
      </c>
      <c r="E739" t="s">
        <v>3390</v>
      </c>
      <c r="F739">
        <f>SUMPRODUCT((LEN(E739)-LEN(SUBSTITUTE(E739,"/","")))) + 1</f>
        <v>2</v>
      </c>
    </row>
    <row r="740" spans="1:6" hidden="1">
      <c r="A740" t="s">
        <v>5447</v>
      </c>
      <c r="B740">
        <v>883</v>
      </c>
      <c r="C740" t="s">
        <v>5445</v>
      </c>
      <c r="D740" t="s">
        <v>5446</v>
      </c>
      <c r="E740" t="s">
        <v>74</v>
      </c>
      <c r="F740">
        <f>SUMPRODUCT((LEN(E740)-LEN(SUBSTITUTE(E740,"/","")))) + 1</f>
        <v>1</v>
      </c>
    </row>
    <row r="741" spans="1:6" hidden="1">
      <c r="A741" t="s">
        <v>5450</v>
      </c>
      <c r="B741">
        <v>188</v>
      </c>
      <c r="C741" t="s">
        <v>5448</v>
      </c>
      <c r="D741" t="s">
        <v>5449</v>
      </c>
      <c r="E741" t="s">
        <v>1538</v>
      </c>
      <c r="F741">
        <f>SUMPRODUCT((LEN(E741)-LEN(SUBSTITUTE(E741,"/","")))) + 1</f>
        <v>1</v>
      </c>
    </row>
    <row r="742" spans="1:6" hidden="1">
      <c r="A742" t="s">
        <v>5453</v>
      </c>
      <c r="B742">
        <v>442</v>
      </c>
      <c r="C742" t="s">
        <v>5451</v>
      </c>
      <c r="D742" t="s">
        <v>5452</v>
      </c>
      <c r="E742" t="s">
        <v>317</v>
      </c>
      <c r="F742">
        <f>SUMPRODUCT((LEN(E742)-LEN(SUBSTITUTE(E742,"/","")))) + 1</f>
        <v>1</v>
      </c>
    </row>
    <row r="743" spans="1:6" hidden="1">
      <c r="A743" t="s">
        <v>5456</v>
      </c>
      <c r="B743">
        <v>555</v>
      </c>
      <c r="C743" t="s">
        <v>5454</v>
      </c>
      <c r="D743" t="s">
        <v>5455</v>
      </c>
      <c r="E743" t="s">
        <v>521</v>
      </c>
      <c r="F743">
        <f>SUMPRODUCT((LEN(E743)-LEN(SUBSTITUTE(E743,"/","")))) + 1</f>
        <v>1</v>
      </c>
    </row>
    <row r="744" spans="1:6" hidden="1">
      <c r="A744" t="s">
        <v>5459</v>
      </c>
      <c r="B744">
        <v>855</v>
      </c>
      <c r="C744" t="s">
        <v>5457</v>
      </c>
      <c r="D744" t="s">
        <v>5458</v>
      </c>
      <c r="E744" t="s">
        <v>71</v>
      </c>
      <c r="F744">
        <f>SUMPRODUCT((LEN(E744)-LEN(SUBSTITUTE(E744,"/","")))) + 1</f>
        <v>1</v>
      </c>
    </row>
    <row r="745" spans="1:6" hidden="1">
      <c r="A745" t="s">
        <v>5462</v>
      </c>
      <c r="B745">
        <v>614</v>
      </c>
      <c r="C745" t="s">
        <v>5460</v>
      </c>
      <c r="D745" t="s">
        <v>5461</v>
      </c>
      <c r="E745" t="s">
        <v>1525</v>
      </c>
      <c r="F745">
        <f>SUMPRODUCT((LEN(E745)-LEN(SUBSTITUTE(E745,"/","")))) + 1</f>
        <v>1</v>
      </c>
    </row>
    <row r="746" spans="1:6" hidden="1">
      <c r="A746" t="s">
        <v>5465</v>
      </c>
      <c r="B746">
        <v>689</v>
      </c>
      <c r="C746" t="s">
        <v>5463</v>
      </c>
      <c r="D746" t="s">
        <v>5464</v>
      </c>
      <c r="E746" t="s">
        <v>523</v>
      </c>
      <c r="F746">
        <f>SUMPRODUCT((LEN(E746)-LEN(SUBSTITUTE(E746,"/","")))) + 1</f>
        <v>1</v>
      </c>
    </row>
    <row r="747" spans="1:6" hidden="1">
      <c r="A747" t="s">
        <v>5468</v>
      </c>
      <c r="B747">
        <v>357</v>
      </c>
      <c r="C747" t="s">
        <v>5466</v>
      </c>
      <c r="D747" t="s">
        <v>5467</v>
      </c>
      <c r="E747" t="s">
        <v>1541</v>
      </c>
      <c r="F747">
        <f>SUMPRODUCT((LEN(E747)-LEN(SUBSTITUTE(E747,"/","")))) + 1</f>
        <v>1</v>
      </c>
    </row>
    <row r="748" spans="1:6" hidden="1">
      <c r="A748" t="s">
        <v>5471</v>
      </c>
      <c r="B748">
        <v>12</v>
      </c>
      <c r="C748" t="s">
        <v>5469</v>
      </c>
      <c r="D748" t="s">
        <v>5470</v>
      </c>
      <c r="E748" t="s">
        <v>116</v>
      </c>
      <c r="F748">
        <f>SUMPRODUCT((LEN(E748)-LEN(SUBSTITUTE(E748,"/","")))) + 1</f>
        <v>1</v>
      </c>
    </row>
    <row r="749" spans="1:6" hidden="1">
      <c r="A749" t="s">
        <v>5474</v>
      </c>
      <c r="B749">
        <v>474</v>
      </c>
      <c r="C749" t="s">
        <v>5472</v>
      </c>
      <c r="D749" t="s">
        <v>5473</v>
      </c>
      <c r="E749" t="s">
        <v>5475</v>
      </c>
      <c r="F749">
        <f>SUMPRODUCT((LEN(E749)-LEN(SUBSTITUTE(E749,"/","")))) + 1</f>
        <v>2</v>
      </c>
    </row>
    <row r="750" spans="1:6" hidden="1">
      <c r="A750" t="s">
        <v>5478</v>
      </c>
      <c r="B750">
        <v>696</v>
      </c>
      <c r="C750" t="s">
        <v>5476</v>
      </c>
      <c r="D750" t="s">
        <v>5477</v>
      </c>
      <c r="E750" t="s">
        <v>519</v>
      </c>
      <c r="F750">
        <f>SUMPRODUCT((LEN(E750)-LEN(SUBSTITUTE(E750,"/","")))) + 1</f>
        <v>1</v>
      </c>
    </row>
    <row r="751" spans="1:6" hidden="1">
      <c r="A751" t="s">
        <v>5481</v>
      </c>
      <c r="B751">
        <v>405</v>
      </c>
      <c r="C751" t="s">
        <v>5479</v>
      </c>
      <c r="D751" t="s">
        <v>5480</v>
      </c>
      <c r="E751" t="s">
        <v>1541</v>
      </c>
      <c r="F751">
        <f>SUMPRODUCT((LEN(E751)-LEN(SUBSTITUTE(E751,"/","")))) + 1</f>
        <v>1</v>
      </c>
    </row>
    <row r="752" spans="1:6" hidden="1">
      <c r="A752" t="s">
        <v>5484</v>
      </c>
      <c r="B752">
        <v>504</v>
      </c>
      <c r="C752" t="s">
        <v>5482</v>
      </c>
      <c r="D752" t="s">
        <v>5483</v>
      </c>
      <c r="E752" t="s">
        <v>1541</v>
      </c>
      <c r="F752">
        <f>SUMPRODUCT((LEN(E752)-LEN(SUBSTITUTE(E752,"/","")))) + 1</f>
        <v>1</v>
      </c>
    </row>
    <row r="753" spans="1:6" hidden="1">
      <c r="A753" t="s">
        <v>5487</v>
      </c>
      <c r="B753">
        <v>262</v>
      </c>
      <c r="C753" t="s">
        <v>5485</v>
      </c>
      <c r="D753" t="s">
        <v>5486</v>
      </c>
      <c r="E753" t="s">
        <v>3179</v>
      </c>
      <c r="F753">
        <f>SUMPRODUCT((LEN(E753)-LEN(SUBSTITUTE(E753,"/","")))) + 1</f>
        <v>1</v>
      </c>
    </row>
    <row r="754" spans="1:6" hidden="1">
      <c r="A754" t="s">
        <v>5490</v>
      </c>
      <c r="B754">
        <v>922</v>
      </c>
      <c r="C754" t="s">
        <v>5488</v>
      </c>
      <c r="D754" t="s">
        <v>5489</v>
      </c>
      <c r="E754" t="s">
        <v>745</v>
      </c>
      <c r="F754">
        <f>SUMPRODUCT((LEN(E754)-LEN(SUBSTITUTE(E754,"/","")))) + 1</f>
        <v>1</v>
      </c>
    </row>
    <row r="755" spans="1:6" hidden="1">
      <c r="A755" t="s">
        <v>5493</v>
      </c>
      <c r="B755">
        <v>851</v>
      </c>
      <c r="C755" t="s">
        <v>5491</v>
      </c>
      <c r="D755" t="s">
        <v>5492</v>
      </c>
      <c r="E755" t="s">
        <v>71</v>
      </c>
      <c r="F755">
        <f>SUMPRODUCT((LEN(E755)-LEN(SUBSTITUTE(E755,"/","")))) + 1</f>
        <v>1</v>
      </c>
    </row>
    <row r="756" spans="1:6" hidden="1">
      <c r="A756" t="s">
        <v>5496</v>
      </c>
      <c r="B756">
        <v>854</v>
      </c>
      <c r="C756" t="s">
        <v>5494</v>
      </c>
      <c r="D756" t="s">
        <v>5495</v>
      </c>
      <c r="E756" t="s">
        <v>71</v>
      </c>
      <c r="F756">
        <f>SUMPRODUCT((LEN(E756)-LEN(SUBSTITUTE(E756,"/","")))) + 1</f>
        <v>1</v>
      </c>
    </row>
    <row r="757" spans="1:6" hidden="1">
      <c r="A757" t="s">
        <v>5499</v>
      </c>
      <c r="B757">
        <v>864</v>
      </c>
      <c r="C757" t="s">
        <v>5497</v>
      </c>
      <c r="D757" t="s">
        <v>5498</v>
      </c>
      <c r="E757" t="s">
        <v>110</v>
      </c>
      <c r="F757">
        <f>SUMPRODUCT((LEN(E757)-LEN(SUBSTITUTE(E757,"/","")))) + 1</f>
        <v>1</v>
      </c>
    </row>
    <row r="758" spans="1:6" hidden="1">
      <c r="A758" t="s">
        <v>5502</v>
      </c>
      <c r="B758">
        <v>410</v>
      </c>
      <c r="C758" t="s">
        <v>5500</v>
      </c>
      <c r="D758" t="s">
        <v>5501</v>
      </c>
      <c r="E758" t="s">
        <v>1524</v>
      </c>
      <c r="F758">
        <f>SUMPRODUCT((LEN(E758)-LEN(SUBSTITUTE(E758,"/","")))) + 1</f>
        <v>1</v>
      </c>
    </row>
    <row r="759" spans="1:6" hidden="1">
      <c r="A759" t="s">
        <v>5505</v>
      </c>
      <c r="B759">
        <v>827</v>
      </c>
      <c r="C759" t="s">
        <v>5503</v>
      </c>
      <c r="D759" t="s">
        <v>5504</v>
      </c>
      <c r="E759" t="s">
        <v>5506</v>
      </c>
      <c r="F759">
        <f>SUMPRODUCT((LEN(E759)-LEN(SUBSTITUTE(E759,"/","")))) + 1</f>
        <v>2</v>
      </c>
    </row>
    <row r="760" spans="1:6" hidden="1">
      <c r="A760" t="s">
        <v>5509</v>
      </c>
      <c r="B760">
        <v>441</v>
      </c>
      <c r="C760" t="s">
        <v>5507</v>
      </c>
      <c r="D760" t="s">
        <v>5508</v>
      </c>
      <c r="E760" t="s">
        <v>317</v>
      </c>
      <c r="F760">
        <f>SUMPRODUCT((LEN(E760)-LEN(SUBSTITUTE(E760,"/","")))) + 1</f>
        <v>1</v>
      </c>
    </row>
    <row r="761" spans="1:6" hidden="1">
      <c r="A761" t="s">
        <v>5512</v>
      </c>
      <c r="B761">
        <v>32</v>
      </c>
      <c r="C761" t="s">
        <v>5510</v>
      </c>
      <c r="D761" t="s">
        <v>5511</v>
      </c>
      <c r="E761" t="s">
        <v>71</v>
      </c>
      <c r="F761">
        <f>SUMPRODUCT((LEN(E761)-LEN(SUBSTITUTE(E761,"/","")))) + 1</f>
        <v>1</v>
      </c>
    </row>
    <row r="762" spans="1:6" hidden="1">
      <c r="A762" t="s">
        <v>5515</v>
      </c>
      <c r="B762">
        <v>122</v>
      </c>
      <c r="C762" t="s">
        <v>5513</v>
      </c>
      <c r="D762" t="s">
        <v>5514</v>
      </c>
      <c r="E762" t="s">
        <v>71</v>
      </c>
      <c r="F762">
        <f>SUMPRODUCT((LEN(E762)-LEN(SUBSTITUTE(E762,"/","")))) + 1</f>
        <v>1</v>
      </c>
    </row>
    <row r="763" spans="1:6" hidden="1">
      <c r="A763" t="s">
        <v>5518</v>
      </c>
      <c r="B763">
        <v>388</v>
      </c>
      <c r="C763" t="s">
        <v>5516</v>
      </c>
      <c r="D763" t="s">
        <v>5517</v>
      </c>
      <c r="E763" t="s">
        <v>1532</v>
      </c>
      <c r="F763">
        <f>SUMPRODUCT((LEN(E763)-LEN(SUBSTITUTE(E763,"/","")))) + 1</f>
        <v>1</v>
      </c>
    </row>
    <row r="764" spans="1:6" hidden="1">
      <c r="A764" t="s">
        <v>5521</v>
      </c>
      <c r="B764">
        <v>297</v>
      </c>
      <c r="C764" t="s">
        <v>5519</v>
      </c>
      <c r="D764" t="s">
        <v>5520</v>
      </c>
      <c r="E764" t="s">
        <v>5522</v>
      </c>
      <c r="F764">
        <f>SUMPRODUCT((LEN(E764)-LEN(SUBSTITUTE(E764,"/","")))) + 1</f>
        <v>2</v>
      </c>
    </row>
    <row r="765" spans="1:6" hidden="1">
      <c r="A765" t="s">
        <v>5525</v>
      </c>
      <c r="B765">
        <v>469</v>
      </c>
      <c r="C765" t="s">
        <v>5523</v>
      </c>
      <c r="D765" t="s">
        <v>5524</v>
      </c>
      <c r="E765" t="s">
        <v>5526</v>
      </c>
      <c r="F765">
        <f>SUMPRODUCT((LEN(E765)-LEN(SUBSTITUTE(E765,"/","")))) + 1</f>
        <v>3</v>
      </c>
    </row>
    <row r="766" spans="1:6" hidden="1">
      <c r="A766" t="s">
        <v>5529</v>
      </c>
      <c r="B766">
        <v>565</v>
      </c>
      <c r="C766" t="s">
        <v>5527</v>
      </c>
      <c r="D766" t="s">
        <v>5528</v>
      </c>
      <c r="E766" t="s">
        <v>5530</v>
      </c>
      <c r="F766">
        <f>SUMPRODUCT((LEN(E766)-LEN(SUBSTITUTE(E766,"/","")))) + 1</f>
        <v>4</v>
      </c>
    </row>
    <row r="767" spans="1:6" hidden="1">
      <c r="A767" t="s">
        <v>5533</v>
      </c>
      <c r="B767">
        <v>708</v>
      </c>
      <c r="C767" t="s">
        <v>5531</v>
      </c>
      <c r="D767" t="s">
        <v>5532</v>
      </c>
      <c r="E767" t="s">
        <v>5534</v>
      </c>
      <c r="F767">
        <f>SUMPRODUCT((LEN(E767)-LEN(SUBSTITUTE(E767,"/","")))) + 1</f>
        <v>2</v>
      </c>
    </row>
    <row r="768" spans="1:6" hidden="1">
      <c r="A768" t="s">
        <v>5537</v>
      </c>
      <c r="B768">
        <v>869</v>
      </c>
      <c r="C768" t="s">
        <v>5535</v>
      </c>
      <c r="D768" t="s">
        <v>5536</v>
      </c>
      <c r="E768" t="s">
        <v>72</v>
      </c>
      <c r="F768">
        <f>SUMPRODUCT((LEN(E768)-LEN(SUBSTITUTE(E768,"/","")))) + 1</f>
        <v>1</v>
      </c>
    </row>
    <row r="769" spans="1:6" hidden="1">
      <c r="A769" t="s">
        <v>5540</v>
      </c>
      <c r="B769">
        <v>49</v>
      </c>
      <c r="C769" t="s">
        <v>5538</v>
      </c>
      <c r="D769" t="s">
        <v>5539</v>
      </c>
      <c r="E769" t="s">
        <v>5136</v>
      </c>
      <c r="F769">
        <f>SUMPRODUCT((LEN(E769)-LEN(SUBSTITUTE(E769,"/","")))) + 1</f>
        <v>1</v>
      </c>
    </row>
    <row r="770" spans="1:6" hidden="1">
      <c r="A770" t="s">
        <v>5540</v>
      </c>
      <c r="B770">
        <v>914</v>
      </c>
      <c r="C770" t="s">
        <v>5541</v>
      </c>
      <c r="D770" t="s">
        <v>5542</v>
      </c>
      <c r="E770" t="s">
        <v>1538</v>
      </c>
      <c r="F770">
        <f>SUMPRODUCT((LEN(E770)-LEN(SUBSTITUTE(E770,"/","")))) + 1</f>
        <v>1</v>
      </c>
    </row>
    <row r="771" spans="1:6" hidden="1">
      <c r="A771" t="s">
        <v>5545</v>
      </c>
      <c r="B771">
        <v>867</v>
      </c>
      <c r="C771" t="s">
        <v>5543</v>
      </c>
      <c r="D771" t="s">
        <v>5544</v>
      </c>
      <c r="E771" t="s">
        <v>72</v>
      </c>
      <c r="F771">
        <f>SUMPRODUCT((LEN(E771)-LEN(SUBSTITUTE(E771,"/","")))) + 1</f>
        <v>1</v>
      </c>
    </row>
    <row r="772" spans="1:6" hidden="1">
      <c r="A772" t="s">
        <v>5548</v>
      </c>
      <c r="B772">
        <v>225</v>
      </c>
      <c r="C772" t="s">
        <v>5546</v>
      </c>
      <c r="D772" t="s">
        <v>5547</v>
      </c>
      <c r="E772" t="s">
        <v>110</v>
      </c>
      <c r="F772">
        <f>SUMPRODUCT((LEN(E772)-LEN(SUBSTITUTE(E772,"/","")))) + 1</f>
        <v>1</v>
      </c>
    </row>
    <row r="773" spans="1:6" hidden="1">
      <c r="A773" t="s">
        <v>5551</v>
      </c>
      <c r="B773">
        <v>601</v>
      </c>
      <c r="C773" t="s">
        <v>5549</v>
      </c>
      <c r="D773" t="s">
        <v>5550</v>
      </c>
      <c r="E773" t="s">
        <v>3298</v>
      </c>
      <c r="F773">
        <f>SUMPRODUCT((LEN(E773)-LEN(SUBSTITUTE(E773,"/","")))) + 1</f>
        <v>1</v>
      </c>
    </row>
    <row r="774" spans="1:6" hidden="1">
      <c r="A774" t="s">
        <v>5554</v>
      </c>
      <c r="B774">
        <v>20</v>
      </c>
      <c r="C774" t="s">
        <v>5552</v>
      </c>
      <c r="D774" t="s">
        <v>5553</v>
      </c>
      <c r="E774" t="s">
        <v>111</v>
      </c>
      <c r="F774">
        <f>SUMPRODUCT((LEN(E774)-LEN(SUBSTITUTE(E774,"/","")))) + 1</f>
        <v>1</v>
      </c>
    </row>
    <row r="775" spans="1:6" hidden="1">
      <c r="A775" t="s">
        <v>5557</v>
      </c>
      <c r="B775">
        <v>183</v>
      </c>
      <c r="C775" t="s">
        <v>5555</v>
      </c>
      <c r="D775" t="s">
        <v>5556</v>
      </c>
      <c r="E775" t="s">
        <v>1524</v>
      </c>
      <c r="F775">
        <f>SUMPRODUCT((LEN(E775)-LEN(SUBSTITUTE(E775,"/","")))) + 1</f>
        <v>1</v>
      </c>
    </row>
    <row r="776" spans="1:6" hidden="1">
      <c r="A776" t="s">
        <v>5560</v>
      </c>
      <c r="B776">
        <v>512</v>
      </c>
      <c r="C776" t="s">
        <v>5558</v>
      </c>
      <c r="D776" t="s">
        <v>5559</v>
      </c>
      <c r="E776" t="s">
        <v>3298</v>
      </c>
      <c r="F776">
        <f>SUMPRODUCT((LEN(E776)-LEN(SUBSTITUTE(E776,"/","")))) + 1</f>
        <v>1</v>
      </c>
    </row>
    <row r="777" spans="1:6" hidden="1">
      <c r="A777" t="s">
        <v>5563</v>
      </c>
      <c r="B777">
        <v>169</v>
      </c>
      <c r="C777" t="s">
        <v>5561</v>
      </c>
      <c r="D777" t="s">
        <v>5562</v>
      </c>
      <c r="E777" t="s">
        <v>1532</v>
      </c>
      <c r="F777">
        <f>SUMPRODUCT((LEN(E777)-LEN(SUBSTITUTE(E777,"/","")))) + 1</f>
        <v>1</v>
      </c>
    </row>
    <row r="778" spans="1:6" hidden="1">
      <c r="A778" t="s">
        <v>5566</v>
      </c>
      <c r="B778">
        <v>149</v>
      </c>
      <c r="C778" t="s">
        <v>5564</v>
      </c>
      <c r="D778" t="s">
        <v>5565</v>
      </c>
      <c r="E778" t="s">
        <v>196</v>
      </c>
      <c r="F778">
        <f>SUMPRODUCT((LEN(E778)-LEN(SUBSTITUTE(E778,"/","")))) + 1</f>
        <v>1</v>
      </c>
    </row>
    <row r="779" spans="1:6" hidden="1">
      <c r="A779" t="s">
        <v>5569</v>
      </c>
      <c r="B779">
        <v>665</v>
      </c>
      <c r="C779" t="s">
        <v>5567</v>
      </c>
      <c r="D779" t="s">
        <v>5568</v>
      </c>
      <c r="E779" t="s">
        <v>3179</v>
      </c>
      <c r="F779">
        <f>SUMPRODUCT((LEN(E779)-LEN(SUBSTITUTE(E779,"/","")))) + 1</f>
        <v>1</v>
      </c>
    </row>
    <row r="780" spans="1:6" hidden="1">
      <c r="A780" t="s">
        <v>5572</v>
      </c>
      <c r="B780">
        <v>818</v>
      </c>
      <c r="C780" t="s">
        <v>5570</v>
      </c>
      <c r="D780" t="s">
        <v>5571</v>
      </c>
      <c r="E780" t="s">
        <v>5573</v>
      </c>
      <c r="F780">
        <f>SUMPRODUCT((LEN(E780)-LEN(SUBSTITUTE(E780,"/","")))) + 1</f>
        <v>7</v>
      </c>
    </row>
    <row r="781" spans="1:6" hidden="1">
      <c r="A781" t="s">
        <v>5576</v>
      </c>
      <c r="B781">
        <v>805</v>
      </c>
      <c r="C781" t="s">
        <v>5574</v>
      </c>
      <c r="D781" t="s">
        <v>5575</v>
      </c>
      <c r="E781" t="s">
        <v>3241</v>
      </c>
      <c r="F781">
        <f>SUMPRODUCT((LEN(E781)-LEN(SUBSTITUTE(E781,"/","")))) + 1</f>
        <v>1</v>
      </c>
    </row>
    <row r="782" spans="1:6" hidden="1">
      <c r="A782" t="s">
        <v>5579</v>
      </c>
      <c r="B782">
        <v>906</v>
      </c>
      <c r="C782" t="s">
        <v>5577</v>
      </c>
      <c r="D782" t="s">
        <v>5578</v>
      </c>
      <c r="E782" t="s">
        <v>3241</v>
      </c>
      <c r="F782">
        <f>SUMPRODUCT((LEN(E782)-LEN(SUBSTITUTE(E782,"/","")))) + 1</f>
        <v>1</v>
      </c>
    </row>
    <row r="783" spans="1:6" hidden="1">
      <c r="A783" t="s">
        <v>5582</v>
      </c>
      <c r="B783">
        <v>90</v>
      </c>
      <c r="C783" t="s">
        <v>5580</v>
      </c>
      <c r="D783" t="s">
        <v>5581</v>
      </c>
      <c r="E783" t="s">
        <v>3263</v>
      </c>
      <c r="F783">
        <f>SUMPRODUCT((LEN(E783)-LEN(SUBSTITUTE(E783,"/","")))) + 1</f>
        <v>1</v>
      </c>
    </row>
    <row r="784" spans="1:6" hidden="1">
      <c r="A784" t="s">
        <v>5585</v>
      </c>
      <c r="B784">
        <v>1</v>
      </c>
      <c r="C784" t="s">
        <v>5583</v>
      </c>
      <c r="D784" t="s">
        <v>5584</v>
      </c>
      <c r="E784" t="s">
        <v>115</v>
      </c>
      <c r="F784">
        <f>SUMPRODUCT((LEN(E784)-LEN(SUBSTITUTE(E784,"/","")))) + 1</f>
        <v>1</v>
      </c>
    </row>
    <row r="785" spans="1:6" hidden="1">
      <c r="A785" t="s">
        <v>5588</v>
      </c>
      <c r="B785">
        <v>845</v>
      </c>
      <c r="C785" t="s">
        <v>5586</v>
      </c>
      <c r="D785" t="s">
        <v>5587</v>
      </c>
      <c r="E785" t="s">
        <v>219</v>
      </c>
      <c r="F785">
        <f>SUMPRODUCT((LEN(E785)-LEN(SUBSTITUTE(E785,"/","")))) + 1</f>
        <v>1</v>
      </c>
    </row>
    <row r="786" spans="1:6" hidden="1">
      <c r="A786" t="s">
        <v>5591</v>
      </c>
      <c r="B786">
        <v>71</v>
      </c>
      <c r="C786" t="s">
        <v>5589</v>
      </c>
      <c r="D786" t="s">
        <v>5590</v>
      </c>
      <c r="E786" t="s">
        <v>1532</v>
      </c>
      <c r="F786">
        <f>SUMPRODUCT((LEN(E786)-LEN(SUBSTITUTE(E786,"/","")))) + 1</f>
        <v>1</v>
      </c>
    </row>
    <row r="787" spans="1:6" hidden="1">
      <c r="A787" t="s">
        <v>5594</v>
      </c>
      <c r="B787">
        <v>837</v>
      </c>
      <c r="C787" t="s">
        <v>5592</v>
      </c>
      <c r="D787" t="s">
        <v>5593</v>
      </c>
      <c r="E787" t="s">
        <v>109</v>
      </c>
      <c r="F787">
        <f>SUMPRODUCT((LEN(E787)-LEN(SUBSTITUTE(E787,"/","")))) + 1</f>
        <v>1</v>
      </c>
    </row>
    <row r="788" spans="1:6" hidden="1">
      <c r="A788" t="s">
        <v>5597</v>
      </c>
      <c r="B788">
        <v>760</v>
      </c>
      <c r="C788" t="s">
        <v>5595</v>
      </c>
      <c r="D788" t="s">
        <v>5596</v>
      </c>
      <c r="E788" t="s">
        <v>1524</v>
      </c>
      <c r="F788">
        <f>SUMPRODUCT((LEN(E788)-LEN(SUBSTITUTE(E788,"/","")))) + 1</f>
        <v>1</v>
      </c>
    </row>
    <row r="789" spans="1:6" hidden="1">
      <c r="A789" t="s">
        <v>5600</v>
      </c>
      <c r="B789">
        <v>819</v>
      </c>
      <c r="C789" t="s">
        <v>5598</v>
      </c>
      <c r="D789" t="s">
        <v>5599</v>
      </c>
      <c r="E789" t="s">
        <v>5601</v>
      </c>
      <c r="F789">
        <f>SUMPRODUCT((LEN(E789)-LEN(SUBSTITUTE(E789,"/","")))) + 1</f>
        <v>3</v>
      </c>
    </row>
    <row r="790" spans="1:6" hidden="1">
      <c r="A790" t="s">
        <v>5604</v>
      </c>
      <c r="B790">
        <v>285</v>
      </c>
      <c r="C790" t="s">
        <v>5602</v>
      </c>
      <c r="D790" t="s">
        <v>5603</v>
      </c>
      <c r="E790" t="s">
        <v>1532</v>
      </c>
      <c r="F790">
        <f>SUMPRODUCT((LEN(E790)-LEN(SUBSTITUTE(E790,"/","")))) + 1</f>
        <v>1</v>
      </c>
    </row>
    <row r="791" spans="1:6" hidden="1">
      <c r="A791" t="s">
        <v>5607</v>
      </c>
      <c r="B791">
        <v>83</v>
      </c>
      <c r="C791" t="s">
        <v>5605</v>
      </c>
      <c r="D791" t="s">
        <v>5606</v>
      </c>
      <c r="E791" t="s">
        <v>3298</v>
      </c>
      <c r="F791">
        <f>SUMPRODUCT((LEN(E791)-LEN(SUBSTITUTE(E791,"/","")))) + 1</f>
        <v>1</v>
      </c>
    </row>
    <row r="792" spans="1:6" hidden="1">
      <c r="A792" t="s">
        <v>5610</v>
      </c>
      <c r="B792">
        <v>592</v>
      </c>
      <c r="C792" t="s">
        <v>5608</v>
      </c>
      <c r="D792" t="s">
        <v>5609</v>
      </c>
      <c r="E792" t="s">
        <v>1532</v>
      </c>
      <c r="F792">
        <f>SUMPRODUCT((LEN(E792)-LEN(SUBSTITUTE(E792,"/","")))) + 1</f>
        <v>1</v>
      </c>
    </row>
    <row r="793" spans="1:6" hidden="1">
      <c r="A793" t="s">
        <v>5613</v>
      </c>
      <c r="B793">
        <v>825</v>
      </c>
      <c r="C793" t="s">
        <v>5611</v>
      </c>
      <c r="D793" t="s">
        <v>5612</v>
      </c>
      <c r="E793" t="s">
        <v>3535</v>
      </c>
      <c r="F793">
        <f>SUMPRODUCT((LEN(E793)-LEN(SUBSTITUTE(E793,"/","")))) + 1</f>
        <v>2</v>
      </c>
    </row>
    <row r="794" spans="1:6" hidden="1">
      <c r="A794" t="s">
        <v>5616</v>
      </c>
      <c r="B794">
        <v>580</v>
      </c>
      <c r="C794" t="s">
        <v>5614</v>
      </c>
      <c r="D794" t="s">
        <v>5615</v>
      </c>
      <c r="E794" t="s">
        <v>3535</v>
      </c>
      <c r="F794">
        <f>SUMPRODUCT((LEN(E794)-LEN(SUBSTITUTE(E794,"/","")))) + 1</f>
        <v>2</v>
      </c>
    </row>
    <row r="795" spans="1:6" hidden="1">
      <c r="A795" t="s">
        <v>5619</v>
      </c>
      <c r="B795">
        <v>723</v>
      </c>
      <c r="C795" t="s">
        <v>5617</v>
      </c>
      <c r="D795" t="s">
        <v>5618</v>
      </c>
      <c r="E795" t="s">
        <v>3172</v>
      </c>
      <c r="F795">
        <f>SUMPRODUCT((LEN(E795)-LEN(SUBSTITUTE(E795,"/","")))) + 1</f>
        <v>1</v>
      </c>
    </row>
    <row r="796" spans="1:6" hidden="1">
      <c r="A796" t="s">
        <v>5622</v>
      </c>
      <c r="B796">
        <v>497</v>
      </c>
      <c r="C796" t="s">
        <v>5620</v>
      </c>
      <c r="D796" t="s">
        <v>5621</v>
      </c>
      <c r="E796" t="s">
        <v>115</v>
      </c>
      <c r="F796">
        <f>SUMPRODUCT((LEN(E796)-LEN(SUBSTITUTE(E796,"/","")))) + 1</f>
        <v>1</v>
      </c>
    </row>
    <row r="797" spans="1:6" hidden="1">
      <c r="A797" t="s">
        <v>5625</v>
      </c>
      <c r="B797">
        <v>337</v>
      </c>
      <c r="C797" t="s">
        <v>5623</v>
      </c>
      <c r="D797" t="s">
        <v>5624</v>
      </c>
      <c r="E797" t="s">
        <v>71</v>
      </c>
      <c r="F797">
        <f>SUMPRODUCT((LEN(E797)-LEN(SUBSTITUTE(E797,"/","")))) + 1</f>
        <v>1</v>
      </c>
    </row>
    <row r="798" spans="1:6" hidden="1">
      <c r="A798" t="s">
        <v>5628</v>
      </c>
      <c r="B798">
        <v>421</v>
      </c>
      <c r="C798" t="s">
        <v>5626</v>
      </c>
      <c r="D798" t="s">
        <v>5627</v>
      </c>
      <c r="E798" t="s">
        <v>3179</v>
      </c>
      <c r="F798">
        <f>SUMPRODUCT((LEN(E798)-LEN(SUBSTITUTE(E798,"/","")))) + 1</f>
        <v>1</v>
      </c>
    </row>
    <row r="799" spans="1:6" hidden="1">
      <c r="A799" t="s">
        <v>5631</v>
      </c>
      <c r="B799">
        <v>210</v>
      </c>
      <c r="C799" t="s">
        <v>5629</v>
      </c>
      <c r="D799" t="s">
        <v>5630</v>
      </c>
      <c r="E799" t="s">
        <v>111</v>
      </c>
      <c r="F799">
        <f>SUMPRODUCT((LEN(E799)-LEN(SUBSTITUTE(E799,"/","")))) + 1</f>
        <v>1</v>
      </c>
    </row>
    <row r="800" spans="1:6" hidden="1">
      <c r="A800" t="s">
        <v>5634</v>
      </c>
      <c r="B800">
        <v>468</v>
      </c>
      <c r="C800" t="s">
        <v>5632</v>
      </c>
      <c r="D800" t="s">
        <v>5633</v>
      </c>
      <c r="E800" t="s">
        <v>5526</v>
      </c>
      <c r="F800">
        <f>SUMPRODUCT((LEN(E800)-LEN(SUBSTITUTE(E800,"/","")))) + 1</f>
        <v>3</v>
      </c>
    </row>
    <row r="801" spans="1:6" hidden="1">
      <c r="A801" t="s">
        <v>5637</v>
      </c>
      <c r="B801">
        <v>897</v>
      </c>
      <c r="C801" t="s">
        <v>5635</v>
      </c>
      <c r="D801" t="s">
        <v>5636</v>
      </c>
      <c r="E801" t="s">
        <v>1525</v>
      </c>
      <c r="F801">
        <f>SUMPRODUCT((LEN(E801)-LEN(SUBSTITUTE(E801,"/","")))) + 1</f>
        <v>1</v>
      </c>
    </row>
    <row r="802" spans="1:6" hidden="1">
      <c r="A802" t="s">
        <v>5640</v>
      </c>
      <c r="B802">
        <v>154</v>
      </c>
      <c r="C802" t="s">
        <v>5638</v>
      </c>
      <c r="D802" t="s">
        <v>5639</v>
      </c>
      <c r="E802" t="s">
        <v>220</v>
      </c>
      <c r="F802">
        <f>SUMPRODUCT((LEN(E802)-LEN(SUBSTITUTE(E802,"/","")))) + 1</f>
        <v>1</v>
      </c>
    </row>
    <row r="803" spans="1:6" hidden="1">
      <c r="A803" t="s">
        <v>5643</v>
      </c>
      <c r="B803">
        <v>116</v>
      </c>
      <c r="C803" t="s">
        <v>5641</v>
      </c>
      <c r="D803" t="s">
        <v>5642</v>
      </c>
      <c r="E803" t="s">
        <v>111</v>
      </c>
      <c r="F803">
        <f>SUMPRODUCT((LEN(E803)-LEN(SUBSTITUTE(E803,"/","")))) + 1</f>
        <v>1</v>
      </c>
    </row>
    <row r="804" spans="1:6" hidden="1">
      <c r="A804" t="s">
        <v>5646</v>
      </c>
      <c r="B804">
        <v>510</v>
      </c>
      <c r="C804" t="s">
        <v>5644</v>
      </c>
      <c r="D804" t="s">
        <v>5645</v>
      </c>
      <c r="E804" t="s">
        <v>3563</v>
      </c>
      <c r="F804">
        <f>SUMPRODUCT((LEN(E804)-LEN(SUBSTITUTE(E804,"/","")))) + 1</f>
        <v>1</v>
      </c>
    </row>
    <row r="805" spans="1:6" hidden="1">
      <c r="A805" t="s">
        <v>5649</v>
      </c>
      <c r="B805">
        <v>284</v>
      </c>
      <c r="C805" t="s">
        <v>5647</v>
      </c>
      <c r="D805" t="s">
        <v>5648</v>
      </c>
      <c r="E805" t="s">
        <v>1532</v>
      </c>
      <c r="F805">
        <f>SUMPRODUCT((LEN(E805)-LEN(SUBSTITUTE(E805,"/","")))) + 1</f>
        <v>1</v>
      </c>
    </row>
    <row r="806" spans="1:6" hidden="1">
      <c r="A806" t="s">
        <v>5652</v>
      </c>
      <c r="B806">
        <v>905</v>
      </c>
      <c r="C806" t="s">
        <v>5650</v>
      </c>
      <c r="D806" t="s">
        <v>5651</v>
      </c>
      <c r="E806" t="s">
        <v>3172</v>
      </c>
      <c r="F806">
        <f>SUMPRODUCT((LEN(E806)-LEN(SUBSTITUTE(E806,"/","")))) + 1</f>
        <v>1</v>
      </c>
    </row>
    <row r="807" spans="1:6" hidden="1">
      <c r="A807" t="s">
        <v>5655</v>
      </c>
      <c r="B807">
        <v>428</v>
      </c>
      <c r="C807" t="s">
        <v>5653</v>
      </c>
      <c r="D807" t="s">
        <v>5654</v>
      </c>
      <c r="E807" t="s">
        <v>3172</v>
      </c>
      <c r="F807">
        <f>SUMPRODUCT((LEN(E807)-LEN(SUBSTITUTE(E807,"/","")))) + 1</f>
        <v>1</v>
      </c>
    </row>
    <row r="808" spans="1:6" hidden="1">
      <c r="A808" t="s">
        <v>5658</v>
      </c>
      <c r="B808">
        <v>609</v>
      </c>
      <c r="C808" t="s">
        <v>5656</v>
      </c>
      <c r="D808" t="s">
        <v>5657</v>
      </c>
      <c r="E808" t="s">
        <v>3241</v>
      </c>
      <c r="F808">
        <f>SUMPRODUCT((LEN(E808)-LEN(SUBSTITUTE(E808,"/","")))) + 1</f>
        <v>1</v>
      </c>
    </row>
    <row r="809" spans="1:6" hidden="1">
      <c r="A809" t="s">
        <v>5661</v>
      </c>
      <c r="B809">
        <v>576</v>
      </c>
      <c r="C809" t="s">
        <v>5659</v>
      </c>
      <c r="D809" t="s">
        <v>5660</v>
      </c>
      <c r="E809" t="s">
        <v>3129</v>
      </c>
      <c r="F809">
        <f>SUMPRODUCT((LEN(E809)-LEN(SUBSTITUTE(E809,"/","")))) + 1</f>
        <v>2</v>
      </c>
    </row>
    <row r="810" spans="1:6" hidden="1">
      <c r="A810" t="s">
        <v>5664</v>
      </c>
      <c r="B810">
        <v>740</v>
      </c>
      <c r="C810" t="s">
        <v>5662</v>
      </c>
      <c r="D810" t="s">
        <v>5663</v>
      </c>
      <c r="E810" t="s">
        <v>1538</v>
      </c>
      <c r="F810">
        <f>SUMPRODUCT((LEN(E810)-LEN(SUBSTITUTE(E810,"/","")))) + 1</f>
        <v>1</v>
      </c>
    </row>
    <row r="811" spans="1:6" hidden="1">
      <c r="A811" t="s">
        <v>5667</v>
      </c>
      <c r="B811">
        <v>283</v>
      </c>
      <c r="C811" t="s">
        <v>5665</v>
      </c>
      <c r="D811" t="s">
        <v>5666</v>
      </c>
      <c r="E811" t="s">
        <v>1532</v>
      </c>
      <c r="F811">
        <f>SUMPRODUCT((LEN(E811)-LEN(SUBSTITUTE(E811,"/","")))) + 1</f>
        <v>1</v>
      </c>
    </row>
    <row r="812" spans="1:6" hidden="1">
      <c r="A812" t="s">
        <v>5670</v>
      </c>
      <c r="B812">
        <v>678</v>
      </c>
      <c r="C812" t="s">
        <v>5668</v>
      </c>
      <c r="D812" t="s">
        <v>5669</v>
      </c>
      <c r="E812" t="s">
        <v>1525</v>
      </c>
      <c r="F812">
        <f>SUMPRODUCT((LEN(E812)-LEN(SUBSTITUTE(E812,"/","")))) + 1</f>
        <v>1</v>
      </c>
    </row>
    <row r="813" spans="1:6" hidden="1">
      <c r="A813" t="s">
        <v>5673</v>
      </c>
      <c r="B813">
        <v>128</v>
      </c>
      <c r="C813" t="s">
        <v>5671</v>
      </c>
      <c r="D813" t="s">
        <v>5672</v>
      </c>
      <c r="E813" t="s">
        <v>195</v>
      </c>
      <c r="F813">
        <f>SUMPRODUCT((LEN(E813)-LEN(SUBSTITUTE(E813,"/","")))) + 1</f>
        <v>1</v>
      </c>
    </row>
    <row r="814" spans="1:6" hidden="1">
      <c r="A814" t="s">
        <v>5676</v>
      </c>
      <c r="B814">
        <v>663</v>
      </c>
      <c r="C814" t="s">
        <v>5674</v>
      </c>
      <c r="D814" t="s">
        <v>5675</v>
      </c>
      <c r="E814" t="s">
        <v>3179</v>
      </c>
      <c r="F814">
        <f>SUMPRODUCT((LEN(E814)-LEN(SUBSTITUTE(E814,"/","")))) + 1</f>
        <v>1</v>
      </c>
    </row>
    <row r="815" spans="1:6" hidden="1">
      <c r="A815" t="s">
        <v>5679</v>
      </c>
      <c r="B815">
        <v>207</v>
      </c>
      <c r="C815" t="s">
        <v>5677</v>
      </c>
      <c r="D815" t="s">
        <v>5678</v>
      </c>
      <c r="E815" t="s">
        <v>109</v>
      </c>
      <c r="F815">
        <f>SUMPRODUCT((LEN(E815)-LEN(SUBSTITUTE(E815,"/","")))) + 1</f>
        <v>1</v>
      </c>
    </row>
    <row r="816" spans="1:6" hidden="1">
      <c r="A816" t="s">
        <v>5682</v>
      </c>
      <c r="B816">
        <v>389</v>
      </c>
      <c r="C816" t="s">
        <v>5680</v>
      </c>
      <c r="D816" t="s">
        <v>5681</v>
      </c>
      <c r="E816" t="s">
        <v>1532</v>
      </c>
      <c r="F816">
        <f>SUMPRODUCT((LEN(E816)-LEN(SUBSTITUTE(E816,"/","")))) + 1</f>
        <v>1</v>
      </c>
    </row>
    <row r="817" spans="1:6" hidden="1">
      <c r="A817" t="s">
        <v>5685</v>
      </c>
      <c r="B817">
        <v>785</v>
      </c>
      <c r="C817" t="s">
        <v>5683</v>
      </c>
      <c r="D817" t="s">
        <v>5684</v>
      </c>
      <c r="E817" t="s">
        <v>3241</v>
      </c>
      <c r="F817">
        <f>SUMPRODUCT((LEN(E817)-LEN(SUBSTITUTE(E817,"/","")))) + 1</f>
        <v>1</v>
      </c>
    </row>
    <row r="818" spans="1:6" hidden="1">
      <c r="A818" t="s">
        <v>5688</v>
      </c>
      <c r="B818">
        <v>559</v>
      </c>
      <c r="C818" t="s">
        <v>5686</v>
      </c>
      <c r="D818" t="s">
        <v>5687</v>
      </c>
      <c r="E818" t="s">
        <v>143</v>
      </c>
      <c r="F818">
        <f>SUMPRODUCT((LEN(E818)-LEN(SUBSTITUTE(E818,"/","")))) + 1</f>
        <v>1</v>
      </c>
    </row>
    <row r="819" spans="1:6" hidden="1">
      <c r="A819" t="s">
        <v>5691</v>
      </c>
      <c r="B819">
        <v>773</v>
      </c>
      <c r="C819" t="s">
        <v>5689</v>
      </c>
      <c r="D819" t="s">
        <v>5690</v>
      </c>
      <c r="E819" t="s">
        <v>1525</v>
      </c>
      <c r="F819">
        <f>SUMPRODUCT((LEN(E819)-LEN(SUBSTITUTE(E819,"/","")))) + 1</f>
        <v>1</v>
      </c>
    </row>
    <row r="820" spans="1:6" hidden="1">
      <c r="A820" t="s">
        <v>5694</v>
      </c>
      <c r="B820">
        <v>649</v>
      </c>
      <c r="C820" t="s">
        <v>5692</v>
      </c>
      <c r="D820" t="s">
        <v>5693</v>
      </c>
      <c r="E820" t="s">
        <v>1525</v>
      </c>
      <c r="F820">
        <f>SUMPRODUCT((LEN(E820)-LEN(SUBSTITUTE(E820,"/","")))) + 1</f>
        <v>1</v>
      </c>
    </row>
    <row r="821" spans="1:6" hidden="1">
      <c r="A821" t="s">
        <v>5697</v>
      </c>
      <c r="B821">
        <v>677</v>
      </c>
      <c r="C821" t="s">
        <v>5695</v>
      </c>
      <c r="D821" t="s">
        <v>5696</v>
      </c>
      <c r="E821" t="s">
        <v>3309</v>
      </c>
      <c r="F821">
        <f>SUMPRODUCT((LEN(E821)-LEN(SUBSTITUTE(E821,"/","")))) + 1</f>
        <v>1</v>
      </c>
    </row>
    <row r="822" spans="1:6" hidden="1">
      <c r="A822" t="s">
        <v>5700</v>
      </c>
      <c r="B822">
        <v>130</v>
      </c>
      <c r="C822" t="s">
        <v>5698</v>
      </c>
      <c r="D822" t="s">
        <v>5699</v>
      </c>
      <c r="E822" t="s">
        <v>5701</v>
      </c>
      <c r="F822">
        <f>SUMPRODUCT((LEN(E822)-LEN(SUBSTITUTE(E822,"/","")))) + 1</f>
        <v>2</v>
      </c>
    </row>
    <row r="823" spans="1:6" hidden="1">
      <c r="A823" t="s">
        <v>5704</v>
      </c>
      <c r="B823">
        <v>367</v>
      </c>
      <c r="C823" t="s">
        <v>5702</v>
      </c>
      <c r="D823" t="s">
        <v>5703</v>
      </c>
      <c r="E823" t="s">
        <v>196</v>
      </c>
      <c r="F823">
        <f>SUMPRODUCT((LEN(E823)-LEN(SUBSTITUTE(E823,"/","")))) + 1</f>
        <v>1</v>
      </c>
    </row>
    <row r="824" spans="1:6" hidden="1">
      <c r="A824" t="s">
        <v>5707</v>
      </c>
      <c r="B824">
        <v>198</v>
      </c>
      <c r="C824" t="s">
        <v>5705</v>
      </c>
      <c r="D824" t="s">
        <v>5706</v>
      </c>
      <c r="E824" t="s">
        <v>3298</v>
      </c>
      <c r="F824">
        <f>SUMPRODUCT((LEN(E824)-LEN(SUBSTITUTE(E824,"/","")))) + 1</f>
        <v>1</v>
      </c>
    </row>
    <row r="825" spans="1:6" hidden="1">
      <c r="A825" t="s">
        <v>5710</v>
      </c>
      <c r="B825">
        <v>317</v>
      </c>
      <c r="C825" t="s">
        <v>5708</v>
      </c>
      <c r="D825" t="s">
        <v>5709</v>
      </c>
      <c r="E825" t="s">
        <v>111</v>
      </c>
      <c r="F825">
        <f>SUMPRODUCT((LEN(E825)-LEN(SUBSTITUTE(E825,"/","")))) + 1</f>
        <v>1</v>
      </c>
    </row>
    <row r="826" spans="1:6" hidden="1">
      <c r="A826" t="s">
        <v>5713</v>
      </c>
      <c r="B826">
        <v>304</v>
      </c>
      <c r="C826" t="s">
        <v>5711</v>
      </c>
      <c r="D826" t="s">
        <v>5712</v>
      </c>
      <c r="E826" t="s">
        <v>213</v>
      </c>
      <c r="F826">
        <f>SUMPRODUCT((LEN(E826)-LEN(SUBSTITUTE(E826,"/","")))) + 1</f>
        <v>1</v>
      </c>
    </row>
    <row r="827" spans="1:6" hidden="1">
      <c r="A827" t="s">
        <v>5716</v>
      </c>
      <c r="B827">
        <v>814</v>
      </c>
      <c r="C827" t="s">
        <v>5714</v>
      </c>
      <c r="D827" t="s">
        <v>5715</v>
      </c>
      <c r="E827" t="s">
        <v>521</v>
      </c>
      <c r="F827">
        <f>SUMPRODUCT((LEN(E827)-LEN(SUBSTITUTE(E827,"/","")))) + 1</f>
        <v>1</v>
      </c>
    </row>
    <row r="828" spans="1:6" hidden="1">
      <c r="A828" t="s">
        <v>5719</v>
      </c>
      <c r="B828">
        <v>865</v>
      </c>
      <c r="C828" t="s">
        <v>5717</v>
      </c>
      <c r="D828" t="s">
        <v>5718</v>
      </c>
      <c r="E828" t="s">
        <v>110</v>
      </c>
      <c r="F828">
        <f>SUMPRODUCT((LEN(E828)-LEN(SUBSTITUTE(E828,"/","")))) + 1</f>
        <v>1</v>
      </c>
    </row>
    <row r="829" spans="1:6" hidden="1">
      <c r="A829" t="s">
        <v>5722</v>
      </c>
      <c r="B829">
        <v>729</v>
      </c>
      <c r="C829" t="s">
        <v>5720</v>
      </c>
      <c r="D829" t="s">
        <v>5721</v>
      </c>
      <c r="E829" t="s">
        <v>3263</v>
      </c>
      <c r="F829">
        <f>SUMPRODUCT((LEN(E829)-LEN(SUBSTITUTE(E829,"/","")))) + 1</f>
        <v>1</v>
      </c>
    </row>
    <row r="830" spans="1:6" hidden="1">
      <c r="A830" t="s">
        <v>5725</v>
      </c>
      <c r="B830">
        <v>11</v>
      </c>
      <c r="C830" t="s">
        <v>5723</v>
      </c>
      <c r="D830" t="s">
        <v>5724</v>
      </c>
      <c r="E830" t="s">
        <v>198</v>
      </c>
      <c r="F830">
        <f>SUMPRODUCT((LEN(E830)-LEN(SUBSTITUTE(E830,"/","")))) + 1</f>
        <v>1</v>
      </c>
    </row>
    <row r="831" spans="1:6" hidden="1">
      <c r="A831" t="s">
        <v>5728</v>
      </c>
      <c r="B831">
        <v>594</v>
      </c>
      <c r="C831" t="s">
        <v>5726</v>
      </c>
      <c r="D831" t="s">
        <v>5727</v>
      </c>
      <c r="E831" t="s">
        <v>1538</v>
      </c>
      <c r="F831">
        <f>SUMPRODUCT((LEN(E831)-LEN(SUBSTITUTE(E831,"/","")))) + 1</f>
        <v>1</v>
      </c>
    </row>
    <row r="832" spans="1:6" hidden="1">
      <c r="A832" t="s">
        <v>5731</v>
      </c>
      <c r="B832">
        <v>471</v>
      </c>
      <c r="C832" t="s">
        <v>5729</v>
      </c>
      <c r="D832" t="s">
        <v>5730</v>
      </c>
      <c r="E832" t="s">
        <v>213</v>
      </c>
      <c r="F832">
        <f>SUMPRODUCT((LEN(E832)-LEN(SUBSTITUTE(E832,"/","")))) + 1</f>
        <v>1</v>
      </c>
    </row>
    <row r="833" spans="1:6" hidden="1">
      <c r="A833" t="s">
        <v>5734</v>
      </c>
      <c r="B833">
        <v>117</v>
      </c>
      <c r="C833" t="s">
        <v>5732</v>
      </c>
      <c r="D833" t="s">
        <v>5733</v>
      </c>
      <c r="E833" t="s">
        <v>5735</v>
      </c>
      <c r="F833">
        <f>SUMPRODUCT((LEN(E833)-LEN(SUBSTITUTE(E833,"/","")))) + 1</f>
        <v>3</v>
      </c>
    </row>
    <row r="834" spans="1:6" hidden="1">
      <c r="A834" t="s">
        <v>5738</v>
      </c>
      <c r="B834">
        <v>24</v>
      </c>
      <c r="C834" t="s">
        <v>5736</v>
      </c>
      <c r="D834" t="s">
        <v>5737</v>
      </c>
      <c r="E834" t="s">
        <v>5107</v>
      </c>
      <c r="F834">
        <f>SUMPRODUCT((LEN(E834)-LEN(SUBSTITUTE(E834,"/","")))) + 1</f>
        <v>1</v>
      </c>
    </row>
    <row r="835" spans="1:6" hidden="1">
      <c r="A835" t="s">
        <v>5741</v>
      </c>
      <c r="B835">
        <v>338</v>
      </c>
      <c r="C835" t="s">
        <v>5739</v>
      </c>
      <c r="D835" t="s">
        <v>5740</v>
      </c>
      <c r="E835" t="s">
        <v>5742</v>
      </c>
      <c r="F835">
        <f>SUMPRODUCT((LEN(E835)-LEN(SUBSTITUTE(E835,"/","")))) + 1</f>
        <v>3</v>
      </c>
    </row>
    <row r="836" spans="1:6" hidden="1">
      <c r="A836" t="s">
        <v>5745</v>
      </c>
      <c r="B836">
        <v>415</v>
      </c>
      <c r="C836" t="s">
        <v>5743</v>
      </c>
      <c r="D836" t="s">
        <v>5744</v>
      </c>
      <c r="E836" t="s">
        <v>1524</v>
      </c>
      <c r="F836">
        <f>SUMPRODUCT((LEN(E836)-LEN(SUBSTITUTE(E836,"/","")))) + 1</f>
        <v>1</v>
      </c>
    </row>
    <row r="837" spans="1:6" hidden="1">
      <c r="A837" t="s">
        <v>5748</v>
      </c>
      <c r="B837">
        <v>884</v>
      </c>
      <c r="C837" t="s">
        <v>5746</v>
      </c>
      <c r="D837" t="s">
        <v>5747</v>
      </c>
      <c r="E837" t="s">
        <v>74</v>
      </c>
      <c r="F837">
        <f>SUMPRODUCT((LEN(E837)-LEN(SUBSTITUTE(E837,"/","")))) + 1</f>
        <v>1</v>
      </c>
    </row>
    <row r="838" spans="1:6" hidden="1">
      <c r="A838" t="s">
        <v>5751</v>
      </c>
      <c r="B838">
        <v>572</v>
      </c>
      <c r="C838" t="s">
        <v>5749</v>
      </c>
      <c r="D838" t="s">
        <v>5750</v>
      </c>
      <c r="E838" t="s">
        <v>661</v>
      </c>
      <c r="F838">
        <f>SUMPRODUCT((LEN(E838)-LEN(SUBSTITUTE(E838,"/","")))) + 1</f>
        <v>1</v>
      </c>
    </row>
    <row r="839" spans="1:6" hidden="1">
      <c r="A839" t="s">
        <v>5754</v>
      </c>
      <c r="B839">
        <v>508</v>
      </c>
      <c r="C839" t="s">
        <v>5752</v>
      </c>
      <c r="D839" t="s">
        <v>5753</v>
      </c>
      <c r="E839" t="s">
        <v>5522</v>
      </c>
      <c r="F839">
        <f>SUMPRODUCT((LEN(E839)-LEN(SUBSTITUTE(E839,"/","")))) + 1</f>
        <v>2</v>
      </c>
    </row>
    <row r="840" spans="1:6" hidden="1">
      <c r="A840" t="s">
        <v>5757</v>
      </c>
      <c r="B840">
        <v>671</v>
      </c>
      <c r="C840" t="s">
        <v>5755</v>
      </c>
      <c r="D840" t="s">
        <v>5756</v>
      </c>
      <c r="E840" t="s">
        <v>1538</v>
      </c>
      <c r="F840">
        <f>SUMPRODUCT((LEN(E840)-LEN(SUBSTITUTE(E840,"/","")))) + 1</f>
        <v>1</v>
      </c>
    </row>
    <row r="841" spans="1:6" hidden="1">
      <c r="A841" t="s">
        <v>5760</v>
      </c>
      <c r="B841">
        <v>417</v>
      </c>
      <c r="C841" t="s">
        <v>5758</v>
      </c>
      <c r="D841" t="s">
        <v>5759</v>
      </c>
      <c r="E841" t="s">
        <v>661</v>
      </c>
      <c r="F841">
        <f>SUMPRODUCT((LEN(E841)-LEN(SUBSTITUTE(E841,"/","")))) + 1</f>
        <v>1</v>
      </c>
    </row>
    <row r="842" spans="1:6" hidden="1">
      <c r="A842" t="s">
        <v>5763</v>
      </c>
      <c r="B842">
        <v>534</v>
      </c>
      <c r="C842" t="s">
        <v>5761</v>
      </c>
      <c r="D842" t="s">
        <v>5762</v>
      </c>
      <c r="E842" t="s">
        <v>523</v>
      </c>
      <c r="F842">
        <f>SUMPRODUCT((LEN(E842)-LEN(SUBSTITUTE(E842,"/","")))) + 1</f>
        <v>1</v>
      </c>
    </row>
    <row r="843" spans="1:6" hidden="1">
      <c r="A843" t="s">
        <v>5766</v>
      </c>
      <c r="B843">
        <v>261</v>
      </c>
      <c r="C843" t="s">
        <v>5764</v>
      </c>
      <c r="D843" t="s">
        <v>5765</v>
      </c>
      <c r="E843" t="s">
        <v>3309</v>
      </c>
      <c r="F843">
        <f>SUMPRODUCT((LEN(E843)-LEN(SUBSTITUTE(E843,"/","")))) + 1</f>
        <v>1</v>
      </c>
    </row>
    <row r="844" spans="1:6" hidden="1">
      <c r="A844" t="s">
        <v>5769</v>
      </c>
      <c r="B844">
        <v>175</v>
      </c>
      <c r="C844" t="s">
        <v>5767</v>
      </c>
      <c r="D844" t="s">
        <v>5768</v>
      </c>
      <c r="E844" t="s">
        <v>3241</v>
      </c>
      <c r="F844">
        <f>SUMPRODUCT((LEN(E844)-LEN(SUBSTITUTE(E844,"/","")))) + 1</f>
        <v>1</v>
      </c>
    </row>
    <row r="845" spans="1:6" hidden="1">
      <c r="A845" t="s">
        <v>5772</v>
      </c>
      <c r="B845">
        <v>36</v>
      </c>
      <c r="C845" t="s">
        <v>5770</v>
      </c>
      <c r="D845" t="s">
        <v>5771</v>
      </c>
      <c r="E845" t="s">
        <v>76</v>
      </c>
      <c r="F845">
        <f>SUMPRODUCT((LEN(E845)-LEN(SUBSTITUTE(E845,"/","")))) + 1</f>
        <v>1</v>
      </c>
    </row>
    <row r="846" spans="1:6" hidden="1">
      <c r="A846" t="s">
        <v>5775</v>
      </c>
      <c r="B846">
        <v>838</v>
      </c>
      <c r="C846" t="s">
        <v>5773</v>
      </c>
      <c r="D846" t="s">
        <v>5774</v>
      </c>
      <c r="E846" t="s">
        <v>109</v>
      </c>
      <c r="F846">
        <f>SUMPRODUCT((LEN(E846)-LEN(SUBSTITUTE(E846,"/","")))) + 1</f>
        <v>1</v>
      </c>
    </row>
    <row r="847" spans="1:6" hidden="1">
      <c r="A847" t="s">
        <v>5778</v>
      </c>
      <c r="B847">
        <v>847</v>
      </c>
      <c r="C847" t="s">
        <v>5776</v>
      </c>
      <c r="D847" t="s">
        <v>5777</v>
      </c>
      <c r="E847" t="s">
        <v>5107</v>
      </c>
      <c r="F847">
        <f>SUMPRODUCT((LEN(E847)-LEN(SUBSTITUTE(E847,"/","")))) + 1</f>
        <v>1</v>
      </c>
    </row>
    <row r="848" spans="1:6" hidden="1">
      <c r="A848" t="s">
        <v>5781</v>
      </c>
      <c r="B848">
        <v>108</v>
      </c>
      <c r="C848" t="s">
        <v>5779</v>
      </c>
      <c r="D848" t="s">
        <v>5780</v>
      </c>
      <c r="E848" t="s">
        <v>116</v>
      </c>
      <c r="F848">
        <f>SUMPRODUCT((LEN(E848)-LEN(SUBSTITUTE(E848,"/","")))) + 1</f>
        <v>1</v>
      </c>
    </row>
    <row r="849" spans="1:6" hidden="1">
      <c r="A849" t="s">
        <v>5784</v>
      </c>
      <c r="B849">
        <v>566</v>
      </c>
      <c r="C849" t="s">
        <v>5782</v>
      </c>
      <c r="D849" t="s">
        <v>5783</v>
      </c>
      <c r="E849" t="s">
        <v>213</v>
      </c>
      <c r="F849">
        <f>SUMPRODUCT((LEN(E849)-LEN(SUBSTITUTE(E849,"/","")))) + 1</f>
        <v>1</v>
      </c>
    </row>
    <row r="850" spans="1:6" hidden="1">
      <c r="A850" t="s">
        <v>5787</v>
      </c>
      <c r="B850">
        <v>875</v>
      </c>
      <c r="C850" t="s">
        <v>5785</v>
      </c>
      <c r="D850" t="s">
        <v>5786</v>
      </c>
      <c r="E850" t="s">
        <v>3737</v>
      </c>
      <c r="F850">
        <f>SUMPRODUCT((LEN(E850)-LEN(SUBSTITUTE(E850,"/","")))) + 1</f>
        <v>1</v>
      </c>
    </row>
    <row r="851" spans="1:6" hidden="1">
      <c r="A851" t="s">
        <v>5790</v>
      </c>
      <c r="B851">
        <v>275</v>
      </c>
      <c r="C851" t="s">
        <v>5788</v>
      </c>
      <c r="D851" t="s">
        <v>5789</v>
      </c>
      <c r="E851" t="s">
        <v>3263</v>
      </c>
      <c r="F851">
        <f>SUMPRODUCT((LEN(E851)-LEN(SUBSTITUTE(E851,"/","")))) + 1</f>
        <v>1</v>
      </c>
    </row>
    <row r="852" spans="1:6" hidden="1">
      <c r="A852" t="s">
        <v>5793</v>
      </c>
      <c r="B852">
        <v>902</v>
      </c>
      <c r="C852" t="s">
        <v>5791</v>
      </c>
      <c r="D852" t="s">
        <v>5792</v>
      </c>
      <c r="E852" t="s">
        <v>3172</v>
      </c>
      <c r="F852">
        <f>SUMPRODUCT((LEN(E852)-LEN(SUBSTITUTE(E852,"/","")))) + 1</f>
        <v>1</v>
      </c>
    </row>
    <row r="853" spans="1:6" hidden="1">
      <c r="A853" t="s">
        <v>5796</v>
      </c>
      <c r="B853">
        <v>699</v>
      </c>
      <c r="C853" t="s">
        <v>5794</v>
      </c>
      <c r="D853" t="s">
        <v>5795</v>
      </c>
      <c r="E853" t="s">
        <v>213</v>
      </c>
      <c r="F853">
        <f>SUMPRODUCT((LEN(E853)-LEN(SUBSTITUTE(E853,"/","")))) + 1</f>
        <v>1</v>
      </c>
    </row>
    <row r="854" spans="1:6" hidden="1">
      <c r="A854" t="s">
        <v>5799</v>
      </c>
      <c r="B854">
        <v>65</v>
      </c>
      <c r="C854" t="s">
        <v>5797</v>
      </c>
      <c r="D854" t="s">
        <v>5798</v>
      </c>
      <c r="E854" t="s">
        <v>74</v>
      </c>
      <c r="F854">
        <f>SUMPRODUCT((LEN(E854)-LEN(SUBSTITUTE(E854,"/","")))) + 1</f>
        <v>1</v>
      </c>
    </row>
    <row r="855" spans="1:6" hidden="1">
      <c r="A855" t="s">
        <v>5802</v>
      </c>
      <c r="B855">
        <v>872</v>
      </c>
      <c r="C855" t="s">
        <v>5800</v>
      </c>
      <c r="D855" t="s">
        <v>5801</v>
      </c>
      <c r="E855" t="s">
        <v>1524</v>
      </c>
      <c r="F855">
        <f>SUMPRODUCT((LEN(E855)-LEN(SUBSTITUTE(E855,"/","")))) + 1</f>
        <v>1</v>
      </c>
    </row>
    <row r="856" spans="1:6" hidden="1">
      <c r="A856" t="s">
        <v>5805</v>
      </c>
      <c r="B856">
        <v>583</v>
      </c>
      <c r="C856" t="s">
        <v>5803</v>
      </c>
      <c r="D856" t="s">
        <v>5804</v>
      </c>
      <c r="E856" t="s">
        <v>3666</v>
      </c>
      <c r="F856">
        <f>SUMPRODUCT((LEN(E856)-LEN(SUBSTITUTE(E856,"/","")))) + 1</f>
        <v>2</v>
      </c>
    </row>
    <row r="857" spans="1:6" hidden="1">
      <c r="A857" t="s">
        <v>5808</v>
      </c>
      <c r="B857">
        <v>732</v>
      </c>
      <c r="C857" t="s">
        <v>5806</v>
      </c>
      <c r="D857" t="s">
        <v>5807</v>
      </c>
      <c r="E857" t="s">
        <v>4445</v>
      </c>
      <c r="F857">
        <f>SUMPRODUCT((LEN(E857)-LEN(SUBSTITUTE(E857,"/","")))) + 1</f>
        <v>2</v>
      </c>
    </row>
    <row r="858" spans="1:6" hidden="1">
      <c r="A858" t="s">
        <v>5811</v>
      </c>
      <c r="B858">
        <v>807</v>
      </c>
      <c r="C858" t="s">
        <v>5809</v>
      </c>
      <c r="D858" t="s">
        <v>5810</v>
      </c>
      <c r="E858" t="s">
        <v>3172</v>
      </c>
      <c r="F858">
        <f>SUMPRODUCT((LEN(E858)-LEN(SUBSTITUTE(E858,"/","")))) + 1</f>
        <v>1</v>
      </c>
    </row>
    <row r="859" spans="1:6" hidden="1">
      <c r="A859" t="s">
        <v>5814</v>
      </c>
      <c r="B859">
        <v>903</v>
      </c>
      <c r="C859" t="s">
        <v>5812</v>
      </c>
      <c r="D859" t="s">
        <v>5813</v>
      </c>
      <c r="E859" t="s">
        <v>3172</v>
      </c>
      <c r="F859">
        <f>SUMPRODUCT((LEN(E859)-LEN(SUBSTITUTE(E859,"/","")))) + 1</f>
        <v>1</v>
      </c>
    </row>
    <row r="860" spans="1:6" hidden="1">
      <c r="A860" t="s">
        <v>5817</v>
      </c>
      <c r="B860">
        <v>54</v>
      </c>
      <c r="C860" t="s">
        <v>5815</v>
      </c>
      <c r="D860" t="s">
        <v>5816</v>
      </c>
      <c r="E860" t="s">
        <v>3563</v>
      </c>
      <c r="F860">
        <f>SUMPRODUCT((LEN(E860)-LEN(SUBSTITUTE(E860,"/","")))) + 1</f>
        <v>1</v>
      </c>
    </row>
    <row r="861" spans="1:6" hidden="1">
      <c r="A861" t="s">
        <v>5820</v>
      </c>
      <c r="B861">
        <v>40</v>
      </c>
      <c r="C861" t="s">
        <v>5818</v>
      </c>
      <c r="D861" t="s">
        <v>5819</v>
      </c>
      <c r="E861" t="s">
        <v>110</v>
      </c>
      <c r="F861">
        <f>SUMPRODUCT((LEN(E861)-LEN(SUBSTITUTE(E861,"/","")))) + 1</f>
        <v>1</v>
      </c>
    </row>
    <row r="862" spans="1:6" hidden="1">
      <c r="A862" t="s">
        <v>5823</v>
      </c>
      <c r="B862">
        <v>335</v>
      </c>
      <c r="C862" t="s">
        <v>5821</v>
      </c>
      <c r="D862" t="s">
        <v>5822</v>
      </c>
      <c r="E862" t="s">
        <v>5824</v>
      </c>
      <c r="F862">
        <f>SUMPRODUCT((LEN(E862)-LEN(SUBSTITUTE(E862,"/","")))) + 1</f>
        <v>2</v>
      </c>
    </row>
    <row r="863" spans="1:6" hidden="1">
      <c r="A863" t="s">
        <v>5827</v>
      </c>
      <c r="B863">
        <v>498</v>
      </c>
      <c r="C863" t="s">
        <v>5825</v>
      </c>
      <c r="D863" t="s">
        <v>5826</v>
      </c>
      <c r="E863" t="s">
        <v>115</v>
      </c>
      <c r="F863">
        <f>SUMPRODUCT((LEN(E863)-LEN(SUBSTITUTE(E863,"/","")))) + 1</f>
        <v>1</v>
      </c>
    </row>
    <row r="864" spans="1:6" hidden="1">
      <c r="A864" t="s">
        <v>5830</v>
      </c>
      <c r="B864">
        <v>676</v>
      </c>
      <c r="C864" t="s">
        <v>5828</v>
      </c>
      <c r="D864" t="s">
        <v>5829</v>
      </c>
      <c r="E864" t="s">
        <v>3172</v>
      </c>
      <c r="F864">
        <f>SUMPRODUCT((LEN(E864)-LEN(SUBSTITUTE(E864,"/","")))) + 1</f>
        <v>1</v>
      </c>
    </row>
    <row r="865" spans="1:6" hidden="1">
      <c r="A865" t="s">
        <v>5833</v>
      </c>
      <c r="B865">
        <v>51</v>
      </c>
      <c r="C865" t="s">
        <v>5831</v>
      </c>
      <c r="D865" t="s">
        <v>5832</v>
      </c>
      <c r="E865" t="s">
        <v>3563</v>
      </c>
      <c r="F865">
        <f>SUMPRODUCT((LEN(E865)-LEN(SUBSTITUTE(E865,"/","")))) + 1</f>
        <v>1</v>
      </c>
    </row>
    <row r="866" spans="1:6" hidden="1">
      <c r="A866" t="s">
        <v>5836</v>
      </c>
      <c r="B866">
        <v>163</v>
      </c>
      <c r="C866" t="s">
        <v>5834</v>
      </c>
      <c r="D866" t="s">
        <v>5835</v>
      </c>
      <c r="E866" t="s">
        <v>3172</v>
      </c>
      <c r="F866">
        <f>SUMPRODUCT((LEN(E866)-LEN(SUBSTITUTE(E866,"/","")))) + 1</f>
        <v>1</v>
      </c>
    </row>
    <row r="867" spans="1:6" hidden="1">
      <c r="A867" t="s">
        <v>5839</v>
      </c>
      <c r="B867">
        <v>659</v>
      </c>
      <c r="C867" t="s">
        <v>5837</v>
      </c>
      <c r="D867" t="s">
        <v>5838</v>
      </c>
      <c r="E867" t="s">
        <v>1524</v>
      </c>
      <c r="F867">
        <f>SUMPRODUCT((LEN(E867)-LEN(SUBSTITUTE(E867,"/","")))) + 1</f>
        <v>1</v>
      </c>
    </row>
    <row r="868" spans="1:6" hidden="1">
      <c r="A868" t="s">
        <v>5842</v>
      </c>
      <c r="B868">
        <v>404</v>
      </c>
      <c r="C868" t="s">
        <v>5840</v>
      </c>
      <c r="D868" t="s">
        <v>5841</v>
      </c>
      <c r="E868" t="s">
        <v>5843</v>
      </c>
      <c r="F868">
        <f>SUMPRODUCT((LEN(E868)-LEN(SUBSTITUTE(E868,"/","")))) + 1</f>
        <v>2</v>
      </c>
    </row>
    <row r="869" spans="1:6" hidden="1">
      <c r="A869" t="s">
        <v>5846</v>
      </c>
      <c r="B869">
        <v>521</v>
      </c>
      <c r="C869" t="s">
        <v>5844</v>
      </c>
      <c r="D869" t="s">
        <v>5845</v>
      </c>
      <c r="E869" t="s">
        <v>3241</v>
      </c>
      <c r="F869">
        <f>SUMPRODUCT((LEN(E869)-LEN(SUBSTITUTE(E869,"/","")))) + 1</f>
        <v>1</v>
      </c>
    </row>
    <row r="870" spans="1:6" hidden="1">
      <c r="A870" t="s">
        <v>5849</v>
      </c>
      <c r="B870">
        <v>129</v>
      </c>
      <c r="C870" t="s">
        <v>5847</v>
      </c>
      <c r="D870" t="s">
        <v>5848</v>
      </c>
      <c r="E870" t="s">
        <v>195</v>
      </c>
      <c r="F870">
        <f>SUMPRODUCT((LEN(E870)-LEN(SUBSTITUTE(E870,"/","")))) + 1</f>
        <v>1</v>
      </c>
    </row>
    <row r="871" spans="1:6" hidden="1">
      <c r="A871" t="s">
        <v>5852</v>
      </c>
      <c r="B871">
        <v>429</v>
      </c>
      <c r="C871" t="s">
        <v>5850</v>
      </c>
      <c r="D871" t="s">
        <v>5851</v>
      </c>
      <c r="E871" t="s">
        <v>3309</v>
      </c>
      <c r="F871">
        <f>SUMPRODUCT((LEN(E871)-LEN(SUBSTITUTE(E871,"/","")))) + 1</f>
        <v>1</v>
      </c>
    </row>
    <row r="872" spans="1:6" hidden="1">
      <c r="A872" t="s">
        <v>5855</v>
      </c>
      <c r="B872">
        <v>46</v>
      </c>
      <c r="C872" t="s">
        <v>5853</v>
      </c>
      <c r="D872" t="s">
        <v>5854</v>
      </c>
      <c r="E872" t="s">
        <v>72</v>
      </c>
      <c r="F872">
        <f>SUMPRODUCT((LEN(E872)-LEN(SUBSTITUTE(E872,"/","")))) + 1</f>
        <v>1</v>
      </c>
    </row>
    <row r="873" spans="1:6" hidden="1">
      <c r="A873" t="s">
        <v>5858</v>
      </c>
      <c r="B873">
        <v>812</v>
      </c>
      <c r="C873" t="s">
        <v>5856</v>
      </c>
      <c r="D873" t="s">
        <v>5857</v>
      </c>
      <c r="E873" t="s">
        <v>521</v>
      </c>
      <c r="F873">
        <f>SUMPRODUCT((LEN(E873)-LEN(SUBSTITUTE(E873,"/","")))) + 1</f>
        <v>1</v>
      </c>
    </row>
    <row r="874" spans="1:6" hidden="1">
      <c r="A874" t="s">
        <v>5861</v>
      </c>
      <c r="B874">
        <v>908</v>
      </c>
      <c r="C874" t="s">
        <v>5859</v>
      </c>
      <c r="D874" t="s">
        <v>5860</v>
      </c>
      <c r="E874" t="s">
        <v>1532</v>
      </c>
      <c r="F874">
        <f>SUMPRODUCT((LEN(E874)-LEN(SUBSTITUTE(E874,"/","")))) + 1</f>
        <v>1</v>
      </c>
    </row>
    <row r="875" spans="1:6" hidden="1">
      <c r="A875" t="s">
        <v>5864</v>
      </c>
      <c r="B875">
        <v>265</v>
      </c>
      <c r="C875" t="s">
        <v>5862</v>
      </c>
      <c r="D875" t="s">
        <v>5863</v>
      </c>
      <c r="E875" t="s">
        <v>3241</v>
      </c>
      <c r="F875">
        <f>SUMPRODUCT((LEN(E875)-LEN(SUBSTITUTE(E875,"/","")))) + 1</f>
        <v>1</v>
      </c>
    </row>
    <row r="876" spans="1:6" hidden="1">
      <c r="A876" t="s">
        <v>5867</v>
      </c>
      <c r="B876">
        <v>767</v>
      </c>
      <c r="C876" t="s">
        <v>5865</v>
      </c>
      <c r="D876" t="s">
        <v>5866</v>
      </c>
      <c r="E876" t="s">
        <v>3298</v>
      </c>
      <c r="F876">
        <f>SUMPRODUCT((LEN(E876)-LEN(SUBSTITUTE(E876,"/","")))) + 1</f>
        <v>1</v>
      </c>
    </row>
    <row r="877" spans="1:6" hidden="1">
      <c r="A877" t="s">
        <v>5870</v>
      </c>
      <c r="B877">
        <v>344</v>
      </c>
      <c r="C877" t="s">
        <v>5868</v>
      </c>
      <c r="D877" t="s">
        <v>5869</v>
      </c>
      <c r="E877" t="s">
        <v>110</v>
      </c>
      <c r="F877">
        <f>SUMPRODUCT((LEN(E877)-LEN(SUBSTITUTE(E877,"/","")))) + 1</f>
        <v>1</v>
      </c>
    </row>
    <row r="878" spans="1:6" hidden="1">
      <c r="A878" t="s">
        <v>5873</v>
      </c>
      <c r="B878">
        <v>397</v>
      </c>
      <c r="C878" t="s">
        <v>5871</v>
      </c>
      <c r="D878" t="s">
        <v>5872</v>
      </c>
      <c r="E878" t="s">
        <v>3172</v>
      </c>
      <c r="F878">
        <f>SUMPRODUCT((LEN(E878)-LEN(SUBSTITUTE(E878,"/","")))) + 1</f>
        <v>1</v>
      </c>
    </row>
    <row r="879" spans="1:6" hidden="1">
      <c r="A879" t="s">
        <v>5876</v>
      </c>
      <c r="B879">
        <v>21</v>
      </c>
      <c r="C879" t="s">
        <v>5874</v>
      </c>
      <c r="D879" t="s">
        <v>5875</v>
      </c>
      <c r="E879" t="s">
        <v>111</v>
      </c>
      <c r="F879">
        <f>SUMPRODUCT((LEN(E879)-LEN(SUBSTITUTE(E879,"/","")))) + 1</f>
        <v>1</v>
      </c>
    </row>
    <row r="880" spans="1:6" hidden="1">
      <c r="A880" t="s">
        <v>5879</v>
      </c>
      <c r="B880">
        <v>628</v>
      </c>
      <c r="C880" t="s">
        <v>5877</v>
      </c>
      <c r="D880" t="s">
        <v>5878</v>
      </c>
      <c r="E880" t="s">
        <v>521</v>
      </c>
      <c r="F880">
        <f>SUMPRODUCT((LEN(E880)-LEN(SUBSTITUTE(E880,"/","")))) + 1</f>
        <v>1</v>
      </c>
    </row>
    <row r="881" spans="1:6" hidden="1">
      <c r="A881" t="s">
        <v>5882</v>
      </c>
      <c r="B881">
        <v>876</v>
      </c>
      <c r="C881" t="s">
        <v>5880</v>
      </c>
      <c r="D881" t="s">
        <v>5881</v>
      </c>
      <c r="E881" t="s">
        <v>3563</v>
      </c>
      <c r="F881">
        <f>SUMPRODUCT((LEN(E881)-LEN(SUBSTITUTE(E881,"/","")))) + 1</f>
        <v>1</v>
      </c>
    </row>
    <row r="882" spans="1:6" hidden="1">
      <c r="A882" t="s">
        <v>5885</v>
      </c>
      <c r="B882">
        <v>605</v>
      </c>
      <c r="C882" t="s">
        <v>5883</v>
      </c>
      <c r="D882" t="s">
        <v>5884</v>
      </c>
      <c r="E882" t="s">
        <v>3179</v>
      </c>
      <c r="F882">
        <f>SUMPRODUCT((LEN(E882)-LEN(SUBSTITUTE(E882,"/","")))) + 1</f>
        <v>1</v>
      </c>
    </row>
    <row r="883" spans="1:6" hidden="1">
      <c r="A883" t="s">
        <v>5888</v>
      </c>
      <c r="B883">
        <v>744</v>
      </c>
      <c r="C883" t="s">
        <v>5886</v>
      </c>
      <c r="D883" t="s">
        <v>5887</v>
      </c>
      <c r="E883" t="s">
        <v>3263</v>
      </c>
      <c r="F883">
        <f>SUMPRODUCT((LEN(E883)-LEN(SUBSTITUTE(E883,"/","")))) + 1</f>
        <v>1</v>
      </c>
    </row>
    <row r="884" spans="1:6" hidden="1">
      <c r="A884" t="s">
        <v>5891</v>
      </c>
      <c r="B884">
        <v>746</v>
      </c>
      <c r="C884" t="s">
        <v>5889</v>
      </c>
      <c r="D884" t="s">
        <v>5890</v>
      </c>
      <c r="E884" t="s">
        <v>3172</v>
      </c>
      <c r="F884">
        <f>SUMPRODUCT((LEN(E884)-LEN(SUBSTITUTE(E884,"/","")))) + 1</f>
        <v>1</v>
      </c>
    </row>
    <row r="885" spans="1:6" hidden="1">
      <c r="A885" t="s">
        <v>5894</v>
      </c>
      <c r="B885">
        <v>731</v>
      </c>
      <c r="C885" t="s">
        <v>5892</v>
      </c>
      <c r="D885" t="s">
        <v>5893</v>
      </c>
      <c r="E885" t="s">
        <v>1532</v>
      </c>
      <c r="F885">
        <f>SUMPRODUCT((LEN(E885)-LEN(SUBSTITUTE(E885,"/","")))) + 1</f>
        <v>1</v>
      </c>
    </row>
    <row r="886" spans="1:6" hidden="1">
      <c r="A886" t="s">
        <v>5897</v>
      </c>
      <c r="B886">
        <v>281</v>
      </c>
      <c r="C886" t="s">
        <v>5895</v>
      </c>
      <c r="D886" t="s">
        <v>5896</v>
      </c>
      <c r="E886" t="s">
        <v>3298</v>
      </c>
      <c r="F886">
        <f>SUMPRODUCT((LEN(E886)-LEN(SUBSTITUTE(E886,"/","")))) + 1</f>
        <v>1</v>
      </c>
    </row>
    <row r="887" spans="1:6" hidden="1">
      <c r="A887" t="s">
        <v>5900</v>
      </c>
      <c r="B887">
        <v>705</v>
      </c>
      <c r="C887" t="s">
        <v>5898</v>
      </c>
      <c r="D887" t="s">
        <v>5899</v>
      </c>
      <c r="E887" t="s">
        <v>5526</v>
      </c>
      <c r="F887">
        <f>SUMPRODUCT((LEN(E887)-LEN(SUBSTITUTE(E887,"/","")))) + 1</f>
        <v>3</v>
      </c>
    </row>
    <row r="888" spans="1:6" hidden="1">
      <c r="A888" t="s">
        <v>5903</v>
      </c>
      <c r="B888">
        <v>590</v>
      </c>
      <c r="C888" t="s">
        <v>5901</v>
      </c>
      <c r="D888" t="s">
        <v>5902</v>
      </c>
      <c r="E888" t="s">
        <v>1525</v>
      </c>
      <c r="F888">
        <f>SUMPRODUCT((LEN(E888)-LEN(SUBSTITUTE(E888,"/","")))) + 1</f>
        <v>1</v>
      </c>
    </row>
    <row r="889" spans="1:6" hidden="1">
      <c r="A889" t="s">
        <v>5906</v>
      </c>
      <c r="B889">
        <v>672</v>
      </c>
      <c r="C889" t="s">
        <v>5904</v>
      </c>
      <c r="D889" t="s">
        <v>5905</v>
      </c>
      <c r="E889" t="s">
        <v>3241</v>
      </c>
      <c r="F889">
        <f>SUMPRODUCT((LEN(E889)-LEN(SUBSTITUTE(E889,"/","")))) + 1</f>
        <v>1</v>
      </c>
    </row>
    <row r="890" spans="1:6" hidden="1">
      <c r="A890" t="s">
        <v>5909</v>
      </c>
      <c r="B890">
        <v>630</v>
      </c>
      <c r="C890" t="s">
        <v>5907</v>
      </c>
      <c r="D890" t="s">
        <v>5908</v>
      </c>
      <c r="E890" t="s">
        <v>661</v>
      </c>
      <c r="F890">
        <f>SUMPRODUCT((LEN(E890)-LEN(SUBSTITUTE(E890,"/","")))) + 1</f>
        <v>1</v>
      </c>
    </row>
    <row r="891" spans="1:6" hidden="1">
      <c r="A891" t="s">
        <v>5912</v>
      </c>
      <c r="B891">
        <v>109</v>
      </c>
      <c r="C891" t="s">
        <v>5910</v>
      </c>
      <c r="D891" t="s">
        <v>5911</v>
      </c>
      <c r="E891" t="s">
        <v>116</v>
      </c>
      <c r="F891">
        <f>SUMPRODUCT((LEN(E891)-LEN(SUBSTITUTE(E891,"/","")))) + 1</f>
        <v>1</v>
      </c>
    </row>
    <row r="892" spans="1:6" hidden="1">
      <c r="A892" t="s">
        <v>5915</v>
      </c>
      <c r="B892">
        <v>97</v>
      </c>
      <c r="C892" t="s">
        <v>5913</v>
      </c>
      <c r="D892" t="s">
        <v>5914</v>
      </c>
      <c r="E892" t="s">
        <v>1538</v>
      </c>
      <c r="F892">
        <f>SUMPRODUCT((LEN(E892)-LEN(SUBSTITUTE(E892,"/","")))) + 1</f>
        <v>1</v>
      </c>
    </row>
    <row r="893" spans="1:6" hidden="1">
      <c r="A893" t="s">
        <v>5918</v>
      </c>
      <c r="B893">
        <v>894</v>
      </c>
      <c r="C893" t="s">
        <v>5916</v>
      </c>
      <c r="D893" t="s">
        <v>5917</v>
      </c>
      <c r="E893" t="s">
        <v>1538</v>
      </c>
      <c r="F893">
        <f>SUMPRODUCT((LEN(E893)-LEN(SUBSTITUTE(E893,"/","")))) + 1</f>
        <v>1</v>
      </c>
    </row>
    <row r="894" spans="1:6" hidden="1">
      <c r="A894" t="s">
        <v>5921</v>
      </c>
      <c r="B894">
        <v>610</v>
      </c>
      <c r="C894" t="s">
        <v>5919</v>
      </c>
      <c r="D894" t="s">
        <v>5920</v>
      </c>
      <c r="E894" t="s">
        <v>3241</v>
      </c>
      <c r="F894">
        <f>SUMPRODUCT((LEN(E894)-LEN(SUBSTITUTE(E894,"/","")))) + 1</f>
        <v>1</v>
      </c>
    </row>
    <row r="895" spans="1:6" hidden="1">
      <c r="A895" t="s">
        <v>5924</v>
      </c>
      <c r="B895">
        <v>885</v>
      </c>
      <c r="C895" t="s">
        <v>5922</v>
      </c>
      <c r="D895" t="s">
        <v>5923</v>
      </c>
      <c r="E895" t="s">
        <v>74</v>
      </c>
      <c r="F895">
        <f>SUMPRODUCT((LEN(E895)-LEN(SUBSTITUTE(E895,"/","")))) + 1</f>
        <v>1</v>
      </c>
    </row>
    <row r="896" spans="1:6" hidden="1">
      <c r="A896" t="s">
        <v>5927</v>
      </c>
      <c r="B896">
        <v>823</v>
      </c>
      <c r="C896" t="s">
        <v>5925</v>
      </c>
      <c r="D896" t="s">
        <v>5926</v>
      </c>
      <c r="E896" t="s">
        <v>5928</v>
      </c>
      <c r="F896">
        <f>SUMPRODUCT((LEN(E896)-LEN(SUBSTITUTE(E896,"/","")))) + 1</f>
        <v>2</v>
      </c>
    </row>
    <row r="897" spans="1:6" hidden="1">
      <c r="A897" t="s">
        <v>5931</v>
      </c>
      <c r="B897">
        <v>151</v>
      </c>
      <c r="C897" t="s">
        <v>5929</v>
      </c>
      <c r="D897" t="s">
        <v>5930</v>
      </c>
      <c r="E897" t="s">
        <v>74</v>
      </c>
      <c r="F897">
        <f>SUMPRODUCT((LEN(E897)-LEN(SUBSTITUTE(E897,"/","")))) + 1</f>
        <v>1</v>
      </c>
    </row>
    <row r="898" spans="1:6" hidden="1">
      <c r="A898" t="s">
        <v>5934</v>
      </c>
      <c r="B898">
        <v>664</v>
      </c>
      <c r="C898" t="s">
        <v>5932</v>
      </c>
      <c r="D898" t="s">
        <v>5933</v>
      </c>
      <c r="E898" t="s">
        <v>3179</v>
      </c>
      <c r="F898">
        <f>SUMPRODUCT((LEN(E898)-LEN(SUBSTITUTE(E898,"/","")))) + 1</f>
        <v>1</v>
      </c>
    </row>
    <row r="899" spans="1:6" hidden="1">
      <c r="A899" t="s">
        <v>5937</v>
      </c>
      <c r="B899">
        <v>774</v>
      </c>
      <c r="C899" t="s">
        <v>5935</v>
      </c>
      <c r="D899" t="s">
        <v>5936</v>
      </c>
      <c r="E899" t="s">
        <v>1532</v>
      </c>
      <c r="F899">
        <f>SUMPRODUCT((LEN(E899)-LEN(SUBSTITUTE(E899,"/","")))) + 1</f>
        <v>1</v>
      </c>
    </row>
    <row r="900" spans="1:6" hidden="1">
      <c r="A900" t="s">
        <v>5940</v>
      </c>
      <c r="B900">
        <v>654</v>
      </c>
      <c r="C900" t="s">
        <v>5938</v>
      </c>
      <c r="D900" t="s">
        <v>5939</v>
      </c>
      <c r="E900" t="s">
        <v>1538</v>
      </c>
      <c r="F900">
        <f>SUMPRODUCT((LEN(E900)-LEN(SUBSTITUTE(E900,"/","")))) + 1</f>
        <v>1</v>
      </c>
    </row>
    <row r="901" spans="1:6" hidden="1">
      <c r="A901" t="s">
        <v>5943</v>
      </c>
      <c r="B901">
        <v>517</v>
      </c>
      <c r="C901" t="s">
        <v>5941</v>
      </c>
      <c r="D901" t="s">
        <v>5942</v>
      </c>
      <c r="E901" t="s">
        <v>3179</v>
      </c>
      <c r="F901">
        <f>SUMPRODUCT((LEN(E901)-LEN(SUBSTITUTE(E901,"/","")))) + 1</f>
        <v>1</v>
      </c>
    </row>
    <row r="902" spans="1:6" hidden="1">
      <c r="A902" t="s">
        <v>5946</v>
      </c>
      <c r="B902">
        <v>655</v>
      </c>
      <c r="C902" t="s">
        <v>5944</v>
      </c>
      <c r="D902" t="s">
        <v>5945</v>
      </c>
      <c r="E902" t="s">
        <v>1538</v>
      </c>
      <c r="F902">
        <f>SUMPRODUCT((LEN(E902)-LEN(SUBSTITUTE(E902,"/","")))) + 1</f>
        <v>1</v>
      </c>
    </row>
    <row r="903" spans="1:6" hidden="1">
      <c r="A903" t="s">
        <v>5949</v>
      </c>
      <c r="B903">
        <v>186</v>
      </c>
      <c r="C903" t="s">
        <v>5947</v>
      </c>
      <c r="D903" t="s">
        <v>5948</v>
      </c>
      <c r="E903" t="s">
        <v>3172</v>
      </c>
      <c r="F903">
        <f>SUMPRODUCT((LEN(E903)-LEN(SUBSTITUTE(E903,"/","")))) + 1</f>
        <v>1</v>
      </c>
    </row>
    <row r="904" spans="1:6" hidden="1">
      <c r="A904" t="s">
        <v>5952</v>
      </c>
      <c r="B904">
        <v>826</v>
      </c>
      <c r="C904" t="s">
        <v>5950</v>
      </c>
      <c r="D904" t="s">
        <v>5951</v>
      </c>
      <c r="E904" t="s">
        <v>1525</v>
      </c>
      <c r="F904">
        <f>SUMPRODUCT((LEN(E904)-LEN(SUBSTITUTE(E904,"/","")))) + 1</f>
        <v>1</v>
      </c>
    </row>
    <row r="905" spans="1:6" hidden="1">
      <c r="A905" t="s">
        <v>5955</v>
      </c>
      <c r="B905">
        <v>648</v>
      </c>
      <c r="C905" t="s">
        <v>5953</v>
      </c>
      <c r="D905" t="s">
        <v>5954</v>
      </c>
      <c r="E905" t="s">
        <v>1525</v>
      </c>
      <c r="F905">
        <f>SUMPRODUCT((LEN(E905)-LEN(SUBSTITUTE(E905,"/","")))) + 1</f>
        <v>1</v>
      </c>
    </row>
    <row r="906" spans="1:6" hidden="1">
      <c r="A906" t="s">
        <v>5958</v>
      </c>
      <c r="B906">
        <v>181</v>
      </c>
      <c r="C906" t="s">
        <v>5956</v>
      </c>
      <c r="D906" t="s">
        <v>5957</v>
      </c>
      <c r="E906" t="s">
        <v>3309</v>
      </c>
      <c r="F906">
        <f>SUMPRODUCT((LEN(E906)-LEN(SUBSTITUTE(E906,"/","")))) + 1</f>
        <v>1</v>
      </c>
    </row>
    <row r="907" spans="1:6">
      <c r="A907" t="s">
        <v>5961</v>
      </c>
      <c r="B907">
        <v>546</v>
      </c>
      <c r="C907" t="s">
        <v>5959</v>
      </c>
      <c r="D907" t="s">
        <v>5960</v>
      </c>
      <c r="E907" t="s">
        <v>5962</v>
      </c>
      <c r="F907">
        <f>SUMPRODUCT((LEN(E907)-LEN(SUBSTITUTE(E907,"/","")))) + 1</f>
        <v>2</v>
      </c>
    </row>
    <row r="908" spans="1:6" hidden="1">
      <c r="A908" t="s">
        <v>5965</v>
      </c>
      <c r="B908">
        <v>208</v>
      </c>
      <c r="C908" t="s">
        <v>5963</v>
      </c>
      <c r="D908" t="s">
        <v>5964</v>
      </c>
      <c r="E908" t="s">
        <v>5140</v>
      </c>
      <c r="F908">
        <f>SUMPRODUCT((LEN(E908)-LEN(SUBSTITUTE(E908,"/","")))) + 1</f>
        <v>2</v>
      </c>
    </row>
    <row r="909" spans="1:6" hidden="1">
      <c r="A909" t="s">
        <v>5968</v>
      </c>
      <c r="B909">
        <v>425</v>
      </c>
      <c r="C909" t="s">
        <v>5966</v>
      </c>
      <c r="D909" t="s">
        <v>5967</v>
      </c>
      <c r="E909" t="s">
        <v>1538</v>
      </c>
      <c r="F909">
        <f>SUMPRODUCT((LEN(E909)-LEN(SUBSTITUTE(E909,"/","")))) + 1</f>
        <v>1</v>
      </c>
    </row>
    <row r="910" spans="1:6" hidden="1">
      <c r="A910" t="s">
        <v>5971</v>
      </c>
      <c r="B910">
        <v>361</v>
      </c>
      <c r="C910" t="s">
        <v>5969</v>
      </c>
      <c r="D910" t="s">
        <v>5970</v>
      </c>
      <c r="E910" t="s">
        <v>3563</v>
      </c>
      <c r="F910">
        <f>SUMPRODUCT((LEN(E910)-LEN(SUBSTITUTE(E910,"/","")))) + 1</f>
        <v>1</v>
      </c>
    </row>
    <row r="911" spans="1:6" hidden="1">
      <c r="A911" t="s">
        <v>5974</v>
      </c>
      <c r="B911">
        <v>734</v>
      </c>
      <c r="C911" t="s">
        <v>5972</v>
      </c>
      <c r="D911" t="s">
        <v>5973</v>
      </c>
      <c r="E911" t="s">
        <v>3309</v>
      </c>
      <c r="F911">
        <f>SUMPRODUCT((LEN(E911)-LEN(SUBSTITUTE(E911,"/","")))) + 1</f>
        <v>1</v>
      </c>
    </row>
    <row r="912" spans="1:6" hidden="1">
      <c r="A912" t="s">
        <v>5977</v>
      </c>
      <c r="B912">
        <v>650</v>
      </c>
      <c r="C912" t="s">
        <v>5975</v>
      </c>
      <c r="D912" t="s">
        <v>5976</v>
      </c>
      <c r="E912" t="s">
        <v>1541</v>
      </c>
      <c r="F912">
        <f>SUMPRODUCT((LEN(E912)-LEN(SUBSTITUTE(E912,"/","")))) + 1</f>
        <v>1</v>
      </c>
    </row>
    <row r="913" spans="1:6" hidden="1">
      <c r="A913" t="s">
        <v>5980</v>
      </c>
      <c r="B913">
        <v>797</v>
      </c>
      <c r="C913" t="s">
        <v>5978</v>
      </c>
      <c r="D913" t="s">
        <v>5979</v>
      </c>
      <c r="E913" t="s">
        <v>1524</v>
      </c>
      <c r="F913">
        <f>SUMPRODUCT((LEN(E913)-LEN(SUBSTITUTE(E913,"/","")))) + 1</f>
        <v>1</v>
      </c>
    </row>
    <row r="914" spans="1:6" hidden="1">
      <c r="A914" t="s">
        <v>5983</v>
      </c>
      <c r="B914">
        <v>750</v>
      </c>
      <c r="C914" t="s">
        <v>5981</v>
      </c>
      <c r="D914" t="s">
        <v>5982</v>
      </c>
      <c r="E914" t="s">
        <v>5984</v>
      </c>
      <c r="F914">
        <f>SUMPRODUCT((LEN(E914)-LEN(SUBSTITUTE(E914,"/","")))) + 1</f>
        <v>2</v>
      </c>
    </row>
    <row r="915" spans="1:6" hidden="1">
      <c r="A915" t="s">
        <v>5987</v>
      </c>
      <c r="B915">
        <v>571</v>
      </c>
      <c r="C915" t="s">
        <v>5985</v>
      </c>
      <c r="D915" t="s">
        <v>5986</v>
      </c>
      <c r="E915" t="s">
        <v>5988</v>
      </c>
      <c r="F915">
        <f>SUMPRODUCT((LEN(E915)-LEN(SUBSTITUTE(E915,"/","")))) + 1</f>
        <v>3</v>
      </c>
    </row>
    <row r="916" spans="1:6" hidden="1">
      <c r="A916" t="s">
        <v>5991</v>
      </c>
      <c r="B916">
        <v>752</v>
      </c>
      <c r="C916" t="s">
        <v>5989</v>
      </c>
      <c r="D916" t="s">
        <v>5990</v>
      </c>
      <c r="E916" t="s">
        <v>1538</v>
      </c>
      <c r="F916">
        <f>SUMPRODUCT((LEN(E916)-LEN(SUBSTITUTE(E916,"/","")))) + 1</f>
        <v>1</v>
      </c>
    </row>
    <row r="917" spans="1:6" hidden="1">
      <c r="A917" t="s">
        <v>5994</v>
      </c>
      <c r="B917">
        <v>506</v>
      </c>
      <c r="C917" t="s">
        <v>5992</v>
      </c>
      <c r="D917" t="s">
        <v>5993</v>
      </c>
      <c r="E917" t="s">
        <v>1532</v>
      </c>
      <c r="F917">
        <f>SUMPRODUCT((LEN(E917)-LEN(SUBSTITUTE(E917,"/","")))) + 1</f>
        <v>1</v>
      </c>
    </row>
    <row r="918" spans="1:6" hidden="1">
      <c r="A918" t="s">
        <v>5997</v>
      </c>
      <c r="B918">
        <v>862</v>
      </c>
      <c r="C918" t="s">
        <v>5995</v>
      </c>
      <c r="D918" t="s">
        <v>5996</v>
      </c>
      <c r="E918" t="s">
        <v>110</v>
      </c>
      <c r="F918">
        <f>SUMPRODUCT((LEN(E918)-LEN(SUBSTITUTE(E918,"/","")))) + 1</f>
        <v>1</v>
      </c>
    </row>
    <row r="919" spans="1:6" hidden="1">
      <c r="A919" t="s">
        <v>6000</v>
      </c>
      <c r="B919">
        <v>339</v>
      </c>
      <c r="C919" t="s">
        <v>5998</v>
      </c>
      <c r="D919" t="s">
        <v>5999</v>
      </c>
      <c r="E919" t="s">
        <v>71</v>
      </c>
      <c r="F919">
        <f>SUMPRODUCT((LEN(E919)-LEN(SUBSTITUTE(E919,"/","")))) + 1</f>
        <v>1</v>
      </c>
    </row>
    <row r="920" spans="1:6" hidden="1">
      <c r="A920" t="s">
        <v>6003</v>
      </c>
      <c r="B920">
        <v>184</v>
      </c>
      <c r="C920" t="s">
        <v>6001</v>
      </c>
      <c r="D920" t="s">
        <v>6002</v>
      </c>
      <c r="E920" t="s">
        <v>1538</v>
      </c>
      <c r="F920">
        <f>SUMPRODUCT((LEN(E920)-LEN(SUBSTITUTE(E920,"/","")))) + 1</f>
        <v>1</v>
      </c>
    </row>
    <row r="921" spans="1:6" hidden="1">
      <c r="A921" t="s">
        <v>6006</v>
      </c>
      <c r="B921">
        <v>515</v>
      </c>
      <c r="C921" t="s">
        <v>6004</v>
      </c>
      <c r="D921" t="s">
        <v>6005</v>
      </c>
      <c r="E921" t="s">
        <v>3179</v>
      </c>
      <c r="F921">
        <f>SUMPRODUCT((LEN(E921)-LEN(SUBSTITUTE(E921,"/","")))) + 1</f>
        <v>1</v>
      </c>
    </row>
    <row r="922" spans="1:6" hidden="1">
      <c r="A922" t="s">
        <v>6009</v>
      </c>
      <c r="B922">
        <v>915</v>
      </c>
      <c r="C922" t="s">
        <v>6007</v>
      </c>
      <c r="D922" t="s">
        <v>6008</v>
      </c>
      <c r="E922" t="s">
        <v>3263</v>
      </c>
      <c r="F922">
        <f>SUMPRODUCT((LEN(E922)-LEN(SUBSTITUTE(E922,"/","")))) + 1</f>
        <v>1</v>
      </c>
    </row>
    <row r="923" spans="1:6" hidden="1">
      <c r="A923" t="s">
        <v>6012</v>
      </c>
      <c r="B923">
        <v>314</v>
      </c>
      <c r="C923" t="s">
        <v>6010</v>
      </c>
      <c r="D923" t="s">
        <v>6011</v>
      </c>
      <c r="E923" t="s">
        <v>109</v>
      </c>
      <c r="F923">
        <f>SUMPRODUCT((LEN(E923)-LEN(SUBSTITUTE(E923,"/","")))) + 1</f>
        <v>1</v>
      </c>
    </row>
    <row r="924" spans="1:6" hidden="1">
      <c r="A924" t="s">
        <v>6015</v>
      </c>
      <c r="B924">
        <v>191</v>
      </c>
      <c r="C924" t="s">
        <v>6013</v>
      </c>
      <c r="D924" t="s">
        <v>6014</v>
      </c>
      <c r="E924" t="s">
        <v>1538</v>
      </c>
      <c r="F924">
        <f>SUMPRODUCT((LEN(E924)-LEN(SUBSTITUTE(E924,"/","")))) + 1</f>
        <v>1</v>
      </c>
    </row>
  </sheetData>
  <autoFilter ref="A1:F924" xr:uid="{30F87655-CFDD-B548-B8EC-8CAFA624C084}">
    <filterColumn colId="4">
      <customFilters>
        <customFilter val="*T11*"/>
      </customFilters>
    </filterColumn>
    <sortState ref="A128:F915">
      <sortCondition ref="A1:A92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6"/>
  <dimension ref="A1:L39"/>
  <sheetViews>
    <sheetView zoomScale="111" workbookViewId="0">
      <selection activeCell="M11" sqref="M11"/>
    </sheetView>
  </sheetViews>
  <sheetFormatPr baseColWidth="10" defaultRowHeight="13"/>
  <cols>
    <col min="1" max="1" width="6.5" bestFit="1" customWidth="1"/>
    <col min="2" max="2" width="2.5" bestFit="1" customWidth="1"/>
    <col min="3" max="5" width="5" bestFit="1" customWidth="1"/>
    <col min="6" max="6" width="2" bestFit="1" customWidth="1"/>
    <col min="7" max="7" width="3" bestFit="1" customWidth="1"/>
    <col min="9" max="10" width="3" bestFit="1" customWidth="1"/>
    <col min="11" max="11" width="12.33203125" bestFit="1" customWidth="1"/>
    <col min="12" max="12" width="10.1640625" bestFit="1" customWidth="1"/>
  </cols>
  <sheetData>
    <row r="1" spans="1:12">
      <c r="A1" t="s">
        <v>115</v>
      </c>
      <c r="B1" t="s">
        <v>321</v>
      </c>
      <c r="C1">
        <f>MATCH(A1,list!B:B,0)</f>
        <v>2</v>
      </c>
      <c r="D1">
        <f>C2-1</f>
        <v>26</v>
      </c>
      <c r="E1">
        <f>ROUND(K1,2)</f>
        <v>1.44</v>
      </c>
      <c r="F1">
        <v>7</v>
      </c>
      <c r="G1">
        <v>10</v>
      </c>
      <c r="I1">
        <v>25</v>
      </c>
      <c r="J1">
        <v>36</v>
      </c>
      <c r="K1">
        <f>J1/I1</f>
        <v>1.44</v>
      </c>
      <c r="L1" t="s">
        <v>1230</v>
      </c>
    </row>
    <row r="2" spans="1:12">
      <c r="A2" t="s">
        <v>116</v>
      </c>
      <c r="B2" t="s">
        <v>321</v>
      </c>
      <c r="C2">
        <f>MATCH(A2,list!B:B,0)</f>
        <v>27</v>
      </c>
      <c r="D2">
        <f t="shared" ref="D2:D38" si="0">C3-1</f>
        <v>52</v>
      </c>
      <c r="E2">
        <f t="shared" ref="E2:E39" si="1">ROUND(K2,2)</f>
        <v>1.32</v>
      </c>
      <c r="F2">
        <v>7</v>
      </c>
      <c r="G2">
        <v>10</v>
      </c>
      <c r="I2">
        <v>25</v>
      </c>
      <c r="J2">
        <v>33</v>
      </c>
      <c r="K2">
        <f>J2/I2</f>
        <v>1.32</v>
      </c>
      <c r="L2" t="s">
        <v>1230</v>
      </c>
    </row>
    <row r="3" spans="1:12">
      <c r="A3" t="s">
        <v>109</v>
      </c>
      <c r="B3" t="s">
        <v>321</v>
      </c>
      <c r="C3">
        <f>MATCH(A3,list!B:B,0)</f>
        <v>53</v>
      </c>
      <c r="D3">
        <f t="shared" si="0"/>
        <v>78</v>
      </c>
      <c r="E3">
        <f t="shared" si="1"/>
        <v>1.24</v>
      </c>
      <c r="F3">
        <v>7</v>
      </c>
      <c r="G3">
        <v>10</v>
      </c>
      <c r="I3">
        <v>25</v>
      </c>
      <c r="J3">
        <v>31</v>
      </c>
      <c r="K3">
        <f t="shared" ref="K3:K39" si="2">J3/I3</f>
        <v>1.24</v>
      </c>
      <c r="L3" t="s">
        <v>1230</v>
      </c>
    </row>
    <row r="4" spans="1:12">
      <c r="A4" t="s">
        <v>142</v>
      </c>
      <c r="B4" t="s">
        <v>321</v>
      </c>
      <c r="C4">
        <f>MATCH(A4,list!B:B,0)</f>
        <v>79</v>
      </c>
      <c r="D4">
        <f t="shared" si="0"/>
        <v>82</v>
      </c>
      <c r="E4">
        <f t="shared" si="1"/>
        <v>1</v>
      </c>
      <c r="F4">
        <v>7</v>
      </c>
      <c r="G4">
        <v>10</v>
      </c>
      <c r="I4">
        <v>4</v>
      </c>
      <c r="J4">
        <v>4</v>
      </c>
      <c r="K4">
        <f t="shared" si="2"/>
        <v>1</v>
      </c>
      <c r="L4" t="s">
        <v>1230</v>
      </c>
    </row>
    <row r="5" spans="1:12">
      <c r="A5" t="s">
        <v>111</v>
      </c>
      <c r="B5" t="s">
        <v>321</v>
      </c>
      <c r="C5">
        <f>MATCH(A5,list!B:B,0)</f>
        <v>83</v>
      </c>
      <c r="D5">
        <f t="shared" si="0"/>
        <v>109</v>
      </c>
      <c r="E5">
        <f t="shared" si="1"/>
        <v>1.07</v>
      </c>
      <c r="F5">
        <v>7</v>
      </c>
      <c r="G5">
        <v>10</v>
      </c>
      <c r="I5">
        <v>27</v>
      </c>
      <c r="J5">
        <v>29</v>
      </c>
      <c r="K5">
        <f t="shared" si="2"/>
        <v>1.0740740740740742</v>
      </c>
      <c r="L5" t="s">
        <v>1230</v>
      </c>
    </row>
    <row r="6" spans="1:12">
      <c r="A6" t="s">
        <v>219</v>
      </c>
      <c r="B6" t="s">
        <v>321</v>
      </c>
      <c r="C6">
        <f>MATCH(A6,list!B:B,0)</f>
        <v>110</v>
      </c>
      <c r="D6">
        <f t="shared" si="0"/>
        <v>131</v>
      </c>
      <c r="E6">
        <f t="shared" si="1"/>
        <v>1.55</v>
      </c>
      <c r="F6">
        <v>7</v>
      </c>
      <c r="G6">
        <v>10</v>
      </c>
      <c r="I6">
        <v>22</v>
      </c>
      <c r="J6">
        <v>34</v>
      </c>
      <c r="K6">
        <f t="shared" si="2"/>
        <v>1.5454545454545454</v>
      </c>
      <c r="L6" t="s">
        <v>1230</v>
      </c>
    </row>
    <row r="7" spans="1:12">
      <c r="A7" t="s">
        <v>196</v>
      </c>
      <c r="B7" t="s">
        <v>321</v>
      </c>
      <c r="C7">
        <f>MATCH(A7,list!B:B,0)</f>
        <v>132</v>
      </c>
      <c r="D7">
        <f t="shared" si="0"/>
        <v>159</v>
      </c>
      <c r="E7">
        <f t="shared" si="1"/>
        <v>1.1100000000000001</v>
      </c>
      <c r="F7">
        <v>7</v>
      </c>
      <c r="G7">
        <v>10</v>
      </c>
      <c r="I7">
        <v>28</v>
      </c>
      <c r="J7">
        <v>31</v>
      </c>
      <c r="K7">
        <f t="shared" si="2"/>
        <v>1.1071428571428572</v>
      </c>
      <c r="L7" t="s">
        <v>1230</v>
      </c>
    </row>
    <row r="8" spans="1:12">
      <c r="A8" t="s">
        <v>74</v>
      </c>
      <c r="B8" t="s">
        <v>1034</v>
      </c>
      <c r="C8">
        <f>MATCH(A8,list!B:B,0)</f>
        <v>160</v>
      </c>
      <c r="D8">
        <f t="shared" si="0"/>
        <v>197</v>
      </c>
      <c r="E8">
        <f t="shared" si="1"/>
        <v>1.42</v>
      </c>
      <c r="F8">
        <v>7</v>
      </c>
      <c r="G8">
        <v>10</v>
      </c>
      <c r="I8">
        <v>33</v>
      </c>
      <c r="J8">
        <v>47</v>
      </c>
      <c r="K8">
        <f t="shared" si="2"/>
        <v>1.4242424242424243</v>
      </c>
      <c r="L8" t="s">
        <v>1231</v>
      </c>
    </row>
    <row r="9" spans="1:12">
      <c r="A9" t="s">
        <v>344</v>
      </c>
      <c r="B9" t="s">
        <v>1034</v>
      </c>
      <c r="C9">
        <f>MATCH(A9,list!B:B,0)</f>
        <v>198</v>
      </c>
      <c r="D9">
        <f t="shared" si="0"/>
        <v>205</v>
      </c>
      <c r="E9">
        <f t="shared" si="1"/>
        <v>1.5</v>
      </c>
      <c r="F9">
        <v>7</v>
      </c>
      <c r="G9">
        <v>10</v>
      </c>
      <c r="I9">
        <v>6</v>
      </c>
      <c r="J9">
        <v>9</v>
      </c>
      <c r="K9">
        <f t="shared" si="2"/>
        <v>1.5</v>
      </c>
      <c r="L9" t="s">
        <v>1231</v>
      </c>
    </row>
    <row r="10" spans="1:12">
      <c r="A10" t="s">
        <v>220</v>
      </c>
      <c r="B10" t="s">
        <v>321</v>
      </c>
      <c r="C10">
        <f>MATCH(A10,list!B:B,0)</f>
        <v>206</v>
      </c>
      <c r="D10">
        <f t="shared" si="0"/>
        <v>243</v>
      </c>
      <c r="E10">
        <f t="shared" si="1"/>
        <v>1.37</v>
      </c>
      <c r="F10">
        <v>7</v>
      </c>
      <c r="G10">
        <v>10</v>
      </c>
      <c r="I10">
        <v>38</v>
      </c>
      <c r="J10">
        <v>52</v>
      </c>
      <c r="K10">
        <f t="shared" si="2"/>
        <v>1.368421052631579</v>
      </c>
      <c r="L10" t="s">
        <v>1230</v>
      </c>
    </row>
    <row r="11" spans="1:12">
      <c r="A11" t="s">
        <v>71</v>
      </c>
      <c r="B11" t="s">
        <v>321</v>
      </c>
      <c r="C11">
        <f>MATCH(A11,list!B:B,0)</f>
        <v>244</v>
      </c>
      <c r="D11">
        <f t="shared" si="0"/>
        <v>280</v>
      </c>
      <c r="E11">
        <f t="shared" si="1"/>
        <v>1.41</v>
      </c>
      <c r="F11">
        <v>7</v>
      </c>
      <c r="G11">
        <v>10</v>
      </c>
      <c r="I11">
        <v>37</v>
      </c>
      <c r="J11">
        <v>52</v>
      </c>
      <c r="K11">
        <f t="shared" si="2"/>
        <v>1.4054054054054055</v>
      </c>
      <c r="L11" t="s">
        <v>1230</v>
      </c>
    </row>
    <row r="12" spans="1:12">
      <c r="A12" t="s">
        <v>195</v>
      </c>
      <c r="B12" t="s">
        <v>1034</v>
      </c>
      <c r="C12">
        <f>MATCH(A12,list!B:B,0)</f>
        <v>281</v>
      </c>
      <c r="D12">
        <f t="shared" si="0"/>
        <v>303</v>
      </c>
      <c r="E12">
        <f t="shared" si="1"/>
        <v>1.47</v>
      </c>
      <c r="F12">
        <v>7</v>
      </c>
      <c r="G12">
        <v>10</v>
      </c>
      <c r="I12">
        <v>19</v>
      </c>
      <c r="J12">
        <v>28</v>
      </c>
      <c r="K12">
        <f t="shared" si="2"/>
        <v>1.4736842105263157</v>
      </c>
      <c r="L12" t="s">
        <v>1231</v>
      </c>
    </row>
    <row r="13" spans="1:12">
      <c r="A13" t="s">
        <v>76</v>
      </c>
      <c r="B13" t="s">
        <v>321</v>
      </c>
      <c r="C13">
        <f>MATCH(A13,list!B:B,0)</f>
        <v>304</v>
      </c>
      <c r="D13">
        <f t="shared" si="0"/>
        <v>316</v>
      </c>
      <c r="E13">
        <f t="shared" si="1"/>
        <v>1.1499999999999999</v>
      </c>
      <c r="F13">
        <v>7</v>
      </c>
      <c r="G13">
        <v>10</v>
      </c>
      <c r="I13">
        <v>13</v>
      </c>
      <c r="J13">
        <v>15</v>
      </c>
      <c r="K13">
        <f t="shared" si="2"/>
        <v>1.1538461538461537</v>
      </c>
      <c r="L13" t="s">
        <v>1230</v>
      </c>
    </row>
    <row r="14" spans="1:12">
      <c r="A14" t="s">
        <v>110</v>
      </c>
      <c r="B14" t="s">
        <v>321</v>
      </c>
      <c r="C14">
        <f>MATCH(A14,list!B:B,0)</f>
        <v>317</v>
      </c>
      <c r="D14">
        <f t="shared" si="0"/>
        <v>345</v>
      </c>
      <c r="E14">
        <f t="shared" si="1"/>
        <v>1.31</v>
      </c>
      <c r="F14">
        <v>7</v>
      </c>
      <c r="G14">
        <v>10</v>
      </c>
      <c r="I14">
        <v>29</v>
      </c>
      <c r="J14">
        <v>38</v>
      </c>
      <c r="K14">
        <f t="shared" si="2"/>
        <v>1.3103448275862069</v>
      </c>
      <c r="L14" t="s">
        <v>1230</v>
      </c>
    </row>
    <row r="15" spans="1:12">
      <c r="A15" t="s">
        <v>72</v>
      </c>
      <c r="B15" t="s">
        <v>1034</v>
      </c>
      <c r="C15">
        <f>MATCH(A15,list!B:B,0)</f>
        <v>346</v>
      </c>
      <c r="D15">
        <f t="shared" si="0"/>
        <v>377</v>
      </c>
      <c r="E15">
        <f t="shared" si="1"/>
        <v>1.56</v>
      </c>
      <c r="F15">
        <v>7</v>
      </c>
      <c r="G15">
        <v>10</v>
      </c>
      <c r="I15">
        <v>25</v>
      </c>
      <c r="J15">
        <v>39</v>
      </c>
      <c r="K15">
        <f t="shared" si="2"/>
        <v>1.56</v>
      </c>
      <c r="L15" t="s">
        <v>1231</v>
      </c>
    </row>
    <row r="16" spans="1:12">
      <c r="A16" t="s">
        <v>248</v>
      </c>
      <c r="B16" t="s">
        <v>321</v>
      </c>
      <c r="C16">
        <f>MATCH(A16,list!B:B,0)</f>
        <v>378</v>
      </c>
      <c r="D16">
        <f t="shared" si="0"/>
        <v>386</v>
      </c>
      <c r="E16">
        <f t="shared" si="1"/>
        <v>1.67</v>
      </c>
      <c r="F16">
        <v>7</v>
      </c>
      <c r="G16">
        <v>10</v>
      </c>
      <c r="I16">
        <v>9</v>
      </c>
      <c r="J16">
        <v>15</v>
      </c>
      <c r="K16">
        <f t="shared" si="2"/>
        <v>1.6666666666666667</v>
      </c>
      <c r="L16" t="s">
        <v>1230</v>
      </c>
    </row>
    <row r="17" spans="1:12">
      <c r="A17" t="s">
        <v>557</v>
      </c>
      <c r="B17" t="s">
        <v>1034</v>
      </c>
      <c r="C17">
        <f>MATCH(A17,list!B:B,0)</f>
        <v>387</v>
      </c>
      <c r="D17">
        <f t="shared" si="0"/>
        <v>432</v>
      </c>
      <c r="E17">
        <f t="shared" si="1"/>
        <v>2.9</v>
      </c>
      <c r="F17">
        <v>7</v>
      </c>
      <c r="G17">
        <v>10</v>
      </c>
      <c r="K17">
        <f>'calc weights'!E7</f>
        <v>2.896551724137931</v>
      </c>
      <c r="L17" t="s">
        <v>1544</v>
      </c>
    </row>
    <row r="18" spans="1:12">
      <c r="A18" t="s">
        <v>571</v>
      </c>
      <c r="B18" t="s">
        <v>1034</v>
      </c>
      <c r="C18">
        <f>MATCH(A18,list!B:B,0)</f>
        <v>433</v>
      </c>
      <c r="D18">
        <f t="shared" si="0"/>
        <v>479</v>
      </c>
      <c r="E18">
        <f t="shared" si="1"/>
        <v>2.48</v>
      </c>
      <c r="F18">
        <v>7</v>
      </c>
      <c r="G18">
        <v>10</v>
      </c>
      <c r="K18">
        <f>'calc weights'!E16</f>
        <v>2.4848484848484849</v>
      </c>
      <c r="L18" t="s">
        <v>1544</v>
      </c>
    </row>
    <row r="19" spans="1:12">
      <c r="A19" t="s">
        <v>569</v>
      </c>
      <c r="B19" t="s">
        <v>1034</v>
      </c>
      <c r="C19">
        <f>MATCH(A19,list!B:B,0)</f>
        <v>480</v>
      </c>
      <c r="D19">
        <f t="shared" si="0"/>
        <v>563</v>
      </c>
      <c r="E19">
        <f t="shared" si="1"/>
        <v>3.29</v>
      </c>
      <c r="F19">
        <v>7</v>
      </c>
      <c r="G19">
        <v>10</v>
      </c>
      <c r="K19">
        <f>'calc weights'!E24</f>
        <v>3.2884615384615383</v>
      </c>
      <c r="L19" t="s">
        <v>1544</v>
      </c>
    </row>
    <row r="20" spans="1:12">
      <c r="A20" t="s">
        <v>666</v>
      </c>
      <c r="B20" t="s">
        <v>1034</v>
      </c>
      <c r="C20">
        <f>MATCH(A20,list!B:B,0)</f>
        <v>564</v>
      </c>
      <c r="D20">
        <f t="shared" si="0"/>
        <v>622</v>
      </c>
      <c r="E20">
        <f t="shared" si="1"/>
        <v>4</v>
      </c>
      <c r="F20">
        <v>7</v>
      </c>
      <c r="G20">
        <v>10</v>
      </c>
      <c r="K20">
        <f>'calc weights'!E34</f>
        <v>4</v>
      </c>
      <c r="L20" t="s">
        <v>1544</v>
      </c>
    </row>
    <row r="21" spans="1:12">
      <c r="A21" t="s">
        <v>558</v>
      </c>
      <c r="B21" t="s">
        <v>1034</v>
      </c>
      <c r="C21">
        <f>MATCH(A21,list!B:B,0)</f>
        <v>623</v>
      </c>
      <c r="D21">
        <f t="shared" si="0"/>
        <v>644</v>
      </c>
      <c r="E21">
        <f t="shared" si="1"/>
        <v>3.86</v>
      </c>
      <c r="F21">
        <v>7</v>
      </c>
      <c r="G21">
        <v>10</v>
      </c>
      <c r="K21">
        <f>'calc weights'!E40</f>
        <v>3.8571428571428572</v>
      </c>
      <c r="L21" t="s">
        <v>1544</v>
      </c>
    </row>
    <row r="22" spans="1:12">
      <c r="A22" t="s">
        <v>213</v>
      </c>
      <c r="B22" t="s">
        <v>321</v>
      </c>
      <c r="C22">
        <f>MATCH(A22,list!B:B,0)</f>
        <v>645</v>
      </c>
      <c r="D22">
        <f t="shared" si="0"/>
        <v>680</v>
      </c>
      <c r="E22">
        <f t="shared" si="1"/>
        <v>1.78</v>
      </c>
      <c r="F22">
        <v>7</v>
      </c>
      <c r="G22">
        <v>10</v>
      </c>
      <c r="I22">
        <v>36</v>
      </c>
      <c r="J22">
        <v>64</v>
      </c>
      <c r="K22">
        <f t="shared" si="2"/>
        <v>1.7777777777777777</v>
      </c>
      <c r="L22" t="s">
        <v>1230</v>
      </c>
    </row>
    <row r="23" spans="1:12">
      <c r="A23" t="s">
        <v>661</v>
      </c>
      <c r="B23" t="s">
        <v>321</v>
      </c>
      <c r="C23">
        <f>MATCH(A23,list!B:B,0)</f>
        <v>681</v>
      </c>
      <c r="D23">
        <f t="shared" si="0"/>
        <v>704</v>
      </c>
      <c r="E23">
        <f t="shared" si="1"/>
        <v>1.88</v>
      </c>
      <c r="F23">
        <v>7</v>
      </c>
      <c r="G23">
        <v>10</v>
      </c>
      <c r="I23">
        <v>24</v>
      </c>
      <c r="J23">
        <v>45</v>
      </c>
      <c r="K23">
        <f t="shared" si="2"/>
        <v>1.875</v>
      </c>
      <c r="L23" t="s">
        <v>1230</v>
      </c>
    </row>
    <row r="24" spans="1:12">
      <c r="A24" t="s">
        <v>198</v>
      </c>
      <c r="B24" t="s">
        <v>321</v>
      </c>
      <c r="C24">
        <f>MATCH(A24,list!B:B,0)</f>
        <v>705</v>
      </c>
      <c r="D24">
        <f t="shared" si="0"/>
        <v>729</v>
      </c>
      <c r="E24">
        <f t="shared" si="1"/>
        <v>1.48</v>
      </c>
      <c r="F24">
        <v>7</v>
      </c>
      <c r="G24">
        <v>10</v>
      </c>
      <c r="I24">
        <v>25</v>
      </c>
      <c r="J24">
        <v>37</v>
      </c>
      <c r="K24">
        <f t="shared" si="2"/>
        <v>1.48</v>
      </c>
      <c r="L24" t="s">
        <v>1231</v>
      </c>
    </row>
    <row r="25" spans="1:12">
      <c r="A25" t="s">
        <v>143</v>
      </c>
      <c r="B25" t="s">
        <v>321</v>
      </c>
      <c r="C25">
        <f>MATCH(A25,list!B:B,0)</f>
        <v>730</v>
      </c>
      <c r="D25">
        <f t="shared" si="0"/>
        <v>755</v>
      </c>
      <c r="E25">
        <f t="shared" si="1"/>
        <v>1.92</v>
      </c>
      <c r="F25">
        <v>7</v>
      </c>
      <c r="G25">
        <v>10</v>
      </c>
      <c r="I25">
        <v>25</v>
      </c>
      <c r="J25">
        <v>48</v>
      </c>
      <c r="K25">
        <f t="shared" si="2"/>
        <v>1.92</v>
      </c>
      <c r="L25" t="s">
        <v>1231</v>
      </c>
    </row>
    <row r="26" spans="1:12">
      <c r="A26" t="s">
        <v>745</v>
      </c>
      <c r="B26" t="s">
        <v>321</v>
      </c>
      <c r="C26">
        <f>MATCH(A26,list!B:B,0)</f>
        <v>756</v>
      </c>
      <c r="D26">
        <f t="shared" si="0"/>
        <v>766</v>
      </c>
      <c r="E26">
        <f t="shared" si="1"/>
        <v>1.82</v>
      </c>
      <c r="F26">
        <v>7</v>
      </c>
      <c r="G26">
        <v>10</v>
      </c>
      <c r="I26">
        <v>11</v>
      </c>
      <c r="J26">
        <v>20</v>
      </c>
      <c r="K26">
        <f t="shared" si="2"/>
        <v>1.8181818181818181</v>
      </c>
      <c r="L26" t="s">
        <v>1230</v>
      </c>
    </row>
    <row r="27" spans="1:12">
      <c r="A27" t="s">
        <v>523</v>
      </c>
      <c r="B27" t="s">
        <v>321</v>
      </c>
      <c r="C27">
        <f>MATCH(A27,list!B:B,0)</f>
        <v>767</v>
      </c>
      <c r="D27">
        <f t="shared" si="0"/>
        <v>782</v>
      </c>
      <c r="E27">
        <f t="shared" si="1"/>
        <v>1.38</v>
      </c>
      <c r="F27">
        <v>7</v>
      </c>
      <c r="G27">
        <v>10</v>
      </c>
      <c r="I27">
        <v>16</v>
      </c>
      <c r="J27">
        <v>22</v>
      </c>
      <c r="K27">
        <f t="shared" si="2"/>
        <v>1.375</v>
      </c>
      <c r="L27" t="s">
        <v>1230</v>
      </c>
    </row>
    <row r="28" spans="1:12">
      <c r="A28" t="s">
        <v>521</v>
      </c>
      <c r="B28" t="s">
        <v>321</v>
      </c>
      <c r="C28">
        <f>MATCH(A28,list!B:B,0)</f>
        <v>783</v>
      </c>
      <c r="D28">
        <f t="shared" si="0"/>
        <v>803</v>
      </c>
      <c r="E28">
        <f t="shared" si="1"/>
        <v>1.9</v>
      </c>
      <c r="F28">
        <v>7</v>
      </c>
      <c r="G28">
        <v>10</v>
      </c>
      <c r="I28">
        <v>21</v>
      </c>
      <c r="J28">
        <v>40</v>
      </c>
      <c r="K28">
        <f t="shared" si="2"/>
        <v>1.9047619047619047</v>
      </c>
      <c r="L28" t="s">
        <v>1230</v>
      </c>
    </row>
    <row r="29" spans="1:12">
      <c r="A29" t="s">
        <v>317</v>
      </c>
      <c r="B29" t="s">
        <v>321</v>
      </c>
      <c r="C29">
        <f>MATCH(A29,list!B:B,0)</f>
        <v>804</v>
      </c>
      <c r="D29">
        <f t="shared" si="0"/>
        <v>821</v>
      </c>
      <c r="E29">
        <f t="shared" si="1"/>
        <v>1.72</v>
      </c>
      <c r="F29">
        <v>7</v>
      </c>
      <c r="G29">
        <v>10</v>
      </c>
      <c r="I29">
        <v>18</v>
      </c>
      <c r="J29">
        <v>31</v>
      </c>
      <c r="K29">
        <f t="shared" si="2"/>
        <v>1.7222222222222223</v>
      </c>
      <c r="L29" t="s">
        <v>1230</v>
      </c>
    </row>
    <row r="30" spans="1:12">
      <c r="A30" t="s">
        <v>519</v>
      </c>
      <c r="B30" t="s">
        <v>1034</v>
      </c>
      <c r="C30">
        <f>MATCH(A30,list!B:B,0)</f>
        <v>822</v>
      </c>
      <c r="D30">
        <f t="shared" si="0"/>
        <v>838</v>
      </c>
      <c r="E30">
        <f t="shared" si="1"/>
        <v>2</v>
      </c>
      <c r="F30">
        <v>7</v>
      </c>
      <c r="G30">
        <v>10</v>
      </c>
      <c r="K30">
        <f>'calc weights'!E46</f>
        <v>2</v>
      </c>
      <c r="L30" t="s">
        <v>1544</v>
      </c>
    </row>
    <row r="31" spans="1:12">
      <c r="A31" t="s">
        <v>563</v>
      </c>
      <c r="B31" t="s">
        <v>321</v>
      </c>
      <c r="C31">
        <f>MATCH(A31,list!B:B,0)</f>
        <v>839</v>
      </c>
      <c r="D31">
        <f t="shared" si="0"/>
        <v>845</v>
      </c>
      <c r="E31">
        <f t="shared" si="1"/>
        <v>2.14</v>
      </c>
      <c r="F31">
        <v>7</v>
      </c>
      <c r="G31">
        <v>10</v>
      </c>
      <c r="I31">
        <v>7</v>
      </c>
      <c r="J31">
        <v>15</v>
      </c>
      <c r="K31">
        <f t="shared" si="2"/>
        <v>2.1428571428571428</v>
      </c>
      <c r="L31" t="s">
        <v>1230</v>
      </c>
    </row>
    <row r="32" spans="1:12">
      <c r="A32" t="s">
        <v>653</v>
      </c>
      <c r="B32" t="s">
        <v>1034</v>
      </c>
      <c r="C32">
        <f>MATCH(A32,list!B:B,0)</f>
        <v>846</v>
      </c>
      <c r="D32">
        <f t="shared" si="0"/>
        <v>895</v>
      </c>
      <c r="E32">
        <f t="shared" si="1"/>
        <v>3.15</v>
      </c>
      <c r="F32">
        <v>7</v>
      </c>
      <c r="G32">
        <v>10</v>
      </c>
      <c r="K32">
        <f>'calc weights'!E54</f>
        <v>3.1515151515151514</v>
      </c>
      <c r="L32" t="s">
        <v>1544</v>
      </c>
    </row>
    <row r="33" spans="1:12">
      <c r="A33" t="s">
        <v>547</v>
      </c>
      <c r="B33" t="s">
        <v>1034</v>
      </c>
      <c r="C33">
        <f>MATCH(A33,list!B:B,0)</f>
        <v>896</v>
      </c>
      <c r="D33">
        <f t="shared" si="0"/>
        <v>947</v>
      </c>
      <c r="E33">
        <f t="shared" si="1"/>
        <v>4.16</v>
      </c>
      <c r="F33">
        <v>7</v>
      </c>
      <c r="G33">
        <v>10</v>
      </c>
      <c r="K33">
        <f>'calc weights'!E62</f>
        <v>4.1627906976744189</v>
      </c>
      <c r="L33" t="s">
        <v>1544</v>
      </c>
    </row>
    <row r="34" spans="1:12">
      <c r="A34" t="s">
        <v>561</v>
      </c>
      <c r="B34" t="s">
        <v>321</v>
      </c>
      <c r="C34">
        <f>MATCH(A34,list!B:B,0)</f>
        <v>948</v>
      </c>
      <c r="D34">
        <f t="shared" si="0"/>
        <v>957</v>
      </c>
      <c r="E34">
        <f t="shared" si="1"/>
        <v>5.3</v>
      </c>
      <c r="F34">
        <v>7</v>
      </c>
      <c r="G34">
        <v>10</v>
      </c>
      <c r="I34">
        <v>10</v>
      </c>
      <c r="J34">
        <v>53</v>
      </c>
      <c r="K34">
        <f>J34/I34</f>
        <v>5.3</v>
      </c>
      <c r="L34" t="s">
        <v>1232</v>
      </c>
    </row>
    <row r="35" spans="1:12">
      <c r="A35" t="s">
        <v>545</v>
      </c>
      <c r="B35" t="s">
        <v>1034</v>
      </c>
      <c r="C35">
        <f>MATCH(A35,list!B:B,0)</f>
        <v>958</v>
      </c>
      <c r="D35">
        <f t="shared" si="0"/>
        <v>997</v>
      </c>
      <c r="E35">
        <f t="shared" si="1"/>
        <v>3.21</v>
      </c>
      <c r="F35">
        <v>7</v>
      </c>
      <c r="G35">
        <v>10</v>
      </c>
      <c r="K35">
        <f>'calc weights'!E69</f>
        <v>3.2058823529411766</v>
      </c>
      <c r="L35" t="s">
        <v>1544</v>
      </c>
    </row>
    <row r="36" spans="1:12">
      <c r="A36" t="s">
        <v>246</v>
      </c>
      <c r="B36" t="s">
        <v>1034</v>
      </c>
      <c r="C36">
        <f>MATCH(A36,list!B:B,0)</f>
        <v>998</v>
      </c>
      <c r="D36">
        <f t="shared" si="0"/>
        <v>1032</v>
      </c>
      <c r="E36">
        <f t="shared" si="1"/>
        <v>4.76</v>
      </c>
      <c r="F36">
        <v>7</v>
      </c>
      <c r="G36">
        <v>10</v>
      </c>
      <c r="K36">
        <f>'calc weights'!E76</f>
        <v>4.7555555555555555</v>
      </c>
      <c r="L36" t="s">
        <v>1544</v>
      </c>
    </row>
    <row r="37" spans="1:12">
      <c r="A37" t="s">
        <v>746</v>
      </c>
      <c r="B37" t="s">
        <v>1034</v>
      </c>
      <c r="C37">
        <f>MATCH(A37,list!B:B,0)</f>
        <v>1033</v>
      </c>
      <c r="D37">
        <f t="shared" si="0"/>
        <v>1076</v>
      </c>
      <c r="E37">
        <f t="shared" si="1"/>
        <v>8.7799999999999994</v>
      </c>
      <c r="F37">
        <v>7</v>
      </c>
      <c r="G37">
        <v>10</v>
      </c>
      <c r="K37">
        <f>'calc weights'!E84</f>
        <v>8.7777777777777786</v>
      </c>
      <c r="L37" t="s">
        <v>1544</v>
      </c>
    </row>
    <row r="38" spans="1:12">
      <c r="A38" t="s">
        <v>722</v>
      </c>
      <c r="B38" t="s">
        <v>1034</v>
      </c>
      <c r="C38">
        <f>MATCH(A38,list!B:B,0)</f>
        <v>1077</v>
      </c>
      <c r="D38">
        <f t="shared" si="0"/>
        <v>1101</v>
      </c>
      <c r="E38">
        <f t="shared" si="1"/>
        <v>8.56</v>
      </c>
      <c r="F38">
        <v>7</v>
      </c>
      <c r="G38">
        <v>10</v>
      </c>
      <c r="K38">
        <f>'calc weights'!E91</f>
        <v>8.5555555555555554</v>
      </c>
      <c r="L38" t="s">
        <v>1544</v>
      </c>
    </row>
    <row r="39" spans="1:12">
      <c r="A39" t="s">
        <v>1121</v>
      </c>
      <c r="B39" t="s">
        <v>321</v>
      </c>
      <c r="C39">
        <f>MATCH(A39,list!B:B,0)</f>
        <v>1102</v>
      </c>
      <c r="D39">
        <v>1112</v>
      </c>
      <c r="E39">
        <f t="shared" si="1"/>
        <v>3.91</v>
      </c>
      <c r="F39">
        <v>7</v>
      </c>
      <c r="G39">
        <v>10</v>
      </c>
      <c r="I39">
        <v>11</v>
      </c>
      <c r="J39">
        <v>43</v>
      </c>
      <c r="K39">
        <f t="shared" si="2"/>
        <v>3.9090909090909092</v>
      </c>
      <c r="L39" t="s">
        <v>1230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5"/>
  <dimension ref="A1:APU1113"/>
  <sheetViews>
    <sheetView zoomScale="25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6" sqref="G26"/>
    </sheetView>
  </sheetViews>
  <sheetFormatPr baseColWidth="10" defaultColWidth="3.83203125" defaultRowHeight="13"/>
  <cols>
    <col min="1" max="1" width="81.5" style="16" bestFit="1" customWidth="1"/>
    <col min="2" max="2" width="31.6640625" bestFit="1" customWidth="1"/>
    <col min="3" max="3" width="31" bestFit="1" customWidth="1"/>
    <col min="4" max="4" width="21" bestFit="1" customWidth="1"/>
    <col min="5" max="5" width="42.5" bestFit="1" customWidth="1"/>
    <col min="6" max="6" width="40.5" bestFit="1" customWidth="1"/>
    <col min="7" max="7" width="15" bestFit="1" customWidth="1"/>
    <col min="8" max="8" width="31.5" bestFit="1" customWidth="1"/>
    <col min="9" max="9" width="14.5" bestFit="1" customWidth="1"/>
    <col min="10" max="10" width="28.33203125" bestFit="1" customWidth="1"/>
    <col min="11" max="11" width="37.33203125" bestFit="1" customWidth="1"/>
    <col min="12" max="12" width="16" bestFit="1" customWidth="1"/>
    <col min="13" max="13" width="14.5" bestFit="1" customWidth="1"/>
    <col min="14" max="14" width="39.6640625" bestFit="1" customWidth="1"/>
    <col min="15" max="15" width="21.5" bestFit="1" customWidth="1"/>
    <col min="16" max="16" width="14.5" bestFit="1" customWidth="1"/>
    <col min="17" max="17" width="19.6640625" bestFit="1" customWidth="1"/>
    <col min="18" max="18" width="28.1640625" bestFit="1" customWidth="1"/>
    <col min="19" max="19" width="13.83203125" bestFit="1" customWidth="1"/>
    <col min="20" max="20" width="19.5" bestFit="1" customWidth="1"/>
    <col min="21" max="21" width="23" bestFit="1" customWidth="1"/>
    <col min="22" max="22" width="13.1640625" bestFit="1" customWidth="1"/>
    <col min="23" max="23" width="26.5" bestFit="1" customWidth="1"/>
    <col min="24" max="24" width="19.33203125" bestFit="1" customWidth="1"/>
    <col min="25" max="25" width="13.5" bestFit="1" customWidth="1"/>
    <col min="26" max="26" width="29.5" bestFit="1" customWidth="1"/>
    <col min="27" max="27" width="22.83203125" bestFit="1" customWidth="1"/>
    <col min="28" max="28" width="18.83203125" bestFit="1" customWidth="1"/>
    <col min="29" max="29" width="33" bestFit="1" customWidth="1"/>
    <col min="30" max="30" width="13.5" bestFit="1" customWidth="1"/>
    <col min="31" max="31" width="17.6640625" bestFit="1" customWidth="1"/>
    <col min="32" max="32" width="15.83203125" bestFit="1" customWidth="1"/>
    <col min="33" max="33" width="13" bestFit="1" customWidth="1"/>
    <col min="34" max="34" width="12.5" bestFit="1" customWidth="1"/>
    <col min="35" max="35" width="22.5" bestFit="1" customWidth="1"/>
    <col min="36" max="36" width="14.5" bestFit="1" customWidth="1"/>
    <col min="37" max="38" width="13.5" bestFit="1" customWidth="1"/>
    <col min="39" max="39" width="18.5" bestFit="1" customWidth="1"/>
    <col min="40" max="40" width="30.6640625" bestFit="1" customWidth="1"/>
    <col min="41" max="41" width="18.5" bestFit="1" customWidth="1"/>
    <col min="42" max="42" width="16.6640625" bestFit="1" customWidth="1"/>
    <col min="43" max="43" width="12.5" bestFit="1" customWidth="1"/>
    <col min="44" max="44" width="22.5" bestFit="1" customWidth="1"/>
    <col min="45" max="45" width="15.83203125" bestFit="1" customWidth="1"/>
    <col min="46" max="46" width="17.83203125" bestFit="1" customWidth="1"/>
    <col min="47" max="47" width="20.5" bestFit="1" customWidth="1"/>
    <col min="48" max="48" width="21" bestFit="1" customWidth="1"/>
    <col min="49" max="49" width="24.33203125" bestFit="1" customWidth="1"/>
    <col min="50" max="50" width="24.5" bestFit="1" customWidth="1"/>
    <col min="51" max="51" width="12.5" bestFit="1" customWidth="1"/>
    <col min="52" max="52" width="13.1640625" bestFit="1" customWidth="1"/>
    <col min="53" max="53" width="33.5" bestFit="1" customWidth="1"/>
    <col min="54" max="54" width="22.5" bestFit="1" customWidth="1"/>
    <col min="55" max="55" width="21" bestFit="1" customWidth="1"/>
    <col min="56" max="56" width="28.5" bestFit="1" customWidth="1"/>
    <col min="57" max="57" width="29.33203125" bestFit="1" customWidth="1"/>
    <col min="58" max="58" width="14.5" bestFit="1" customWidth="1"/>
    <col min="59" max="59" width="19.6640625" bestFit="1" customWidth="1"/>
    <col min="60" max="60" width="13.5" bestFit="1" customWidth="1"/>
    <col min="61" max="61" width="26.83203125" bestFit="1" customWidth="1"/>
    <col min="62" max="62" width="19.33203125" bestFit="1" customWidth="1"/>
    <col min="63" max="63" width="25" bestFit="1" customWidth="1"/>
    <col min="64" max="64" width="12.1640625" bestFit="1" customWidth="1"/>
    <col min="65" max="65" width="25.5" bestFit="1" customWidth="1"/>
    <col min="66" max="66" width="13.83203125" bestFit="1" customWidth="1"/>
    <col min="67" max="67" width="13.5" bestFit="1" customWidth="1"/>
    <col min="68" max="68" width="29.6640625" bestFit="1" customWidth="1"/>
    <col min="69" max="69" width="22" bestFit="1" customWidth="1"/>
    <col min="70" max="70" width="13.83203125" bestFit="1" customWidth="1"/>
    <col min="71" max="71" width="17.6640625" bestFit="1" customWidth="1"/>
    <col min="72" max="72" width="17.83203125" bestFit="1" customWidth="1"/>
    <col min="73" max="73" width="22.5" bestFit="1" customWidth="1"/>
    <col min="74" max="74" width="21" bestFit="1" customWidth="1"/>
    <col min="75" max="75" width="16.33203125" bestFit="1" customWidth="1"/>
    <col min="76" max="76" width="25.6640625" bestFit="1" customWidth="1"/>
    <col min="77" max="77" width="14" bestFit="1" customWidth="1"/>
    <col min="78" max="78" width="24.5" bestFit="1" customWidth="1"/>
    <col min="79" max="79" width="16.33203125" bestFit="1" customWidth="1"/>
    <col min="80" max="80" width="15.83203125" bestFit="1" customWidth="1"/>
    <col min="81" max="81" width="21" bestFit="1" customWidth="1"/>
    <col min="82" max="82" width="22.5" bestFit="1" customWidth="1"/>
    <col min="83" max="83" width="29.33203125" bestFit="1" customWidth="1"/>
    <col min="84" max="84" width="14.5" bestFit="1" customWidth="1"/>
    <col min="85" max="85" width="32.5" bestFit="1" customWidth="1"/>
    <col min="86" max="86" width="22.5" bestFit="1" customWidth="1"/>
    <col min="87" max="87" width="30.6640625" bestFit="1" customWidth="1"/>
    <col min="88" max="88" width="20.1640625" bestFit="1" customWidth="1"/>
    <col min="89" max="89" width="19.6640625" bestFit="1" customWidth="1"/>
    <col min="90" max="90" width="21.1640625" bestFit="1" customWidth="1"/>
    <col min="91" max="91" width="32.5" bestFit="1" customWidth="1"/>
    <col min="92" max="92" width="29.6640625" bestFit="1" customWidth="1"/>
    <col min="93" max="93" width="21.1640625" bestFit="1" customWidth="1"/>
    <col min="94" max="94" width="17.33203125" bestFit="1" customWidth="1"/>
    <col min="95" max="95" width="14.83203125" bestFit="1" customWidth="1"/>
    <col min="96" max="96" width="10.33203125" bestFit="1" customWidth="1"/>
    <col min="97" max="97" width="19.5" bestFit="1" customWidth="1"/>
    <col min="98" max="98" width="12.83203125" bestFit="1" customWidth="1"/>
    <col min="99" max="99" width="31.5" bestFit="1" customWidth="1"/>
    <col min="100" max="100" width="20.1640625" bestFit="1" customWidth="1"/>
    <col min="101" max="101" width="20.33203125" bestFit="1" customWidth="1"/>
    <col min="102" max="102" width="35.5" bestFit="1" customWidth="1"/>
    <col min="103" max="103" width="12.5" bestFit="1" customWidth="1"/>
    <col min="104" max="104" width="14.83203125" bestFit="1" customWidth="1"/>
    <col min="105" max="105" width="27.33203125" bestFit="1" customWidth="1"/>
    <col min="106" max="106" width="25.83203125" bestFit="1" customWidth="1"/>
    <col min="107" max="107" width="13.5" bestFit="1" customWidth="1"/>
    <col min="108" max="108" width="23.5" bestFit="1" customWidth="1"/>
    <col min="109" max="109" width="29.33203125" bestFit="1" customWidth="1"/>
    <col min="110" max="110" width="71.1640625" bestFit="1" customWidth="1"/>
    <col min="111" max="111" width="46.6640625" bestFit="1" customWidth="1"/>
    <col min="112" max="112" width="23.5" bestFit="1" customWidth="1"/>
    <col min="113" max="113" width="13" bestFit="1" customWidth="1"/>
    <col min="114" max="114" width="43" bestFit="1" customWidth="1"/>
    <col min="115" max="115" width="12.83203125" bestFit="1" customWidth="1"/>
    <col min="116" max="116" width="15.83203125" bestFit="1" customWidth="1"/>
    <col min="117" max="117" width="13.5" bestFit="1" customWidth="1"/>
    <col min="118" max="118" width="17.33203125" bestFit="1" customWidth="1"/>
    <col min="119" max="119" width="20.5" bestFit="1" customWidth="1"/>
    <col min="120" max="120" width="20.1640625" bestFit="1" customWidth="1"/>
    <col min="121" max="121" width="28.5" bestFit="1" customWidth="1"/>
    <col min="122" max="122" width="18.5" bestFit="1" customWidth="1"/>
    <col min="123" max="123" width="18.1640625" bestFit="1" customWidth="1"/>
    <col min="124" max="124" width="22.83203125" bestFit="1" customWidth="1"/>
    <col min="125" max="125" width="23.1640625" bestFit="1" customWidth="1"/>
    <col min="126" max="126" width="15" bestFit="1" customWidth="1"/>
    <col min="127" max="127" width="24.5" bestFit="1" customWidth="1"/>
    <col min="128" max="128" width="24.83203125" bestFit="1" customWidth="1"/>
    <col min="129" max="129" width="20.5" bestFit="1" customWidth="1"/>
    <col min="130" max="130" width="23.1640625" bestFit="1" customWidth="1"/>
    <col min="131" max="131" width="20.6640625" bestFit="1" customWidth="1"/>
    <col min="132" max="132" width="33.83203125" bestFit="1" customWidth="1"/>
    <col min="133" max="133" width="13" bestFit="1" customWidth="1"/>
    <col min="134" max="134" width="17.1640625" bestFit="1" customWidth="1"/>
    <col min="135" max="135" width="17.83203125" bestFit="1" customWidth="1"/>
    <col min="136" max="136" width="13.5" bestFit="1" customWidth="1"/>
    <col min="137" max="137" width="31" bestFit="1" customWidth="1"/>
    <col min="138" max="138" width="14.5" bestFit="1" customWidth="1"/>
    <col min="139" max="139" width="36.6640625" bestFit="1" customWidth="1"/>
    <col min="140" max="140" width="19.1640625" bestFit="1" customWidth="1"/>
    <col min="141" max="141" width="26" bestFit="1" customWidth="1"/>
    <col min="142" max="142" width="15.33203125" bestFit="1" customWidth="1"/>
    <col min="143" max="143" width="35" bestFit="1" customWidth="1"/>
    <col min="144" max="144" width="20.5" bestFit="1" customWidth="1"/>
    <col min="145" max="145" width="14.83203125" bestFit="1" customWidth="1"/>
    <col min="146" max="146" width="27.33203125" bestFit="1" customWidth="1"/>
    <col min="147" max="147" width="22" bestFit="1" customWidth="1"/>
    <col min="148" max="148" width="15.5" bestFit="1" customWidth="1"/>
    <col min="149" max="149" width="17.1640625" bestFit="1" customWidth="1"/>
    <col min="150" max="150" width="20.6640625" bestFit="1" customWidth="1"/>
    <col min="151" max="151" width="17.33203125" bestFit="1" customWidth="1"/>
    <col min="152" max="152" width="18.5" bestFit="1" customWidth="1"/>
    <col min="153" max="153" width="22.83203125" bestFit="1" customWidth="1"/>
    <col min="154" max="154" width="13" bestFit="1" customWidth="1"/>
    <col min="155" max="155" width="19.1640625" bestFit="1" customWidth="1"/>
    <col min="156" max="156" width="18.1640625" bestFit="1" customWidth="1"/>
    <col min="157" max="157" width="14.5" bestFit="1" customWidth="1"/>
    <col min="158" max="158" width="14.33203125" bestFit="1" customWidth="1"/>
    <col min="159" max="159" width="14" bestFit="1" customWidth="1"/>
    <col min="160" max="160" width="35" bestFit="1" customWidth="1"/>
    <col min="161" max="161" width="27.6640625" bestFit="1" customWidth="1"/>
    <col min="162" max="162" width="48.83203125" bestFit="1" customWidth="1"/>
    <col min="163" max="163" width="63.5" bestFit="1" customWidth="1"/>
    <col min="164" max="164" width="24" bestFit="1" customWidth="1"/>
    <col min="165" max="165" width="14.33203125" bestFit="1" customWidth="1"/>
    <col min="166" max="166" width="13.83203125" bestFit="1" customWidth="1"/>
    <col min="167" max="167" width="17.6640625" bestFit="1" customWidth="1"/>
    <col min="168" max="168" width="19.5" bestFit="1" customWidth="1"/>
    <col min="169" max="169" width="24.33203125" bestFit="1" customWidth="1"/>
    <col min="170" max="170" width="20.5" bestFit="1" customWidth="1"/>
    <col min="171" max="171" width="21" bestFit="1" customWidth="1"/>
    <col min="172" max="172" width="13.1640625" bestFit="1" customWidth="1"/>
    <col min="173" max="173" width="18.1640625" bestFit="1" customWidth="1"/>
    <col min="174" max="174" width="38.83203125" bestFit="1" customWidth="1"/>
    <col min="175" max="175" width="13" bestFit="1" customWidth="1"/>
    <col min="176" max="176" width="18.1640625" bestFit="1" customWidth="1"/>
    <col min="177" max="177" width="41" bestFit="1" customWidth="1"/>
    <col min="178" max="178" width="18.1640625" bestFit="1" customWidth="1"/>
    <col min="179" max="179" width="15.6640625" bestFit="1" customWidth="1"/>
    <col min="180" max="180" width="33.5" bestFit="1" customWidth="1"/>
    <col min="181" max="181" width="23" bestFit="1" customWidth="1"/>
    <col min="182" max="182" width="15" bestFit="1" customWidth="1"/>
    <col min="183" max="183" width="61.6640625" bestFit="1" customWidth="1"/>
    <col min="184" max="184" width="28.83203125" bestFit="1" customWidth="1"/>
    <col min="185" max="186" width="20.6640625" bestFit="1" customWidth="1"/>
    <col min="187" max="187" width="14.83203125" bestFit="1" customWidth="1"/>
    <col min="188" max="188" width="24.33203125" bestFit="1" customWidth="1"/>
    <col min="189" max="189" width="26.5" bestFit="1" customWidth="1"/>
    <col min="190" max="190" width="31.1640625" bestFit="1" customWidth="1"/>
    <col min="191" max="191" width="65.33203125" bestFit="1" customWidth="1"/>
    <col min="192" max="192" width="31.5" bestFit="1" customWidth="1"/>
    <col min="193" max="193" width="20.33203125" bestFit="1" customWidth="1"/>
    <col min="194" max="194" width="24.33203125" bestFit="1" customWidth="1"/>
    <col min="195" max="195" width="19.33203125" bestFit="1" customWidth="1"/>
    <col min="196" max="196" width="29.33203125" bestFit="1" customWidth="1"/>
    <col min="197" max="197" width="20" bestFit="1" customWidth="1"/>
    <col min="198" max="198" width="19.5" bestFit="1" customWidth="1"/>
    <col min="199" max="199" width="13.83203125" bestFit="1" customWidth="1"/>
    <col min="200" max="200" width="14.5" bestFit="1" customWidth="1"/>
    <col min="201" max="201" width="25.6640625" bestFit="1" customWidth="1"/>
    <col min="202" max="202" width="16.33203125" bestFit="1" customWidth="1"/>
    <col min="203" max="203" width="14.83203125" bestFit="1" customWidth="1"/>
    <col min="204" max="204" width="24.5" bestFit="1" customWidth="1"/>
    <col min="205" max="205" width="26.33203125" bestFit="1" customWidth="1"/>
    <col min="206" max="206" width="14.33203125" bestFit="1" customWidth="1"/>
    <col min="207" max="207" width="15.83203125" bestFit="1" customWidth="1"/>
    <col min="208" max="208" width="18.33203125" bestFit="1" customWidth="1"/>
    <col min="209" max="210" width="18.83203125" bestFit="1" customWidth="1"/>
    <col min="211" max="211" width="37.1640625" bestFit="1" customWidth="1"/>
    <col min="212" max="212" width="22" bestFit="1" customWidth="1"/>
    <col min="213" max="213" width="26.33203125" bestFit="1" customWidth="1"/>
    <col min="214" max="214" width="16.33203125" bestFit="1" customWidth="1"/>
    <col min="215" max="215" width="17.5" bestFit="1" customWidth="1"/>
    <col min="216" max="216" width="17.83203125" bestFit="1" customWidth="1"/>
    <col min="217" max="217" width="13" bestFit="1" customWidth="1"/>
    <col min="218" max="218" width="26.5" bestFit="1" customWidth="1"/>
    <col min="219" max="219" width="27.33203125" bestFit="1" customWidth="1"/>
    <col min="220" max="220" width="24.33203125" bestFit="1" customWidth="1"/>
    <col min="221" max="221" width="33.5" bestFit="1" customWidth="1"/>
    <col min="222" max="222" width="18.83203125" bestFit="1" customWidth="1"/>
    <col min="223" max="223" width="25.5" bestFit="1" customWidth="1"/>
    <col min="224" max="224" width="36" bestFit="1" customWidth="1"/>
    <col min="225" max="225" width="20.33203125" bestFit="1" customWidth="1"/>
    <col min="226" max="226" width="15.5" bestFit="1" customWidth="1"/>
    <col min="227" max="227" width="20.33203125" bestFit="1" customWidth="1"/>
    <col min="228" max="228" width="29.1640625" bestFit="1" customWidth="1"/>
    <col min="229" max="229" width="24.5" bestFit="1" customWidth="1"/>
    <col min="230" max="230" width="18.83203125" bestFit="1" customWidth="1"/>
    <col min="231" max="231" width="18.5" bestFit="1" customWidth="1"/>
    <col min="232" max="232" width="20.6640625" bestFit="1" customWidth="1"/>
    <col min="233" max="233" width="20" bestFit="1" customWidth="1"/>
    <col min="234" max="234" width="28.5" bestFit="1" customWidth="1"/>
    <col min="235" max="235" width="14.5" bestFit="1" customWidth="1"/>
    <col min="236" max="236" width="27.6640625" bestFit="1" customWidth="1"/>
    <col min="237" max="237" width="45.5" bestFit="1" customWidth="1"/>
    <col min="238" max="238" width="32" bestFit="1" customWidth="1"/>
    <col min="239" max="239" width="41.1640625" bestFit="1" customWidth="1"/>
    <col min="240" max="240" width="48.1640625" bestFit="1" customWidth="1"/>
    <col min="241" max="241" width="27.1640625" bestFit="1" customWidth="1"/>
    <col min="242" max="242" width="42.83203125" bestFit="1" customWidth="1"/>
    <col min="243" max="243" width="21.5" bestFit="1" customWidth="1"/>
    <col min="244" max="244" width="23.5" bestFit="1" customWidth="1"/>
    <col min="245" max="245" width="19.1640625" bestFit="1" customWidth="1"/>
    <col min="246" max="246" width="23.5" bestFit="1" customWidth="1"/>
    <col min="247" max="247" width="49.1640625" bestFit="1" customWidth="1"/>
    <col min="248" max="248" width="17.5" bestFit="1" customWidth="1"/>
    <col min="249" max="249" width="31" bestFit="1" customWidth="1"/>
    <col min="250" max="250" width="30.5" bestFit="1" customWidth="1"/>
    <col min="251" max="251" width="14.83203125" bestFit="1" customWidth="1"/>
    <col min="252" max="252" width="17.33203125" bestFit="1" customWidth="1"/>
    <col min="253" max="253" width="17.6640625" bestFit="1" customWidth="1"/>
    <col min="254" max="254" width="25.5" bestFit="1" customWidth="1"/>
    <col min="255" max="255" width="18.33203125" bestFit="1" customWidth="1"/>
    <col min="256" max="256" width="11.5" bestFit="1" customWidth="1"/>
    <col min="257" max="257" width="24.33203125" bestFit="1" customWidth="1"/>
    <col min="258" max="258" width="30.6640625" bestFit="1" customWidth="1"/>
    <col min="259" max="259" width="32.5" bestFit="1" customWidth="1"/>
    <col min="260" max="260" width="19.33203125" bestFit="1" customWidth="1"/>
    <col min="261" max="261" width="23.1640625" bestFit="1" customWidth="1"/>
    <col min="262" max="262" width="26.6640625" bestFit="1" customWidth="1"/>
    <col min="263" max="263" width="38.83203125" bestFit="1" customWidth="1"/>
    <col min="264" max="264" width="26.83203125" bestFit="1" customWidth="1"/>
    <col min="265" max="265" width="27.83203125" bestFit="1" customWidth="1"/>
    <col min="266" max="266" width="24.5" bestFit="1" customWidth="1"/>
    <col min="267" max="267" width="33.83203125" bestFit="1" customWidth="1"/>
    <col min="268" max="269" width="18.83203125" bestFit="1" customWidth="1"/>
    <col min="270" max="270" width="24" bestFit="1" customWidth="1"/>
    <col min="271" max="271" width="15.6640625" bestFit="1" customWidth="1"/>
    <col min="272" max="272" width="17.6640625" bestFit="1" customWidth="1"/>
    <col min="273" max="273" width="24.5" bestFit="1" customWidth="1"/>
    <col min="274" max="274" width="14.5" bestFit="1" customWidth="1"/>
    <col min="275" max="275" width="17.1640625" bestFit="1" customWidth="1"/>
    <col min="276" max="276" width="19.33203125" bestFit="1" customWidth="1"/>
    <col min="277" max="277" width="27.6640625" bestFit="1" customWidth="1"/>
    <col min="278" max="278" width="20.33203125" bestFit="1" customWidth="1"/>
    <col min="279" max="279" width="25.83203125" bestFit="1" customWidth="1"/>
    <col min="280" max="280" width="28.33203125" bestFit="1" customWidth="1"/>
    <col min="281" max="281" width="41.5" bestFit="1" customWidth="1"/>
    <col min="282" max="282" width="32.5" bestFit="1" customWidth="1"/>
    <col min="283" max="283" width="23.1640625" bestFit="1" customWidth="1"/>
    <col min="284" max="284" width="31" bestFit="1" customWidth="1"/>
    <col min="285" max="285" width="30.5" bestFit="1" customWidth="1"/>
    <col min="286" max="286" width="26" bestFit="1" customWidth="1"/>
    <col min="287" max="287" width="23.5" bestFit="1" customWidth="1"/>
    <col min="288" max="288" width="17.33203125" bestFit="1" customWidth="1"/>
    <col min="289" max="289" width="30" bestFit="1" customWidth="1"/>
    <col min="290" max="290" width="24.5" bestFit="1" customWidth="1"/>
    <col min="291" max="291" width="27.1640625" bestFit="1" customWidth="1"/>
    <col min="292" max="292" width="37.1640625" bestFit="1" customWidth="1"/>
    <col min="293" max="293" width="12.83203125" bestFit="1" customWidth="1"/>
    <col min="294" max="294" width="13.83203125" bestFit="1" customWidth="1"/>
    <col min="295" max="295" width="15" bestFit="1" customWidth="1"/>
    <col min="296" max="296" width="26.5" bestFit="1" customWidth="1"/>
    <col min="297" max="297" width="16.5" bestFit="1" customWidth="1"/>
    <col min="298" max="298" width="14" bestFit="1" customWidth="1"/>
    <col min="299" max="299" width="28.83203125" bestFit="1" customWidth="1"/>
    <col min="300" max="300" width="28.33203125" bestFit="1" customWidth="1"/>
    <col min="301" max="301" width="25.83203125" bestFit="1" customWidth="1"/>
    <col min="302" max="302" width="15.5" bestFit="1" customWidth="1"/>
    <col min="303" max="303" width="24.83203125" bestFit="1" customWidth="1"/>
    <col min="304" max="304" width="16" bestFit="1" customWidth="1"/>
    <col min="305" max="305" width="21.5" bestFit="1" customWidth="1"/>
    <col min="306" max="306" width="48.5" bestFit="1" customWidth="1"/>
    <col min="307" max="307" width="23.5" bestFit="1" customWidth="1"/>
    <col min="308" max="308" width="18.83203125" bestFit="1" customWidth="1"/>
    <col min="309" max="309" width="38.6640625" bestFit="1" customWidth="1"/>
    <col min="310" max="310" width="17.33203125" bestFit="1" customWidth="1"/>
    <col min="311" max="311" width="17.1640625" bestFit="1" customWidth="1"/>
    <col min="312" max="312" width="16" bestFit="1" customWidth="1"/>
    <col min="313" max="313" width="23.5" bestFit="1" customWidth="1"/>
    <col min="314" max="314" width="18.5" bestFit="1" customWidth="1"/>
    <col min="315" max="315" width="23.1640625" bestFit="1" customWidth="1"/>
    <col min="316" max="316" width="23.83203125" bestFit="1" customWidth="1"/>
    <col min="317" max="317" width="52.5" bestFit="1" customWidth="1"/>
    <col min="318" max="318" width="28.6640625" bestFit="1" customWidth="1"/>
    <col min="319" max="319" width="21.1640625" bestFit="1" customWidth="1"/>
    <col min="320" max="320" width="33.5" bestFit="1" customWidth="1"/>
    <col min="321" max="321" width="20.33203125" bestFit="1" customWidth="1"/>
    <col min="322" max="322" width="32.1640625" bestFit="1" customWidth="1"/>
    <col min="323" max="323" width="37.33203125" bestFit="1" customWidth="1"/>
    <col min="324" max="324" width="14.5" bestFit="1" customWidth="1"/>
    <col min="325" max="325" width="22.83203125" bestFit="1" customWidth="1"/>
    <col min="326" max="326" width="32.5" bestFit="1" customWidth="1"/>
    <col min="327" max="327" width="36.33203125" bestFit="1" customWidth="1"/>
    <col min="328" max="328" width="20.5" bestFit="1" customWidth="1"/>
    <col min="329" max="329" width="18.33203125" bestFit="1" customWidth="1"/>
    <col min="330" max="330" width="17.83203125" bestFit="1" customWidth="1"/>
    <col min="331" max="331" width="29.5" bestFit="1" customWidth="1"/>
    <col min="332" max="332" width="33.5" bestFit="1" customWidth="1"/>
    <col min="333" max="333" width="19.1640625" bestFit="1" customWidth="1"/>
    <col min="334" max="334" width="26.5" bestFit="1" customWidth="1"/>
    <col min="335" max="335" width="15.33203125" bestFit="1" customWidth="1"/>
    <col min="336" max="336" width="34.5" bestFit="1" customWidth="1"/>
    <col min="337" max="337" width="35.83203125" bestFit="1" customWidth="1"/>
    <col min="338" max="338" width="17.1640625" bestFit="1" customWidth="1"/>
    <col min="339" max="339" width="15.6640625" bestFit="1" customWidth="1"/>
    <col min="340" max="340" width="19.6640625" bestFit="1" customWidth="1"/>
    <col min="341" max="341" width="17.5" bestFit="1" customWidth="1"/>
    <col min="342" max="342" width="19.6640625" bestFit="1" customWidth="1"/>
    <col min="343" max="343" width="51" bestFit="1" customWidth="1"/>
    <col min="344" max="344" width="24.5" bestFit="1" customWidth="1"/>
    <col min="345" max="345" width="20.6640625" bestFit="1" customWidth="1"/>
    <col min="346" max="346" width="48.33203125" bestFit="1" customWidth="1"/>
    <col min="347" max="347" width="21.5" bestFit="1" customWidth="1"/>
    <col min="348" max="348" width="19.6640625" bestFit="1" customWidth="1"/>
    <col min="349" max="349" width="24.5" bestFit="1" customWidth="1"/>
    <col min="350" max="350" width="23.83203125" bestFit="1" customWidth="1"/>
    <col min="351" max="351" width="17.33203125" bestFit="1" customWidth="1"/>
    <col min="352" max="352" width="32.5" bestFit="1" customWidth="1"/>
    <col min="353" max="353" width="47.83203125" bestFit="1" customWidth="1"/>
    <col min="354" max="354" width="55.6640625" bestFit="1" customWidth="1"/>
    <col min="355" max="355" width="24.83203125" bestFit="1" customWidth="1"/>
    <col min="356" max="356" width="29.6640625" bestFit="1" customWidth="1"/>
    <col min="357" max="357" width="16.6640625" bestFit="1" customWidth="1"/>
    <col min="358" max="358" width="29.1640625" bestFit="1" customWidth="1"/>
    <col min="359" max="359" width="20" bestFit="1" customWidth="1"/>
    <col min="360" max="360" width="19.33203125" bestFit="1" customWidth="1"/>
    <col min="361" max="361" width="23.83203125" bestFit="1" customWidth="1"/>
    <col min="362" max="362" width="12.83203125" bestFit="1" customWidth="1"/>
    <col min="363" max="363" width="20.1640625" bestFit="1" customWidth="1"/>
    <col min="364" max="364" width="19.33203125" bestFit="1" customWidth="1"/>
    <col min="365" max="365" width="40" bestFit="1" customWidth="1"/>
    <col min="366" max="366" width="16.6640625" bestFit="1" customWidth="1"/>
    <col min="367" max="367" width="15.83203125" bestFit="1" customWidth="1"/>
    <col min="368" max="368" width="30.5" bestFit="1" customWidth="1"/>
    <col min="369" max="369" width="13.83203125" bestFit="1" customWidth="1"/>
    <col min="370" max="370" width="35.83203125" bestFit="1" customWidth="1"/>
    <col min="371" max="371" width="13" bestFit="1" customWidth="1"/>
    <col min="372" max="372" width="15.5" bestFit="1" customWidth="1"/>
    <col min="373" max="373" width="17.5" bestFit="1" customWidth="1"/>
    <col min="374" max="374" width="25" bestFit="1" customWidth="1"/>
    <col min="375" max="375" width="39.1640625" bestFit="1" customWidth="1"/>
    <col min="376" max="376" width="38.5" bestFit="1" customWidth="1"/>
    <col min="377" max="377" width="30.6640625" bestFit="1" customWidth="1"/>
    <col min="378" max="378" width="20.5" bestFit="1" customWidth="1"/>
    <col min="379" max="379" width="18.33203125" bestFit="1" customWidth="1"/>
    <col min="380" max="380" width="18.5" bestFit="1" customWidth="1"/>
    <col min="381" max="381" width="16" bestFit="1" customWidth="1"/>
    <col min="382" max="382" width="21.1640625" bestFit="1" customWidth="1"/>
    <col min="383" max="383" width="13" bestFit="1" customWidth="1"/>
    <col min="384" max="384" width="27.1640625" bestFit="1" customWidth="1"/>
    <col min="385" max="385" width="42.83203125" bestFit="1" customWidth="1"/>
    <col min="386" max="386" width="19.5" bestFit="1" customWidth="1"/>
    <col min="387" max="387" width="22" bestFit="1" customWidth="1"/>
    <col min="388" max="388" width="32.5" bestFit="1" customWidth="1"/>
    <col min="389" max="389" width="25.5" bestFit="1" customWidth="1"/>
    <col min="390" max="390" width="27.33203125" bestFit="1" customWidth="1"/>
    <col min="391" max="391" width="28.83203125" bestFit="1" customWidth="1"/>
    <col min="392" max="392" width="21.5" bestFit="1" customWidth="1"/>
    <col min="393" max="393" width="14.33203125" bestFit="1" customWidth="1"/>
    <col min="394" max="394" width="34" bestFit="1" customWidth="1"/>
    <col min="395" max="395" width="25.33203125" bestFit="1" customWidth="1"/>
    <col min="396" max="396" width="19.6640625" bestFit="1" customWidth="1"/>
    <col min="397" max="397" width="39.1640625" bestFit="1" customWidth="1"/>
    <col min="398" max="398" width="31.5" bestFit="1" customWidth="1"/>
    <col min="399" max="399" width="29.1640625" bestFit="1" customWidth="1"/>
    <col min="400" max="400" width="26.33203125" bestFit="1" customWidth="1"/>
    <col min="401" max="402" width="25.5" bestFit="1" customWidth="1"/>
    <col min="403" max="403" width="21.5" bestFit="1" customWidth="1"/>
    <col min="404" max="404" width="28.1640625" bestFit="1" customWidth="1"/>
    <col min="405" max="405" width="28.6640625" bestFit="1" customWidth="1"/>
    <col min="406" max="406" width="34.5" bestFit="1" customWidth="1"/>
    <col min="407" max="407" width="34.33203125" bestFit="1" customWidth="1"/>
    <col min="408" max="408" width="13.5" bestFit="1" customWidth="1"/>
    <col min="409" max="409" width="29.5" bestFit="1" customWidth="1"/>
    <col min="410" max="410" width="21.1640625" bestFit="1" customWidth="1"/>
    <col min="411" max="411" width="14.5" bestFit="1" customWidth="1"/>
    <col min="412" max="412" width="17.83203125" bestFit="1" customWidth="1"/>
    <col min="413" max="413" width="28.5" bestFit="1" customWidth="1"/>
    <col min="414" max="414" width="26.5" bestFit="1" customWidth="1"/>
    <col min="415" max="415" width="24.83203125" bestFit="1" customWidth="1"/>
    <col min="416" max="416" width="27.83203125" bestFit="1" customWidth="1"/>
    <col min="417" max="417" width="30.6640625" bestFit="1" customWidth="1"/>
    <col min="418" max="418" width="31" bestFit="1" customWidth="1"/>
    <col min="419" max="419" width="35.33203125" bestFit="1" customWidth="1"/>
    <col min="420" max="420" width="23.5" bestFit="1" customWidth="1"/>
    <col min="421" max="421" width="27.1640625" bestFit="1" customWidth="1"/>
    <col min="422" max="422" width="24.5" bestFit="1" customWidth="1"/>
    <col min="423" max="423" width="25.5" bestFit="1" customWidth="1"/>
    <col min="424" max="424" width="22.83203125" bestFit="1" customWidth="1"/>
    <col min="425" max="425" width="37.33203125" bestFit="1" customWidth="1"/>
    <col min="426" max="426" width="42.83203125" bestFit="1" customWidth="1"/>
    <col min="427" max="427" width="25.6640625" bestFit="1" customWidth="1"/>
    <col min="428" max="428" width="28.83203125" bestFit="1" customWidth="1"/>
    <col min="429" max="429" width="13.5" bestFit="1" customWidth="1"/>
    <col min="430" max="430" width="30.1640625" bestFit="1" customWidth="1"/>
    <col min="431" max="431" width="42" bestFit="1" customWidth="1"/>
    <col min="432" max="432" width="53.1640625" bestFit="1" customWidth="1"/>
    <col min="433" max="433" width="43.5" bestFit="1" customWidth="1"/>
    <col min="434" max="434" width="38.33203125" bestFit="1" customWidth="1"/>
    <col min="435" max="435" width="30.1640625" bestFit="1" customWidth="1"/>
    <col min="436" max="436" width="17.33203125" bestFit="1" customWidth="1"/>
    <col min="437" max="437" width="29.33203125" bestFit="1" customWidth="1"/>
    <col min="438" max="438" width="20.6640625" bestFit="1" customWidth="1"/>
    <col min="439" max="439" width="35.5" bestFit="1" customWidth="1"/>
    <col min="440" max="440" width="19.5" bestFit="1" customWidth="1"/>
    <col min="441" max="441" width="21.6640625" bestFit="1" customWidth="1"/>
    <col min="442" max="442" width="26.5" bestFit="1" customWidth="1"/>
    <col min="443" max="443" width="24.33203125" bestFit="1" customWidth="1"/>
    <col min="444" max="444" width="14.5" bestFit="1" customWidth="1"/>
    <col min="445" max="445" width="19.1640625" bestFit="1" customWidth="1"/>
    <col min="446" max="446" width="37.6640625" bestFit="1" customWidth="1"/>
    <col min="447" max="447" width="65.6640625" bestFit="1" customWidth="1"/>
    <col min="448" max="448" width="21.5" bestFit="1" customWidth="1"/>
    <col min="449" max="449" width="29.5" bestFit="1" customWidth="1"/>
    <col min="450" max="450" width="36" bestFit="1" customWidth="1"/>
    <col min="451" max="451" width="26.6640625" bestFit="1" customWidth="1"/>
    <col min="452" max="452" width="19.1640625" bestFit="1" customWidth="1"/>
    <col min="453" max="453" width="27.33203125" bestFit="1" customWidth="1"/>
    <col min="454" max="454" width="25.6640625" bestFit="1" customWidth="1"/>
    <col min="455" max="455" width="15.33203125" bestFit="1" customWidth="1"/>
    <col min="456" max="456" width="15.5" bestFit="1" customWidth="1"/>
    <col min="457" max="457" width="25" bestFit="1" customWidth="1"/>
    <col min="458" max="458" width="16.33203125" bestFit="1" customWidth="1"/>
    <col min="459" max="459" width="23.5" bestFit="1" customWidth="1"/>
    <col min="460" max="460" width="14.83203125" bestFit="1" customWidth="1"/>
    <col min="461" max="461" width="29.5" bestFit="1" customWidth="1"/>
    <col min="462" max="462" width="17.6640625" bestFit="1" customWidth="1"/>
    <col min="463" max="463" width="23.5" bestFit="1" customWidth="1"/>
    <col min="464" max="464" width="26" bestFit="1" customWidth="1"/>
    <col min="465" max="465" width="14.83203125" bestFit="1" customWidth="1"/>
    <col min="466" max="466" width="27.33203125" bestFit="1" customWidth="1"/>
    <col min="467" max="467" width="23.5" bestFit="1" customWidth="1"/>
    <col min="468" max="468" width="25.83203125" bestFit="1" customWidth="1"/>
    <col min="469" max="469" width="26.83203125" bestFit="1" customWidth="1"/>
    <col min="470" max="470" width="17.83203125" bestFit="1" customWidth="1"/>
    <col min="471" max="471" width="28.6640625" bestFit="1" customWidth="1"/>
    <col min="472" max="472" width="36.33203125" bestFit="1" customWidth="1"/>
    <col min="473" max="473" width="18.33203125" bestFit="1" customWidth="1"/>
    <col min="474" max="474" width="18.83203125" bestFit="1" customWidth="1"/>
    <col min="475" max="475" width="25.6640625" bestFit="1" customWidth="1"/>
    <col min="476" max="476" width="23" bestFit="1" customWidth="1"/>
    <col min="477" max="477" width="22.5" bestFit="1" customWidth="1"/>
    <col min="478" max="478" width="29.6640625" bestFit="1" customWidth="1"/>
    <col min="479" max="479" width="35.6640625" bestFit="1" customWidth="1"/>
    <col min="480" max="480" width="17.33203125" bestFit="1" customWidth="1"/>
    <col min="481" max="481" width="30" bestFit="1" customWidth="1"/>
    <col min="482" max="482" width="37.6640625" bestFit="1" customWidth="1"/>
    <col min="483" max="483" width="17.6640625" bestFit="1" customWidth="1"/>
    <col min="484" max="484" width="31.6640625" bestFit="1" customWidth="1"/>
    <col min="485" max="485" width="45.33203125" bestFit="1" customWidth="1"/>
    <col min="486" max="486" width="14.5" bestFit="1" customWidth="1"/>
    <col min="487" max="487" width="27.83203125" bestFit="1" customWidth="1"/>
    <col min="488" max="488" width="21.5" bestFit="1" customWidth="1"/>
    <col min="489" max="489" width="24.83203125" bestFit="1" customWidth="1"/>
    <col min="490" max="490" width="21.1640625" bestFit="1" customWidth="1"/>
    <col min="491" max="491" width="22.5" bestFit="1" customWidth="1"/>
    <col min="492" max="492" width="19.1640625" bestFit="1" customWidth="1"/>
    <col min="493" max="493" width="23.5" bestFit="1" customWidth="1"/>
    <col min="494" max="494" width="26.83203125" bestFit="1" customWidth="1"/>
    <col min="495" max="495" width="31" bestFit="1" customWidth="1"/>
    <col min="496" max="496" width="21.5" bestFit="1" customWidth="1"/>
    <col min="497" max="497" width="29.5" bestFit="1" customWidth="1"/>
    <col min="498" max="498" width="22.83203125" bestFit="1" customWidth="1"/>
    <col min="499" max="499" width="39.1640625" bestFit="1" customWidth="1"/>
    <col min="500" max="500" width="61.6640625" bestFit="1" customWidth="1"/>
    <col min="501" max="501" width="17.33203125" bestFit="1" customWidth="1"/>
    <col min="502" max="502" width="29.1640625" bestFit="1" customWidth="1"/>
    <col min="503" max="503" width="41.5" bestFit="1" customWidth="1"/>
    <col min="504" max="504" width="24" bestFit="1" customWidth="1"/>
    <col min="505" max="505" width="30.1640625" bestFit="1" customWidth="1"/>
    <col min="506" max="506" width="24" bestFit="1" customWidth="1"/>
    <col min="507" max="507" width="27.6640625" bestFit="1" customWidth="1"/>
    <col min="508" max="508" width="11.5" bestFit="1" customWidth="1"/>
    <col min="509" max="509" width="26.6640625" bestFit="1" customWidth="1"/>
    <col min="510" max="510" width="68.1640625" bestFit="1" customWidth="1"/>
    <col min="511" max="511" width="13" bestFit="1" customWidth="1"/>
    <col min="512" max="512" width="37.1640625" bestFit="1" customWidth="1"/>
    <col min="513" max="513" width="22.5" bestFit="1" customWidth="1"/>
    <col min="514" max="514" width="16.33203125" bestFit="1" customWidth="1"/>
    <col min="515" max="515" width="22.5" bestFit="1" customWidth="1"/>
    <col min="516" max="516" width="35.6640625" bestFit="1" customWidth="1"/>
    <col min="517" max="517" width="23.83203125" bestFit="1" customWidth="1"/>
    <col min="518" max="518" width="42.5" bestFit="1" customWidth="1"/>
    <col min="519" max="519" width="21.5" bestFit="1" customWidth="1"/>
    <col min="520" max="520" width="22.83203125" bestFit="1" customWidth="1"/>
    <col min="521" max="521" width="21" bestFit="1" customWidth="1"/>
    <col min="522" max="522" width="22" bestFit="1" customWidth="1"/>
    <col min="523" max="523" width="31" bestFit="1" customWidth="1"/>
    <col min="524" max="524" width="23.1640625" bestFit="1" customWidth="1"/>
    <col min="525" max="525" width="17.6640625" bestFit="1" customWidth="1"/>
    <col min="526" max="526" width="15.33203125" bestFit="1" customWidth="1"/>
    <col min="527" max="527" width="11.5" bestFit="1" customWidth="1"/>
    <col min="528" max="528" width="26.83203125" bestFit="1" customWidth="1"/>
    <col min="529" max="529" width="25.83203125" bestFit="1" customWidth="1"/>
    <col min="530" max="530" width="25.5" bestFit="1" customWidth="1"/>
    <col min="531" max="531" width="31.5" bestFit="1" customWidth="1"/>
    <col min="532" max="532" width="42.1640625" bestFit="1" customWidth="1"/>
    <col min="533" max="533" width="16.5" bestFit="1" customWidth="1"/>
    <col min="534" max="534" width="18.83203125" bestFit="1" customWidth="1"/>
    <col min="535" max="535" width="25.6640625" bestFit="1" customWidth="1"/>
    <col min="536" max="536" width="13.5" bestFit="1" customWidth="1"/>
    <col min="537" max="537" width="20" bestFit="1" customWidth="1"/>
    <col min="538" max="538" width="14" bestFit="1" customWidth="1"/>
    <col min="539" max="539" width="25.6640625" bestFit="1" customWidth="1"/>
    <col min="540" max="540" width="20.1640625" bestFit="1" customWidth="1"/>
    <col min="541" max="541" width="22.5" bestFit="1" customWidth="1"/>
    <col min="542" max="542" width="23.83203125" bestFit="1" customWidth="1"/>
    <col min="543" max="543" width="17.83203125" bestFit="1" customWidth="1"/>
    <col min="544" max="544" width="24" bestFit="1" customWidth="1"/>
    <col min="545" max="545" width="36.5" bestFit="1" customWidth="1"/>
    <col min="546" max="546" width="31" bestFit="1" customWidth="1"/>
    <col min="547" max="547" width="15.83203125" bestFit="1" customWidth="1"/>
    <col min="548" max="548" width="49.5" bestFit="1" customWidth="1"/>
    <col min="549" max="549" width="15.6640625" bestFit="1" customWidth="1"/>
    <col min="550" max="550" width="11.5" bestFit="1" customWidth="1"/>
    <col min="551" max="551" width="38.5" bestFit="1" customWidth="1"/>
    <col min="552" max="552" width="24.5" bestFit="1" customWidth="1"/>
    <col min="553" max="553" width="20.6640625" bestFit="1" customWidth="1"/>
    <col min="554" max="554" width="17.33203125" bestFit="1" customWidth="1"/>
    <col min="555" max="555" width="16.33203125" bestFit="1" customWidth="1"/>
    <col min="556" max="556" width="27.33203125" bestFit="1" customWidth="1"/>
    <col min="557" max="557" width="30.5" bestFit="1" customWidth="1"/>
    <col min="558" max="558" width="14.83203125" bestFit="1" customWidth="1"/>
    <col min="559" max="559" width="13" bestFit="1" customWidth="1"/>
    <col min="560" max="560" width="20.5" bestFit="1" customWidth="1"/>
    <col min="561" max="561" width="14.83203125" bestFit="1" customWidth="1"/>
    <col min="562" max="562" width="16" bestFit="1" customWidth="1"/>
    <col min="563" max="563" width="31.6640625" bestFit="1" customWidth="1"/>
    <col min="564" max="564" width="12.5" bestFit="1" customWidth="1"/>
    <col min="565" max="565" width="28.6640625" bestFit="1" customWidth="1"/>
    <col min="566" max="566" width="27.6640625" bestFit="1" customWidth="1"/>
    <col min="567" max="567" width="26.33203125" bestFit="1" customWidth="1"/>
    <col min="568" max="568" width="28.33203125" bestFit="1" customWidth="1"/>
    <col min="569" max="569" width="15.83203125" bestFit="1" customWidth="1"/>
    <col min="570" max="570" width="18.6640625" bestFit="1" customWidth="1"/>
    <col min="571" max="571" width="21.6640625" bestFit="1" customWidth="1"/>
    <col min="572" max="572" width="46.6640625" bestFit="1" customWidth="1"/>
    <col min="573" max="573" width="26.5" bestFit="1" customWidth="1"/>
    <col min="574" max="574" width="27.1640625" bestFit="1" customWidth="1"/>
    <col min="575" max="575" width="19.6640625" bestFit="1" customWidth="1"/>
    <col min="576" max="576" width="39.33203125" bestFit="1" customWidth="1"/>
    <col min="577" max="577" width="19.1640625" bestFit="1" customWidth="1"/>
    <col min="578" max="578" width="29.5" bestFit="1" customWidth="1"/>
    <col min="579" max="579" width="28.33203125" bestFit="1" customWidth="1"/>
    <col min="580" max="580" width="36.6640625" bestFit="1" customWidth="1"/>
    <col min="581" max="581" width="28.1640625" bestFit="1" customWidth="1"/>
    <col min="582" max="582" width="27.6640625" bestFit="1" customWidth="1"/>
    <col min="583" max="583" width="25.5" bestFit="1" customWidth="1"/>
    <col min="584" max="584" width="34.5" bestFit="1" customWidth="1"/>
    <col min="585" max="585" width="29.1640625" bestFit="1" customWidth="1"/>
    <col min="586" max="586" width="14.33203125" bestFit="1" customWidth="1"/>
    <col min="587" max="587" width="14.83203125" bestFit="1" customWidth="1"/>
    <col min="588" max="588" width="31" bestFit="1" customWidth="1"/>
    <col min="589" max="589" width="32.5" bestFit="1" customWidth="1"/>
    <col min="590" max="590" width="26.83203125" bestFit="1" customWidth="1"/>
    <col min="591" max="591" width="35.6640625" bestFit="1" customWidth="1"/>
    <col min="592" max="592" width="15.5" bestFit="1" customWidth="1"/>
    <col min="593" max="593" width="14.5" bestFit="1" customWidth="1"/>
    <col min="594" max="594" width="26.5" bestFit="1" customWidth="1"/>
    <col min="595" max="595" width="14" bestFit="1" customWidth="1"/>
    <col min="596" max="596" width="21.5" bestFit="1" customWidth="1"/>
    <col min="597" max="597" width="20" bestFit="1" customWidth="1"/>
    <col min="598" max="598" width="35.33203125" bestFit="1" customWidth="1"/>
    <col min="599" max="599" width="11.5" bestFit="1" customWidth="1"/>
    <col min="600" max="600" width="22" bestFit="1" customWidth="1"/>
    <col min="601" max="601" width="33.5" bestFit="1" customWidth="1"/>
    <col min="602" max="602" width="30.33203125" bestFit="1" customWidth="1"/>
    <col min="603" max="603" width="41.5" bestFit="1" customWidth="1"/>
    <col min="604" max="604" width="26.5" bestFit="1" customWidth="1"/>
    <col min="605" max="605" width="30.33203125" bestFit="1" customWidth="1"/>
    <col min="606" max="606" width="14.33203125" bestFit="1" customWidth="1"/>
    <col min="607" max="607" width="26.83203125" bestFit="1" customWidth="1"/>
    <col min="608" max="608" width="32" bestFit="1" customWidth="1"/>
    <col min="609" max="609" width="22.5" bestFit="1" customWidth="1"/>
    <col min="610" max="610" width="27.33203125" bestFit="1" customWidth="1"/>
    <col min="611" max="611" width="24.33203125" bestFit="1" customWidth="1"/>
    <col min="612" max="612" width="14.83203125" bestFit="1" customWidth="1"/>
    <col min="613" max="613" width="13" bestFit="1" customWidth="1"/>
    <col min="614" max="614" width="22" bestFit="1" customWidth="1"/>
    <col min="615" max="615" width="16.33203125" bestFit="1" customWidth="1"/>
    <col min="616" max="616" width="19.33203125" bestFit="1" customWidth="1"/>
    <col min="617" max="617" width="21.6640625" bestFit="1" customWidth="1"/>
    <col min="618" max="618" width="16.33203125" bestFit="1" customWidth="1"/>
    <col min="619" max="619" width="14.5" bestFit="1" customWidth="1"/>
    <col min="620" max="620" width="25" bestFit="1" customWidth="1"/>
    <col min="621" max="621" width="18.83203125" bestFit="1" customWidth="1"/>
    <col min="622" max="622" width="21" bestFit="1" customWidth="1"/>
    <col min="623" max="623" width="34.83203125" bestFit="1" customWidth="1"/>
    <col min="624" max="624" width="16.5" bestFit="1" customWidth="1"/>
    <col min="625" max="625" width="20.1640625" bestFit="1" customWidth="1"/>
    <col min="626" max="626" width="14.33203125" bestFit="1" customWidth="1"/>
    <col min="627" max="627" width="21" bestFit="1" customWidth="1"/>
    <col min="628" max="628" width="14" bestFit="1" customWidth="1"/>
    <col min="629" max="629" width="48.1640625" bestFit="1" customWidth="1"/>
    <col min="630" max="630" width="13.83203125" bestFit="1" customWidth="1"/>
    <col min="631" max="631" width="25.5" bestFit="1" customWidth="1"/>
    <col min="632" max="632" width="26.33203125" bestFit="1" customWidth="1"/>
    <col min="633" max="633" width="27.83203125" bestFit="1" customWidth="1"/>
    <col min="634" max="634" width="26" bestFit="1" customWidth="1"/>
    <col min="635" max="635" width="24.5" bestFit="1" customWidth="1"/>
    <col min="636" max="636" width="28.6640625" bestFit="1" customWidth="1"/>
    <col min="637" max="637" width="36.83203125" bestFit="1" customWidth="1"/>
    <col min="638" max="638" width="48.5" bestFit="1" customWidth="1"/>
    <col min="639" max="639" width="34.33203125" bestFit="1" customWidth="1"/>
    <col min="640" max="640" width="42.5" bestFit="1" customWidth="1"/>
    <col min="641" max="641" width="23.5" bestFit="1" customWidth="1"/>
    <col min="642" max="642" width="24.83203125" bestFit="1" customWidth="1"/>
    <col min="643" max="643" width="28.33203125" bestFit="1" customWidth="1"/>
    <col min="644" max="644" width="16" bestFit="1" customWidth="1"/>
    <col min="645" max="645" width="48.33203125" bestFit="1" customWidth="1"/>
    <col min="646" max="646" width="15" bestFit="1" customWidth="1"/>
    <col min="647" max="647" width="17.6640625" bestFit="1" customWidth="1"/>
    <col min="648" max="648" width="16.33203125" bestFit="1" customWidth="1"/>
    <col min="649" max="649" width="30.1640625" bestFit="1" customWidth="1"/>
    <col min="650" max="650" width="31.5" bestFit="1" customWidth="1"/>
    <col min="651" max="651" width="28.6640625" bestFit="1" customWidth="1"/>
    <col min="652" max="652" width="16" bestFit="1" customWidth="1"/>
    <col min="653" max="653" width="41" bestFit="1" customWidth="1"/>
    <col min="654" max="654" width="25" bestFit="1" customWidth="1"/>
    <col min="655" max="655" width="28.6640625" bestFit="1" customWidth="1"/>
    <col min="656" max="656" width="31.1640625" bestFit="1" customWidth="1"/>
    <col min="657" max="657" width="31.5" bestFit="1" customWidth="1"/>
    <col min="658" max="658" width="48.33203125" bestFit="1" customWidth="1"/>
    <col min="659" max="659" width="33.83203125" bestFit="1" customWidth="1"/>
    <col min="660" max="660" width="29.33203125" bestFit="1" customWidth="1"/>
    <col min="661" max="661" width="22.5" bestFit="1" customWidth="1"/>
    <col min="662" max="662" width="35.83203125" bestFit="1" customWidth="1"/>
    <col min="663" max="663" width="39.6640625" bestFit="1" customWidth="1"/>
    <col min="664" max="664" width="25.33203125" bestFit="1" customWidth="1"/>
    <col min="665" max="665" width="15" bestFit="1" customWidth="1"/>
    <col min="666" max="666" width="35.5" bestFit="1" customWidth="1"/>
    <col min="667" max="667" width="25.6640625" bestFit="1" customWidth="1"/>
    <col min="668" max="668" width="22.5" bestFit="1" customWidth="1"/>
    <col min="669" max="669" width="25.5" bestFit="1" customWidth="1"/>
    <col min="670" max="670" width="24.5" bestFit="1" customWidth="1"/>
    <col min="671" max="671" width="38.83203125" bestFit="1" customWidth="1"/>
    <col min="672" max="672" width="17.33203125" bestFit="1" customWidth="1"/>
    <col min="673" max="673" width="17.5" bestFit="1" customWidth="1"/>
    <col min="674" max="674" width="56.83203125" bestFit="1" customWidth="1"/>
    <col min="675" max="675" width="71.5" bestFit="1" customWidth="1"/>
    <col min="676" max="676" width="22" bestFit="1" customWidth="1"/>
    <col min="677" max="677" width="25.5" bestFit="1" customWidth="1"/>
    <col min="678" max="678" width="23.1640625" bestFit="1" customWidth="1"/>
    <col min="679" max="679" width="19.33203125" bestFit="1" customWidth="1"/>
    <col min="680" max="680" width="30" bestFit="1" customWidth="1"/>
    <col min="681" max="681" width="24.5" bestFit="1" customWidth="1"/>
    <col min="682" max="682" width="30.5" bestFit="1" customWidth="1"/>
    <col min="683" max="683" width="20.6640625" bestFit="1" customWidth="1"/>
    <col min="684" max="684" width="25.83203125" bestFit="1" customWidth="1"/>
    <col min="685" max="685" width="20.33203125" bestFit="1" customWidth="1"/>
    <col min="686" max="686" width="22" bestFit="1" customWidth="1"/>
    <col min="687" max="687" width="28.83203125" bestFit="1" customWidth="1"/>
    <col min="688" max="688" width="34.5" bestFit="1" customWidth="1"/>
    <col min="689" max="689" width="15.83203125" bestFit="1" customWidth="1"/>
    <col min="690" max="690" width="17.83203125" bestFit="1" customWidth="1"/>
    <col min="691" max="691" width="30.33203125" bestFit="1" customWidth="1"/>
    <col min="692" max="692" width="20.5" bestFit="1" customWidth="1"/>
    <col min="693" max="693" width="18.6640625" bestFit="1" customWidth="1"/>
    <col min="694" max="694" width="28.83203125" bestFit="1" customWidth="1"/>
    <col min="695" max="695" width="25.5" bestFit="1" customWidth="1"/>
    <col min="696" max="696" width="19.33203125" bestFit="1" customWidth="1"/>
    <col min="697" max="697" width="26.83203125" bestFit="1" customWidth="1"/>
    <col min="698" max="698" width="24" bestFit="1" customWidth="1"/>
    <col min="699" max="699" width="32" bestFit="1" customWidth="1"/>
    <col min="700" max="700" width="26.6640625" bestFit="1" customWidth="1"/>
    <col min="701" max="701" width="38.33203125" bestFit="1" customWidth="1"/>
    <col min="702" max="702" width="50.1640625" bestFit="1" customWidth="1"/>
    <col min="703" max="703" width="19.6640625" bestFit="1" customWidth="1"/>
    <col min="704" max="704" width="51.5" bestFit="1" customWidth="1"/>
    <col min="705" max="705" width="68.1640625" bestFit="1" customWidth="1"/>
    <col min="706" max="706" width="14.33203125" bestFit="1" customWidth="1"/>
    <col min="707" max="707" width="21" bestFit="1" customWidth="1"/>
    <col min="708" max="708" width="51.5" bestFit="1" customWidth="1"/>
    <col min="709" max="709" width="27.1640625" bestFit="1" customWidth="1"/>
    <col min="710" max="710" width="17.1640625" bestFit="1" customWidth="1"/>
    <col min="711" max="711" width="25" bestFit="1" customWidth="1"/>
    <col min="712" max="712" width="12.83203125" bestFit="1" customWidth="1"/>
    <col min="713" max="713" width="19.5" bestFit="1" customWidth="1"/>
    <col min="714" max="714" width="23.5" bestFit="1" customWidth="1"/>
    <col min="715" max="715" width="19.33203125" bestFit="1" customWidth="1"/>
    <col min="716" max="716" width="25.33203125" bestFit="1" customWidth="1"/>
    <col min="717" max="717" width="41" bestFit="1" customWidth="1"/>
    <col min="718" max="718" width="30.6640625" bestFit="1" customWidth="1"/>
    <col min="719" max="719" width="20.6640625" bestFit="1" customWidth="1"/>
    <col min="720" max="720" width="24.33203125" bestFit="1" customWidth="1"/>
    <col min="721" max="721" width="19.33203125" bestFit="1" customWidth="1"/>
    <col min="722" max="722" width="22.5" bestFit="1" customWidth="1"/>
    <col min="723" max="723" width="26" bestFit="1" customWidth="1"/>
    <col min="724" max="724" width="21.6640625" bestFit="1" customWidth="1"/>
    <col min="725" max="725" width="28.5" bestFit="1" customWidth="1"/>
    <col min="726" max="726" width="20.33203125" bestFit="1" customWidth="1"/>
    <col min="727" max="727" width="23" bestFit="1" customWidth="1"/>
    <col min="728" max="728" width="30.1640625" bestFit="1" customWidth="1"/>
    <col min="729" max="730" width="28.33203125" bestFit="1" customWidth="1"/>
    <col min="731" max="731" width="27.6640625" bestFit="1" customWidth="1"/>
    <col min="732" max="732" width="24.5" bestFit="1" customWidth="1"/>
    <col min="733" max="733" width="26.5" bestFit="1" customWidth="1"/>
    <col min="734" max="734" width="16.33203125" bestFit="1" customWidth="1"/>
    <col min="735" max="735" width="25.6640625" bestFit="1" customWidth="1"/>
    <col min="736" max="736" width="23.5" bestFit="1" customWidth="1"/>
    <col min="737" max="737" width="30.1640625" bestFit="1" customWidth="1"/>
    <col min="738" max="738" width="34" bestFit="1" customWidth="1"/>
    <col min="739" max="739" width="44" bestFit="1" customWidth="1"/>
    <col min="740" max="740" width="23.83203125" bestFit="1" customWidth="1"/>
    <col min="741" max="741" width="51" bestFit="1" customWidth="1"/>
    <col min="742" max="742" width="64.33203125" bestFit="1" customWidth="1"/>
    <col min="743" max="743" width="26" bestFit="1" customWidth="1"/>
    <col min="744" max="744" width="20.1640625" bestFit="1" customWidth="1"/>
    <col min="745" max="745" width="29.5" bestFit="1" customWidth="1"/>
    <col min="746" max="746" width="24.33203125" bestFit="1" customWidth="1"/>
    <col min="747" max="747" width="29.1640625" bestFit="1" customWidth="1"/>
    <col min="748" max="748" width="46.6640625" bestFit="1" customWidth="1"/>
    <col min="749" max="749" width="54.33203125" bestFit="1" customWidth="1"/>
    <col min="750" max="750" width="52.1640625" bestFit="1" customWidth="1"/>
    <col min="751" max="751" width="29.1640625" bestFit="1" customWidth="1"/>
    <col min="752" max="752" width="28.33203125" bestFit="1" customWidth="1"/>
    <col min="753" max="753" width="25.6640625" bestFit="1" customWidth="1"/>
    <col min="754" max="754" width="42.5" bestFit="1" customWidth="1"/>
    <col min="755" max="755" width="45" bestFit="1" customWidth="1"/>
    <col min="756" max="756" width="14" bestFit="1" customWidth="1"/>
    <col min="757" max="757" width="28.33203125" bestFit="1" customWidth="1"/>
    <col min="758" max="758" width="23.5" bestFit="1" customWidth="1"/>
    <col min="759" max="759" width="40.33203125" bestFit="1" customWidth="1"/>
    <col min="760" max="760" width="34" bestFit="1" customWidth="1"/>
    <col min="761" max="761" width="18.5" bestFit="1" customWidth="1"/>
    <col min="762" max="762" width="26.83203125" bestFit="1" customWidth="1"/>
    <col min="763" max="763" width="16.5" bestFit="1" customWidth="1"/>
    <col min="764" max="764" width="26.6640625" bestFit="1" customWidth="1"/>
    <col min="765" max="765" width="34.33203125" bestFit="1" customWidth="1"/>
    <col min="766" max="766" width="26.5" bestFit="1" customWidth="1"/>
    <col min="767" max="767" width="31.5" bestFit="1" customWidth="1"/>
    <col min="768" max="768" width="18.6640625" bestFit="1" customWidth="1"/>
    <col min="769" max="769" width="21" bestFit="1" customWidth="1"/>
    <col min="770" max="770" width="43.5" bestFit="1" customWidth="1"/>
    <col min="771" max="771" width="24.33203125" bestFit="1" customWidth="1"/>
    <col min="772" max="772" width="21.1640625" bestFit="1" customWidth="1"/>
    <col min="773" max="773" width="25" bestFit="1" customWidth="1"/>
    <col min="774" max="774" width="28.83203125" bestFit="1" customWidth="1"/>
    <col min="775" max="776" width="24.5" bestFit="1" customWidth="1"/>
    <col min="777" max="777" width="37.1640625" bestFit="1" customWidth="1"/>
    <col min="778" max="778" width="22.5" bestFit="1" customWidth="1"/>
    <col min="779" max="779" width="21.5" bestFit="1" customWidth="1"/>
    <col min="780" max="780" width="19.1640625" bestFit="1" customWidth="1"/>
    <col min="781" max="781" width="17.1640625" bestFit="1" customWidth="1"/>
    <col min="782" max="782" width="26.83203125" bestFit="1" customWidth="1"/>
    <col min="783" max="783" width="30.33203125" bestFit="1" customWidth="1"/>
    <col min="784" max="784" width="15" bestFit="1" customWidth="1"/>
    <col min="785" max="785" width="27.83203125" bestFit="1" customWidth="1"/>
    <col min="786" max="786" width="28.33203125" bestFit="1" customWidth="1"/>
    <col min="787" max="787" width="24.5" bestFit="1" customWidth="1"/>
    <col min="788" max="788" width="21.1640625" bestFit="1" customWidth="1"/>
    <col min="789" max="789" width="23.83203125" bestFit="1" customWidth="1"/>
    <col min="790" max="790" width="25" bestFit="1" customWidth="1"/>
    <col min="791" max="791" width="34.33203125" bestFit="1" customWidth="1"/>
    <col min="792" max="792" width="28.1640625" bestFit="1" customWidth="1"/>
    <col min="793" max="793" width="25.5" bestFit="1" customWidth="1"/>
    <col min="794" max="794" width="25.33203125" bestFit="1" customWidth="1"/>
    <col min="795" max="795" width="15" bestFit="1" customWidth="1"/>
    <col min="796" max="796" width="17.83203125" bestFit="1" customWidth="1"/>
    <col min="797" max="797" width="25.5" bestFit="1" customWidth="1"/>
    <col min="798" max="798" width="15.83203125" bestFit="1" customWidth="1"/>
    <col min="799" max="799" width="23.83203125" bestFit="1" customWidth="1"/>
    <col min="800" max="800" width="33.1640625" bestFit="1" customWidth="1"/>
    <col min="801" max="801" width="23.1640625" bestFit="1" customWidth="1"/>
    <col min="802" max="802" width="30.1640625" bestFit="1" customWidth="1"/>
    <col min="803" max="803" width="28.5" bestFit="1" customWidth="1"/>
    <col min="804" max="804" width="31.6640625" bestFit="1" customWidth="1"/>
    <col min="805" max="805" width="17.83203125" bestFit="1" customWidth="1"/>
    <col min="806" max="806" width="26.6640625" bestFit="1" customWidth="1"/>
    <col min="807" max="807" width="19.6640625" bestFit="1" customWidth="1"/>
    <col min="808" max="808" width="17.1640625" bestFit="1" customWidth="1"/>
    <col min="809" max="809" width="44" bestFit="1" customWidth="1"/>
    <col min="810" max="810" width="46.5" bestFit="1" customWidth="1"/>
    <col min="811" max="811" width="22" bestFit="1" customWidth="1"/>
    <col min="812" max="812" width="52.1640625" bestFit="1" customWidth="1"/>
    <col min="813" max="813" width="23.83203125" bestFit="1" customWidth="1"/>
    <col min="814" max="814" width="33.1640625" bestFit="1" customWidth="1"/>
    <col min="815" max="815" width="43.5" bestFit="1" customWidth="1"/>
    <col min="816" max="816" width="21.5" bestFit="1" customWidth="1"/>
    <col min="817" max="817" width="33.5" bestFit="1" customWidth="1"/>
    <col min="818" max="818" width="30.6640625" bestFit="1" customWidth="1"/>
    <col min="819" max="819" width="19.1640625" bestFit="1" customWidth="1"/>
    <col min="820" max="820" width="23.1640625" bestFit="1" customWidth="1"/>
    <col min="821" max="821" width="42.1640625" bestFit="1" customWidth="1"/>
    <col min="822" max="822" width="37.5" bestFit="1" customWidth="1"/>
    <col min="823" max="823" width="24.5" bestFit="1" customWidth="1"/>
    <col min="824" max="824" width="26.83203125" bestFit="1" customWidth="1"/>
    <col min="825" max="825" width="19.1640625" bestFit="1" customWidth="1"/>
    <col min="826" max="826" width="27.83203125" bestFit="1" customWidth="1"/>
    <col min="827" max="827" width="13.5" bestFit="1" customWidth="1"/>
    <col min="828" max="828" width="17.83203125" bestFit="1" customWidth="1"/>
    <col min="829" max="829" width="21.6640625" bestFit="1" customWidth="1"/>
    <col min="830" max="830" width="31.6640625" bestFit="1" customWidth="1"/>
    <col min="831" max="831" width="19.33203125" bestFit="1" customWidth="1"/>
    <col min="832" max="832" width="20.33203125" bestFit="1" customWidth="1"/>
    <col min="833" max="833" width="18.6640625" bestFit="1" customWidth="1"/>
    <col min="834" max="834" width="45.83203125" bestFit="1" customWidth="1"/>
    <col min="835" max="835" width="17.33203125" bestFit="1" customWidth="1"/>
    <col min="836" max="836" width="30" bestFit="1" customWidth="1"/>
    <col min="837" max="837" width="24.83203125" bestFit="1" customWidth="1"/>
    <col min="838" max="838" width="25.33203125" bestFit="1" customWidth="1"/>
    <col min="839" max="839" width="24.83203125" bestFit="1" customWidth="1"/>
    <col min="840" max="840" width="42.1640625" bestFit="1" customWidth="1"/>
    <col min="841" max="841" width="31.6640625" bestFit="1" customWidth="1"/>
    <col min="842" max="842" width="27.1640625" bestFit="1" customWidth="1"/>
    <col min="843" max="843" width="26.5" bestFit="1" customWidth="1"/>
    <col min="844" max="844" width="54.5" bestFit="1" customWidth="1"/>
    <col min="845" max="846" width="19.1640625" bestFit="1" customWidth="1"/>
    <col min="847" max="847" width="19.6640625" bestFit="1" customWidth="1"/>
    <col min="848" max="848" width="42.1640625" bestFit="1" customWidth="1"/>
    <col min="849" max="849" width="27.33203125" bestFit="1" customWidth="1"/>
    <col min="850" max="850" width="15.5" bestFit="1" customWidth="1"/>
    <col min="851" max="851" width="31.5" bestFit="1" customWidth="1"/>
    <col min="852" max="852" width="26.33203125" bestFit="1" customWidth="1"/>
    <col min="853" max="853" width="15.5" bestFit="1" customWidth="1"/>
    <col min="854" max="854" width="34" bestFit="1" customWidth="1"/>
    <col min="855" max="855" width="30.33203125" bestFit="1" customWidth="1"/>
    <col min="856" max="856" width="16.33203125" bestFit="1" customWidth="1"/>
    <col min="857" max="857" width="29.5" bestFit="1" customWidth="1"/>
    <col min="858" max="858" width="15.83203125" bestFit="1" customWidth="1"/>
    <col min="859" max="859" width="13.5" bestFit="1" customWidth="1"/>
    <col min="860" max="860" width="18.1640625" bestFit="1" customWidth="1"/>
    <col min="861" max="861" width="28.1640625" bestFit="1" customWidth="1"/>
    <col min="862" max="862" width="24.33203125" bestFit="1" customWidth="1"/>
    <col min="863" max="863" width="29.1640625" bestFit="1" customWidth="1"/>
    <col min="864" max="864" width="26.6640625" bestFit="1" customWidth="1"/>
    <col min="865" max="865" width="81.5" bestFit="1" customWidth="1"/>
    <col min="866" max="866" width="27.83203125" bestFit="1" customWidth="1"/>
    <col min="867" max="867" width="21.5" bestFit="1" customWidth="1"/>
    <col min="868" max="868" width="32.1640625" bestFit="1" customWidth="1"/>
    <col min="869" max="869" width="26.6640625" bestFit="1" customWidth="1"/>
    <col min="870" max="870" width="17.6640625" bestFit="1" customWidth="1"/>
    <col min="871" max="871" width="15.6640625" bestFit="1" customWidth="1"/>
    <col min="872" max="872" width="21" bestFit="1" customWidth="1"/>
    <col min="873" max="873" width="16" bestFit="1" customWidth="1"/>
    <col min="874" max="874" width="22.5" bestFit="1" customWidth="1"/>
    <col min="875" max="875" width="13.83203125" bestFit="1" customWidth="1"/>
    <col min="876" max="876" width="20" bestFit="1" customWidth="1"/>
    <col min="877" max="877" width="14.5" bestFit="1" customWidth="1"/>
    <col min="878" max="878" width="45.33203125" bestFit="1" customWidth="1"/>
    <col min="879" max="879" width="31.6640625" bestFit="1" customWidth="1"/>
    <col min="880" max="880" width="18.1640625" bestFit="1" customWidth="1"/>
    <col min="881" max="881" width="37.6640625" bestFit="1" customWidth="1"/>
    <col min="882" max="882" width="30" bestFit="1" customWidth="1"/>
    <col min="883" max="883" width="16.6640625" bestFit="1" customWidth="1"/>
    <col min="884" max="884" width="16.5" bestFit="1" customWidth="1"/>
    <col min="885" max="886" width="18.6640625" bestFit="1" customWidth="1"/>
    <col min="887" max="887" width="24.83203125" bestFit="1" customWidth="1"/>
    <col min="888" max="888" width="31" bestFit="1" customWidth="1"/>
    <col min="889" max="889" width="30.1640625" bestFit="1" customWidth="1"/>
    <col min="890" max="890" width="28.5" bestFit="1" customWidth="1"/>
    <col min="891" max="891" width="26.5" bestFit="1" customWidth="1"/>
    <col min="892" max="892" width="23.83203125" bestFit="1" customWidth="1"/>
    <col min="893" max="893" width="22.83203125" bestFit="1" customWidth="1"/>
    <col min="894" max="894" width="30.1640625" bestFit="1" customWidth="1"/>
    <col min="895" max="895" width="12.5" bestFit="1" customWidth="1"/>
    <col min="896" max="896" width="24.33203125" bestFit="1" customWidth="1"/>
    <col min="897" max="897" width="24" bestFit="1" customWidth="1"/>
    <col min="898" max="898" width="13.5" bestFit="1" customWidth="1"/>
    <col min="899" max="899" width="27.6640625" bestFit="1" customWidth="1"/>
    <col min="900" max="900" width="19.33203125" bestFit="1" customWidth="1"/>
    <col min="901" max="901" width="14.83203125" bestFit="1" customWidth="1"/>
    <col min="902" max="902" width="29.5" bestFit="1" customWidth="1"/>
    <col min="903" max="903" width="24" bestFit="1" customWidth="1"/>
    <col min="904" max="904" width="23.5" bestFit="1" customWidth="1"/>
    <col min="905" max="905" width="23.1640625" bestFit="1" customWidth="1"/>
    <col min="906" max="906" width="31.5" bestFit="1" customWidth="1"/>
    <col min="907" max="907" width="15.6640625" bestFit="1" customWidth="1"/>
    <col min="908" max="908" width="19.6640625" bestFit="1" customWidth="1"/>
    <col min="909" max="909" width="28.83203125" bestFit="1" customWidth="1"/>
    <col min="910" max="910" width="14.5" bestFit="1" customWidth="1"/>
    <col min="911" max="911" width="21" bestFit="1" customWidth="1"/>
    <col min="912" max="912" width="27.83203125" bestFit="1" customWidth="1"/>
    <col min="913" max="913" width="30.33203125" bestFit="1" customWidth="1"/>
    <col min="914" max="914" width="19.6640625" bestFit="1" customWidth="1"/>
    <col min="915" max="915" width="13.1640625" bestFit="1" customWidth="1"/>
    <col min="916" max="916" width="29.5" bestFit="1" customWidth="1"/>
    <col min="917" max="917" width="9.6640625" bestFit="1" customWidth="1"/>
    <col min="918" max="918" width="34" bestFit="1" customWidth="1"/>
    <col min="919" max="919" width="24" bestFit="1" customWidth="1"/>
    <col min="920" max="920" width="12.1640625" bestFit="1" customWidth="1"/>
    <col min="921" max="921" width="16.6640625" bestFit="1" customWidth="1"/>
    <col min="922" max="922" width="51" bestFit="1" customWidth="1"/>
    <col min="923" max="923" width="24.5" bestFit="1" customWidth="1"/>
    <col min="924" max="924" width="35.5" bestFit="1" customWidth="1"/>
    <col min="925" max="925" width="15.33203125" bestFit="1" customWidth="1"/>
    <col min="926" max="926" width="29.1640625" bestFit="1" customWidth="1"/>
    <col min="927" max="927" width="30.6640625" bestFit="1" customWidth="1"/>
    <col min="928" max="928" width="24.5" bestFit="1" customWidth="1"/>
    <col min="929" max="929" width="27.83203125" bestFit="1" customWidth="1"/>
    <col min="930" max="930" width="15.83203125" bestFit="1" customWidth="1"/>
    <col min="931" max="931" width="18.33203125" bestFit="1" customWidth="1"/>
    <col min="932" max="932" width="16.5" bestFit="1" customWidth="1"/>
    <col min="933" max="933" width="17.83203125" bestFit="1" customWidth="1"/>
    <col min="934" max="934" width="24.33203125" bestFit="1" customWidth="1"/>
    <col min="935" max="935" width="27.6640625" bestFit="1" customWidth="1"/>
    <col min="936" max="936" width="27.1640625" bestFit="1" customWidth="1"/>
    <col min="937" max="937" width="25" bestFit="1" customWidth="1"/>
    <col min="938" max="938" width="18.1640625" bestFit="1" customWidth="1"/>
    <col min="939" max="939" width="25" bestFit="1" customWidth="1"/>
    <col min="940" max="940" width="25.5" bestFit="1" customWidth="1"/>
    <col min="941" max="941" width="36.6640625" bestFit="1" customWidth="1"/>
    <col min="942" max="942" width="20.6640625" bestFit="1" customWidth="1"/>
    <col min="943" max="943" width="34" bestFit="1" customWidth="1"/>
    <col min="944" max="944" width="29.6640625" bestFit="1" customWidth="1"/>
    <col min="945" max="945" width="28.1640625" bestFit="1" customWidth="1"/>
    <col min="946" max="946" width="14.5" bestFit="1" customWidth="1"/>
    <col min="947" max="947" width="39.1640625" bestFit="1" customWidth="1"/>
    <col min="948" max="948" width="19.1640625" bestFit="1" customWidth="1"/>
    <col min="949" max="949" width="26.5" bestFit="1" customWidth="1"/>
    <col min="950" max="950" width="20.6640625" bestFit="1" customWidth="1"/>
    <col min="951" max="951" width="17.5" bestFit="1" customWidth="1"/>
    <col min="952" max="952" width="28.33203125" bestFit="1" customWidth="1"/>
    <col min="953" max="953" width="40.1640625" bestFit="1" customWidth="1"/>
    <col min="954" max="954" width="29.33203125" bestFit="1" customWidth="1"/>
    <col min="955" max="955" width="30" bestFit="1" customWidth="1"/>
    <col min="956" max="956" width="21.6640625" bestFit="1" customWidth="1"/>
    <col min="957" max="957" width="24.33203125" bestFit="1" customWidth="1"/>
    <col min="958" max="958" width="22" bestFit="1" customWidth="1"/>
    <col min="959" max="959" width="32.5" bestFit="1" customWidth="1"/>
    <col min="960" max="960" width="25.5" bestFit="1" customWidth="1"/>
    <col min="961" max="961" width="27.33203125" bestFit="1" customWidth="1"/>
    <col min="962" max="962" width="28.83203125" bestFit="1" customWidth="1"/>
    <col min="963" max="963" width="21" bestFit="1" customWidth="1"/>
    <col min="964" max="964" width="25.33203125" bestFit="1" customWidth="1"/>
    <col min="965" max="965" width="19.6640625" bestFit="1" customWidth="1"/>
    <col min="966" max="966" width="39.1640625" bestFit="1" customWidth="1"/>
    <col min="967" max="967" width="28.1640625" bestFit="1" customWidth="1"/>
    <col min="968" max="968" width="31.1640625" bestFit="1" customWidth="1"/>
    <col min="969" max="969" width="19.33203125" bestFit="1" customWidth="1"/>
    <col min="970" max="970" width="31.1640625" bestFit="1" customWidth="1"/>
    <col min="971" max="971" width="17.6640625" bestFit="1" customWidth="1"/>
    <col min="972" max="973" width="28.83203125" bestFit="1" customWidth="1"/>
    <col min="974" max="974" width="30.1640625" bestFit="1" customWidth="1"/>
    <col min="975" max="975" width="49.6640625" bestFit="1" customWidth="1"/>
    <col min="976" max="976" width="23.1640625" bestFit="1" customWidth="1"/>
    <col min="977" max="977" width="20.5" bestFit="1" customWidth="1"/>
    <col min="978" max="978" width="22" bestFit="1" customWidth="1"/>
    <col min="979" max="979" width="16.6640625" bestFit="1" customWidth="1"/>
    <col min="980" max="980" width="29.5" bestFit="1" customWidth="1"/>
    <col min="981" max="981" width="20" bestFit="1" customWidth="1"/>
    <col min="982" max="982" width="40" bestFit="1" customWidth="1"/>
    <col min="983" max="983" width="19.5" bestFit="1" customWidth="1"/>
    <col min="984" max="984" width="18.83203125" bestFit="1" customWidth="1"/>
    <col min="985" max="985" width="33.1640625" bestFit="1" customWidth="1"/>
    <col min="986" max="986" width="15.83203125" bestFit="1" customWidth="1"/>
    <col min="987" max="987" width="34.5" bestFit="1" customWidth="1"/>
    <col min="988" max="988" width="19.6640625" bestFit="1" customWidth="1"/>
    <col min="989" max="989" width="28.5" bestFit="1" customWidth="1"/>
    <col min="990" max="990" width="27.6640625" bestFit="1" customWidth="1"/>
    <col min="991" max="991" width="25.6640625" bestFit="1" customWidth="1"/>
    <col min="992" max="992" width="22.5" bestFit="1" customWidth="1"/>
    <col min="993" max="993" width="26.6640625" bestFit="1" customWidth="1"/>
    <col min="994" max="995" width="20.6640625" bestFit="1" customWidth="1"/>
    <col min="996" max="996" width="53.5" bestFit="1" customWidth="1"/>
    <col min="997" max="997" width="50.1640625" bestFit="1" customWidth="1"/>
    <col min="998" max="998" width="29.33203125" bestFit="1" customWidth="1"/>
    <col min="999" max="999" width="26.83203125" bestFit="1" customWidth="1"/>
    <col min="1000" max="1000" width="15.6640625" bestFit="1" customWidth="1"/>
    <col min="1001" max="1001" width="15.83203125" bestFit="1" customWidth="1"/>
    <col min="1002" max="1002" width="17.5" bestFit="1" customWidth="1"/>
    <col min="1003" max="1003" width="29.5" bestFit="1" customWidth="1"/>
    <col min="1004" max="1004" width="31.5" bestFit="1" customWidth="1"/>
    <col min="1005" max="1005" width="31" bestFit="1" customWidth="1"/>
    <col min="1006" max="1006" width="30" bestFit="1" customWidth="1"/>
    <col min="1007" max="1007" width="18.1640625" bestFit="1" customWidth="1"/>
    <col min="1008" max="1008" width="28.33203125" bestFit="1" customWidth="1"/>
    <col min="1009" max="1009" width="32.1640625" bestFit="1" customWidth="1"/>
    <col min="1010" max="1010" width="28.83203125" bestFit="1" customWidth="1"/>
    <col min="1011" max="1011" width="25.6640625" bestFit="1" customWidth="1"/>
    <col min="1012" max="1012" width="44.33203125" bestFit="1" customWidth="1"/>
    <col min="1013" max="1013" width="34.5" bestFit="1" customWidth="1"/>
    <col min="1014" max="1014" width="32.5" bestFit="1" customWidth="1"/>
    <col min="1015" max="1015" width="27.1640625" bestFit="1" customWidth="1"/>
    <col min="1016" max="1016" width="35.83203125" bestFit="1" customWidth="1"/>
    <col min="1017" max="1017" width="15.83203125" bestFit="1" customWidth="1"/>
    <col min="1018" max="1018" width="28.5" bestFit="1" customWidth="1"/>
    <col min="1019" max="1019" width="13.83203125" bestFit="1" customWidth="1"/>
    <col min="1020" max="1020" width="15.5" bestFit="1" customWidth="1"/>
    <col min="1021" max="1021" width="28.33203125" bestFit="1" customWidth="1"/>
    <col min="1022" max="1022" width="14.5" bestFit="1" customWidth="1"/>
    <col min="1023" max="1023" width="22.83203125" bestFit="1" customWidth="1"/>
    <col min="1024" max="1024" width="26.33203125" bestFit="1" customWidth="1"/>
    <col min="1025" max="1025" width="25" bestFit="1" customWidth="1"/>
    <col min="1026" max="1026" width="62.5" bestFit="1" customWidth="1"/>
    <col min="1027" max="1027" width="16.6640625" bestFit="1" customWidth="1"/>
    <col min="1028" max="1029" width="19.5" bestFit="1" customWidth="1"/>
    <col min="1030" max="1030" width="28.33203125" bestFit="1" customWidth="1"/>
    <col min="1031" max="1031" width="18.33203125" bestFit="1" customWidth="1"/>
    <col min="1032" max="1032" width="21" bestFit="1" customWidth="1"/>
    <col min="1033" max="1033" width="17.83203125" bestFit="1" customWidth="1"/>
    <col min="1034" max="1034" width="27.1640625" bestFit="1" customWidth="1"/>
    <col min="1035" max="1035" width="23.1640625" bestFit="1" customWidth="1"/>
    <col min="1036" max="1036" width="25.6640625" bestFit="1" customWidth="1"/>
    <col min="1037" max="1037" width="13.83203125" bestFit="1" customWidth="1"/>
    <col min="1038" max="1038" width="24.5" bestFit="1" customWidth="1"/>
    <col min="1039" max="1039" width="42.1640625" bestFit="1" customWidth="1"/>
    <col min="1040" max="1040" width="30" bestFit="1" customWidth="1"/>
    <col min="1041" max="1041" width="26.83203125" bestFit="1" customWidth="1"/>
    <col min="1042" max="1042" width="15" bestFit="1" customWidth="1"/>
    <col min="1043" max="1043" width="15.6640625" bestFit="1" customWidth="1"/>
    <col min="1044" max="1044" width="30.33203125" bestFit="1" customWidth="1"/>
    <col min="1045" max="1045" width="32" bestFit="1" customWidth="1"/>
    <col min="1046" max="1046" width="25.33203125" bestFit="1" customWidth="1"/>
    <col min="1047" max="1047" width="34.33203125" bestFit="1" customWidth="1"/>
    <col min="1048" max="1048" width="26" bestFit="1" customWidth="1"/>
    <col min="1049" max="1049" width="25" bestFit="1" customWidth="1"/>
    <col min="1050" max="1050" width="37.83203125" bestFit="1" customWidth="1"/>
    <col min="1051" max="1051" width="23.5" bestFit="1" customWidth="1"/>
    <col min="1052" max="1052" width="25.83203125" bestFit="1" customWidth="1"/>
    <col min="1053" max="1053" width="27.1640625" bestFit="1" customWidth="1"/>
    <col min="1054" max="1054" width="23.83203125" bestFit="1" customWidth="1"/>
    <col min="1055" max="1055" width="17.1640625" bestFit="1" customWidth="1"/>
    <col min="1056" max="1056" width="24.33203125" bestFit="1" customWidth="1"/>
    <col min="1057" max="1057" width="17.6640625" bestFit="1" customWidth="1"/>
    <col min="1058" max="1058" width="38.6640625" bestFit="1" customWidth="1"/>
    <col min="1059" max="1059" width="36.6640625" bestFit="1" customWidth="1"/>
    <col min="1060" max="1060" width="17.6640625" bestFit="1" customWidth="1"/>
    <col min="1061" max="1061" width="35.33203125" bestFit="1" customWidth="1"/>
    <col min="1062" max="1062" width="17.33203125" bestFit="1" customWidth="1"/>
    <col min="1063" max="1063" width="21.6640625" bestFit="1" customWidth="1"/>
    <col min="1064" max="1064" width="30.33203125" bestFit="1" customWidth="1"/>
    <col min="1065" max="1065" width="40.6640625" bestFit="1" customWidth="1"/>
    <col min="1066" max="1066" width="36.6640625" bestFit="1" customWidth="1"/>
    <col min="1067" max="1067" width="38.33203125" bestFit="1" customWidth="1"/>
    <col min="1068" max="1068" width="26.5" bestFit="1" customWidth="1"/>
    <col min="1069" max="1069" width="35.83203125" bestFit="1" customWidth="1"/>
    <col min="1070" max="1070" width="24.5" bestFit="1" customWidth="1"/>
    <col min="1071" max="1071" width="17.83203125" bestFit="1" customWidth="1"/>
    <col min="1072" max="1072" width="15.5" bestFit="1" customWidth="1"/>
    <col min="1073" max="1073" width="20" bestFit="1" customWidth="1"/>
    <col min="1074" max="1074" width="39.5" bestFit="1" customWidth="1"/>
    <col min="1075" max="1075" width="33.1640625" bestFit="1" customWidth="1"/>
    <col min="1076" max="1076" width="16.5" bestFit="1" customWidth="1"/>
    <col min="1077" max="1077" width="29.1640625" bestFit="1" customWidth="1"/>
    <col min="1078" max="1078" width="14.5" bestFit="1" customWidth="1"/>
    <col min="1079" max="1079" width="20.5" bestFit="1" customWidth="1"/>
    <col min="1080" max="1080" width="30" bestFit="1" customWidth="1"/>
    <col min="1081" max="1081" width="31.1640625" bestFit="1" customWidth="1"/>
    <col min="1082" max="1082" width="17.5" bestFit="1" customWidth="1"/>
    <col min="1083" max="1083" width="36.33203125" bestFit="1" customWidth="1"/>
    <col min="1084" max="1084" width="24" bestFit="1" customWidth="1"/>
    <col min="1085" max="1085" width="19.6640625" bestFit="1" customWidth="1"/>
    <col min="1086" max="1086" width="29.1640625" bestFit="1" customWidth="1"/>
    <col min="1087" max="1087" width="34.33203125" bestFit="1" customWidth="1"/>
    <col min="1088" max="1088" width="33" bestFit="1" customWidth="1"/>
    <col min="1089" max="1089" width="29.5" bestFit="1" customWidth="1"/>
    <col min="1090" max="1090" width="36.83203125" bestFit="1" customWidth="1"/>
    <col min="1091" max="1091" width="17.83203125" bestFit="1" customWidth="1"/>
    <col min="1092" max="1092" width="29.6640625" bestFit="1" customWidth="1"/>
    <col min="1093" max="1093" width="18.6640625" bestFit="1" customWidth="1"/>
    <col min="1094" max="1094" width="24.33203125" bestFit="1" customWidth="1"/>
    <col min="1095" max="1095" width="20.33203125" bestFit="1" customWidth="1"/>
    <col min="1096" max="1096" width="26" bestFit="1" customWidth="1"/>
    <col min="1097" max="1097" width="14.5" bestFit="1" customWidth="1"/>
    <col min="1098" max="1098" width="41.1640625" bestFit="1" customWidth="1"/>
    <col min="1099" max="1099" width="31.5" bestFit="1" customWidth="1"/>
    <col min="1100" max="1100" width="26.6640625" bestFit="1" customWidth="1"/>
    <col min="1101" max="1101" width="29.5" bestFit="1" customWidth="1"/>
    <col min="1102" max="1102" width="19.1640625" bestFit="1" customWidth="1"/>
    <col min="1103" max="1103" width="15.83203125" bestFit="1" customWidth="1"/>
    <col min="1104" max="1104" width="62.1640625" bestFit="1" customWidth="1"/>
    <col min="1105" max="1105" width="17.6640625" bestFit="1" customWidth="1"/>
    <col min="1106" max="1106" width="29.5" bestFit="1" customWidth="1"/>
    <col min="1107" max="1107" width="29.6640625" bestFit="1" customWidth="1"/>
    <col min="1108" max="1108" width="30.5" bestFit="1" customWidth="1"/>
    <col min="1109" max="1109" width="20.33203125" bestFit="1" customWidth="1"/>
    <col min="1110" max="1110" width="33.5" bestFit="1" customWidth="1"/>
    <col min="1111" max="1111" width="16.33203125" bestFit="1" customWidth="1"/>
    <col min="1112" max="1112" width="34.5" bestFit="1" customWidth="1"/>
    <col min="1113" max="1113" width="7.1640625" bestFit="1" customWidth="1"/>
    <col min="1114" max="1152" width="5.1640625" bestFit="1" customWidth="1"/>
  </cols>
  <sheetData>
    <row r="1" spans="1:1113" s="16" customFormat="1">
      <c r="B1" s="16" t="s">
        <v>2000</v>
      </c>
      <c r="C1" s="16" t="s">
        <v>2001</v>
      </c>
      <c r="D1" s="16" t="s">
        <v>2002</v>
      </c>
      <c r="E1" s="16" t="s">
        <v>2003</v>
      </c>
      <c r="F1" s="16" t="s">
        <v>2004</v>
      </c>
      <c r="G1" s="16" t="s">
        <v>2005</v>
      </c>
      <c r="H1" s="16" t="s">
        <v>2006</v>
      </c>
      <c r="I1" s="16" t="s">
        <v>2007</v>
      </c>
      <c r="J1" s="16" t="s">
        <v>2008</v>
      </c>
      <c r="K1" s="16" t="s">
        <v>2009</v>
      </c>
      <c r="L1" s="16" t="s">
        <v>2010</v>
      </c>
      <c r="M1" s="16" t="s">
        <v>2011</v>
      </c>
      <c r="N1" s="16" t="s">
        <v>2012</v>
      </c>
      <c r="O1" s="16" t="s">
        <v>2013</v>
      </c>
      <c r="P1" s="16" t="s">
        <v>2014</v>
      </c>
      <c r="Q1" s="16" t="s">
        <v>2015</v>
      </c>
      <c r="R1" s="16" t="s">
        <v>2016</v>
      </c>
      <c r="S1" s="16" t="s">
        <v>2017</v>
      </c>
      <c r="T1" s="16" t="s">
        <v>2018</v>
      </c>
      <c r="U1" s="16" t="s">
        <v>2019</v>
      </c>
      <c r="V1" s="16" t="s">
        <v>2020</v>
      </c>
      <c r="W1" s="16" t="s">
        <v>2021</v>
      </c>
      <c r="X1" s="16" t="s">
        <v>2022</v>
      </c>
      <c r="Y1" s="16" t="s">
        <v>2023</v>
      </c>
      <c r="Z1" s="16" t="s">
        <v>2024</v>
      </c>
      <c r="AA1" s="16" t="s">
        <v>2025</v>
      </c>
      <c r="AB1" s="16" t="s">
        <v>2026</v>
      </c>
      <c r="AC1" s="16" t="s">
        <v>2027</v>
      </c>
      <c r="AD1" s="16" t="s">
        <v>2028</v>
      </c>
      <c r="AE1" s="16" t="s">
        <v>2029</v>
      </c>
      <c r="AF1" s="16" t="s">
        <v>2030</v>
      </c>
      <c r="AG1" s="16" t="s">
        <v>2031</v>
      </c>
      <c r="AH1" s="16" t="s">
        <v>2032</v>
      </c>
      <c r="AI1" s="16" t="s">
        <v>2033</v>
      </c>
      <c r="AJ1" s="16" t="s">
        <v>2034</v>
      </c>
      <c r="AK1" s="16" t="s">
        <v>2035</v>
      </c>
      <c r="AL1" s="16" t="s">
        <v>2036</v>
      </c>
      <c r="AM1" s="16" t="s">
        <v>2037</v>
      </c>
      <c r="AN1" s="16" t="s">
        <v>2038</v>
      </c>
      <c r="AO1" s="16" t="s">
        <v>2039</v>
      </c>
      <c r="AP1" s="16" t="s">
        <v>2040</v>
      </c>
      <c r="AQ1" s="16" t="s">
        <v>2041</v>
      </c>
      <c r="AR1" s="16" t="s">
        <v>2042</v>
      </c>
      <c r="AS1" s="16" t="s">
        <v>2043</v>
      </c>
      <c r="AT1" s="16" t="s">
        <v>2044</v>
      </c>
      <c r="AU1" s="16" t="s">
        <v>2045</v>
      </c>
      <c r="AV1" s="16" t="s">
        <v>2046</v>
      </c>
      <c r="AW1" s="16" t="s">
        <v>2047</v>
      </c>
      <c r="AX1" s="16" t="s">
        <v>2048</v>
      </c>
      <c r="AY1" s="16" t="s">
        <v>2049</v>
      </c>
      <c r="AZ1" s="16" t="s">
        <v>2050</v>
      </c>
      <c r="BA1" s="16" t="s">
        <v>2051</v>
      </c>
      <c r="BB1" s="16" t="s">
        <v>2052</v>
      </c>
      <c r="BC1" s="16" t="s">
        <v>2053</v>
      </c>
      <c r="BD1" s="16" t="s">
        <v>2054</v>
      </c>
      <c r="BE1" s="16" t="s">
        <v>2055</v>
      </c>
      <c r="BF1" s="16" t="s">
        <v>2056</v>
      </c>
      <c r="BG1" s="16" t="s">
        <v>2057</v>
      </c>
      <c r="BH1" s="16" t="s">
        <v>2058</v>
      </c>
      <c r="BI1" s="16" t="s">
        <v>2059</v>
      </c>
      <c r="BJ1" s="16" t="s">
        <v>2060</v>
      </c>
      <c r="BK1" s="16" t="s">
        <v>2061</v>
      </c>
      <c r="BL1" s="16" t="s">
        <v>2062</v>
      </c>
      <c r="BM1" s="16" t="s">
        <v>2063</v>
      </c>
      <c r="BN1" s="16" t="s">
        <v>2064</v>
      </c>
      <c r="BO1" s="16" t="s">
        <v>2065</v>
      </c>
      <c r="BP1" s="16" t="s">
        <v>2066</v>
      </c>
      <c r="BQ1" s="16" t="s">
        <v>2067</v>
      </c>
      <c r="BR1" s="16" t="s">
        <v>2068</v>
      </c>
      <c r="BS1" s="16" t="s">
        <v>2069</v>
      </c>
      <c r="BT1" s="16" t="s">
        <v>2070</v>
      </c>
      <c r="BU1" s="16" t="s">
        <v>2071</v>
      </c>
      <c r="BV1" s="16" t="s">
        <v>2072</v>
      </c>
      <c r="BW1" s="16" t="s">
        <v>2073</v>
      </c>
      <c r="BX1" s="16" t="s">
        <v>2074</v>
      </c>
      <c r="BY1" s="16" t="s">
        <v>2075</v>
      </c>
      <c r="BZ1" s="16" t="s">
        <v>2076</v>
      </c>
      <c r="CA1" s="16" t="s">
        <v>2077</v>
      </c>
      <c r="CB1" s="16" t="s">
        <v>2078</v>
      </c>
      <c r="CC1" s="16" t="s">
        <v>2079</v>
      </c>
      <c r="CD1" s="16" t="s">
        <v>2080</v>
      </c>
      <c r="CE1" s="16" t="s">
        <v>2081</v>
      </c>
      <c r="CF1" s="16" t="s">
        <v>2082</v>
      </c>
      <c r="CG1" s="16" t="s">
        <v>2083</v>
      </c>
      <c r="CH1" s="16" t="s">
        <v>2084</v>
      </c>
      <c r="CI1" s="16" t="s">
        <v>2085</v>
      </c>
      <c r="CJ1" s="16" t="s">
        <v>2086</v>
      </c>
      <c r="CK1" s="16" t="s">
        <v>2087</v>
      </c>
      <c r="CL1" s="16" t="s">
        <v>2088</v>
      </c>
      <c r="CM1" s="16" t="s">
        <v>2089</v>
      </c>
      <c r="CN1" s="16" t="s">
        <v>2090</v>
      </c>
      <c r="CO1" s="16" t="s">
        <v>2091</v>
      </c>
      <c r="CP1" s="16" t="s">
        <v>2092</v>
      </c>
      <c r="CQ1" s="16" t="s">
        <v>2093</v>
      </c>
      <c r="CR1" s="16" t="s">
        <v>2094</v>
      </c>
      <c r="CS1" s="16" t="s">
        <v>2095</v>
      </c>
      <c r="CT1" s="16" t="s">
        <v>2096</v>
      </c>
      <c r="CU1" s="16" t="s">
        <v>2097</v>
      </c>
      <c r="CV1" s="16" t="s">
        <v>2098</v>
      </c>
      <c r="CW1" s="16" t="s">
        <v>2099</v>
      </c>
      <c r="CX1" s="16" t="s">
        <v>2100</v>
      </c>
      <c r="CY1" s="16" t="s">
        <v>2101</v>
      </c>
      <c r="CZ1" s="16" t="s">
        <v>2102</v>
      </c>
      <c r="DA1" s="16" t="s">
        <v>2103</v>
      </c>
      <c r="DB1" s="16" t="s">
        <v>2104</v>
      </c>
      <c r="DC1" s="16" t="s">
        <v>2105</v>
      </c>
      <c r="DD1" s="16" t="s">
        <v>2106</v>
      </c>
      <c r="DE1" s="16" t="s">
        <v>2107</v>
      </c>
      <c r="DF1" s="16" t="s">
        <v>2108</v>
      </c>
      <c r="DG1" s="16" t="s">
        <v>2109</v>
      </c>
      <c r="DH1" s="16" t="s">
        <v>2110</v>
      </c>
      <c r="DI1" s="16" t="s">
        <v>2111</v>
      </c>
      <c r="DJ1" s="16" t="s">
        <v>2112</v>
      </c>
      <c r="DK1" s="16" t="s">
        <v>2113</v>
      </c>
      <c r="DL1" s="16" t="s">
        <v>2114</v>
      </c>
      <c r="DM1" s="16" t="s">
        <v>2115</v>
      </c>
      <c r="DN1" s="16" t="s">
        <v>2116</v>
      </c>
      <c r="DO1" s="16" t="s">
        <v>2117</v>
      </c>
      <c r="DP1" s="16" t="s">
        <v>2118</v>
      </c>
      <c r="DQ1" s="16" t="s">
        <v>2119</v>
      </c>
      <c r="DR1" s="16" t="s">
        <v>2120</v>
      </c>
      <c r="DS1" s="16" t="s">
        <v>2121</v>
      </c>
      <c r="DT1" s="16" t="s">
        <v>2122</v>
      </c>
      <c r="DU1" s="16" t="s">
        <v>2123</v>
      </c>
      <c r="DV1" s="16" t="s">
        <v>2124</v>
      </c>
      <c r="DW1" s="16" t="s">
        <v>2125</v>
      </c>
      <c r="DX1" s="16" t="s">
        <v>2126</v>
      </c>
      <c r="DY1" s="16" t="s">
        <v>2127</v>
      </c>
      <c r="DZ1" s="16" t="s">
        <v>2128</v>
      </c>
      <c r="EA1" s="16" t="s">
        <v>2129</v>
      </c>
      <c r="EB1" s="16" t="s">
        <v>2130</v>
      </c>
      <c r="EC1" s="16" t="s">
        <v>2131</v>
      </c>
      <c r="ED1" s="16" t="s">
        <v>2132</v>
      </c>
      <c r="EE1" s="16" t="s">
        <v>2133</v>
      </c>
      <c r="EF1" s="16" t="s">
        <v>2134</v>
      </c>
      <c r="EG1" s="16" t="s">
        <v>2135</v>
      </c>
      <c r="EH1" s="16" t="s">
        <v>2136</v>
      </c>
      <c r="EI1" s="16" t="s">
        <v>2137</v>
      </c>
      <c r="EJ1" s="16" t="s">
        <v>2138</v>
      </c>
      <c r="EK1" s="16" t="s">
        <v>2139</v>
      </c>
      <c r="EL1" s="16" t="s">
        <v>2140</v>
      </c>
      <c r="EM1" s="16" t="s">
        <v>2141</v>
      </c>
      <c r="EN1" s="16" t="s">
        <v>2142</v>
      </c>
      <c r="EO1" s="16" t="s">
        <v>2143</v>
      </c>
      <c r="EP1" s="16" t="s">
        <v>2144</v>
      </c>
      <c r="EQ1" s="16" t="s">
        <v>2145</v>
      </c>
      <c r="ER1" s="16" t="s">
        <v>2146</v>
      </c>
      <c r="ES1" s="16" t="s">
        <v>2147</v>
      </c>
      <c r="ET1" s="16" t="s">
        <v>2148</v>
      </c>
      <c r="EU1" s="16" t="s">
        <v>2149</v>
      </c>
      <c r="EV1" s="16" t="s">
        <v>2150</v>
      </c>
      <c r="EW1" s="16" t="s">
        <v>2151</v>
      </c>
      <c r="EX1" s="16" t="s">
        <v>2152</v>
      </c>
      <c r="EY1" s="16" t="s">
        <v>2153</v>
      </c>
      <c r="EZ1" s="16" t="s">
        <v>2154</v>
      </c>
      <c r="FA1" s="16" t="s">
        <v>2155</v>
      </c>
      <c r="FB1" s="16" t="s">
        <v>2156</v>
      </c>
      <c r="FC1" s="16" t="s">
        <v>2157</v>
      </c>
      <c r="FD1" s="16" t="s">
        <v>2158</v>
      </c>
      <c r="FE1" s="16" t="s">
        <v>2159</v>
      </c>
      <c r="FF1" s="16" t="s">
        <v>2160</v>
      </c>
      <c r="FG1" s="16" t="s">
        <v>2161</v>
      </c>
      <c r="FH1" s="16" t="s">
        <v>2162</v>
      </c>
      <c r="FI1" s="16" t="s">
        <v>2163</v>
      </c>
      <c r="FJ1" s="16" t="s">
        <v>2164</v>
      </c>
      <c r="FK1" s="16" t="s">
        <v>2165</v>
      </c>
      <c r="FL1" s="16" t="s">
        <v>2166</v>
      </c>
      <c r="FM1" s="16" t="s">
        <v>2167</v>
      </c>
      <c r="FN1" s="16" t="s">
        <v>2168</v>
      </c>
      <c r="FO1" s="16" t="s">
        <v>2169</v>
      </c>
      <c r="FP1" s="16" t="s">
        <v>2170</v>
      </c>
      <c r="FQ1" s="16" t="s">
        <v>2171</v>
      </c>
      <c r="FR1" s="16" t="s">
        <v>2172</v>
      </c>
      <c r="FS1" s="16" t="s">
        <v>2173</v>
      </c>
      <c r="FT1" s="16" t="s">
        <v>2174</v>
      </c>
      <c r="FU1" s="16" t="s">
        <v>2175</v>
      </c>
      <c r="FV1" s="16" t="s">
        <v>2176</v>
      </c>
      <c r="FW1" s="16" t="s">
        <v>2177</v>
      </c>
      <c r="FX1" s="16" t="s">
        <v>2178</v>
      </c>
      <c r="FY1" s="16" t="s">
        <v>2179</v>
      </c>
      <c r="FZ1" s="16" t="s">
        <v>2180</v>
      </c>
      <c r="GA1" s="16" t="s">
        <v>2181</v>
      </c>
      <c r="GB1" s="16" t="s">
        <v>2182</v>
      </c>
      <c r="GC1" s="16" t="s">
        <v>2183</v>
      </c>
      <c r="GD1" s="16" t="s">
        <v>2184</v>
      </c>
      <c r="GE1" s="16" t="s">
        <v>2185</v>
      </c>
      <c r="GF1" s="16" t="s">
        <v>2186</v>
      </c>
      <c r="GG1" s="16" t="s">
        <v>2187</v>
      </c>
      <c r="GH1" s="16" t="s">
        <v>2188</v>
      </c>
      <c r="GI1" s="16" t="s">
        <v>2189</v>
      </c>
      <c r="GJ1" s="16" t="s">
        <v>2190</v>
      </c>
      <c r="GK1" s="16" t="s">
        <v>2191</v>
      </c>
      <c r="GL1" s="16" t="s">
        <v>2192</v>
      </c>
      <c r="GM1" s="16" t="s">
        <v>2193</v>
      </c>
      <c r="GN1" s="16" t="s">
        <v>2194</v>
      </c>
      <c r="GO1" s="16" t="s">
        <v>2195</v>
      </c>
      <c r="GP1" s="16" t="s">
        <v>2196</v>
      </c>
      <c r="GQ1" s="16" t="s">
        <v>2197</v>
      </c>
      <c r="GR1" s="16" t="s">
        <v>2198</v>
      </c>
      <c r="GS1" s="16" t="s">
        <v>2199</v>
      </c>
      <c r="GT1" s="16" t="s">
        <v>2200</v>
      </c>
      <c r="GU1" s="16" t="s">
        <v>2201</v>
      </c>
      <c r="GV1" s="16" t="s">
        <v>2202</v>
      </c>
      <c r="GW1" s="16" t="s">
        <v>2203</v>
      </c>
      <c r="GX1" s="16" t="s">
        <v>2204</v>
      </c>
      <c r="GY1" s="16" t="s">
        <v>2205</v>
      </c>
      <c r="GZ1" s="16" t="s">
        <v>2206</v>
      </c>
      <c r="HA1" s="16" t="s">
        <v>2207</v>
      </c>
      <c r="HB1" s="16" t="s">
        <v>2208</v>
      </c>
      <c r="HC1" s="16" t="s">
        <v>2209</v>
      </c>
      <c r="HD1" s="16" t="s">
        <v>2210</v>
      </c>
      <c r="HE1" s="16" t="s">
        <v>2211</v>
      </c>
      <c r="HF1" s="16" t="s">
        <v>2212</v>
      </c>
      <c r="HG1" s="16" t="s">
        <v>2213</v>
      </c>
      <c r="HH1" s="16" t="s">
        <v>2214</v>
      </c>
      <c r="HI1" s="16" t="s">
        <v>2215</v>
      </c>
      <c r="HJ1" s="16" t="s">
        <v>2216</v>
      </c>
      <c r="HK1" s="16" t="s">
        <v>2217</v>
      </c>
      <c r="HL1" s="16" t="s">
        <v>2218</v>
      </c>
      <c r="HM1" s="16" t="s">
        <v>2219</v>
      </c>
      <c r="HN1" s="16" t="s">
        <v>2220</v>
      </c>
      <c r="HO1" s="16" t="s">
        <v>2221</v>
      </c>
      <c r="HP1" s="16" t="s">
        <v>2222</v>
      </c>
      <c r="HQ1" s="16" t="s">
        <v>2223</v>
      </c>
      <c r="HR1" s="16" t="s">
        <v>2224</v>
      </c>
      <c r="HS1" s="16" t="s">
        <v>2225</v>
      </c>
      <c r="HT1" s="16" t="s">
        <v>2226</v>
      </c>
      <c r="HU1" s="16" t="s">
        <v>2227</v>
      </c>
      <c r="HV1" s="16" t="s">
        <v>2228</v>
      </c>
      <c r="HW1" s="16" t="s">
        <v>2229</v>
      </c>
      <c r="HX1" s="16" t="s">
        <v>2230</v>
      </c>
      <c r="HY1" s="16" t="s">
        <v>2231</v>
      </c>
      <c r="HZ1" s="16" t="s">
        <v>2232</v>
      </c>
      <c r="IA1" s="16" t="s">
        <v>2233</v>
      </c>
      <c r="IB1" s="16" t="s">
        <v>2234</v>
      </c>
      <c r="IC1" s="16" t="s">
        <v>2235</v>
      </c>
      <c r="ID1" s="16" t="s">
        <v>2236</v>
      </c>
      <c r="IE1" s="16" t="s">
        <v>2237</v>
      </c>
      <c r="IF1" s="16" t="s">
        <v>2238</v>
      </c>
      <c r="IG1" s="16" t="s">
        <v>2239</v>
      </c>
      <c r="IH1" s="16" t="s">
        <v>2240</v>
      </c>
      <c r="II1" s="16" t="s">
        <v>2241</v>
      </c>
      <c r="IJ1" s="16" t="s">
        <v>2242</v>
      </c>
      <c r="IK1" s="16" t="s">
        <v>2243</v>
      </c>
      <c r="IL1" s="16" t="s">
        <v>2244</v>
      </c>
      <c r="IM1" s="16" t="s">
        <v>2245</v>
      </c>
      <c r="IN1" s="16" t="s">
        <v>2246</v>
      </c>
      <c r="IO1" s="16" t="s">
        <v>2247</v>
      </c>
      <c r="IP1" s="16" t="s">
        <v>2248</v>
      </c>
      <c r="IQ1" s="16" t="s">
        <v>2249</v>
      </c>
      <c r="IR1" s="16" t="s">
        <v>2250</v>
      </c>
      <c r="IS1" s="16" t="s">
        <v>2251</v>
      </c>
      <c r="IT1" s="16" t="s">
        <v>2252</v>
      </c>
      <c r="IU1" s="16" t="s">
        <v>2253</v>
      </c>
      <c r="IV1" s="16" t="s">
        <v>2254</v>
      </c>
      <c r="IW1" s="16" t="s">
        <v>2255</v>
      </c>
      <c r="IX1" s="16" t="s">
        <v>2256</v>
      </c>
      <c r="IY1" s="16" t="s">
        <v>2257</v>
      </c>
      <c r="IZ1" s="16" t="s">
        <v>2258</v>
      </c>
      <c r="JA1" s="16" t="s">
        <v>2259</v>
      </c>
      <c r="JB1" s="16" t="s">
        <v>2260</v>
      </c>
      <c r="JC1" s="16" t="s">
        <v>2261</v>
      </c>
      <c r="JD1" s="16" t="s">
        <v>2262</v>
      </c>
      <c r="JE1" s="16" t="s">
        <v>2263</v>
      </c>
      <c r="JF1" s="16" t="s">
        <v>2264</v>
      </c>
      <c r="JG1" s="16" t="s">
        <v>2265</v>
      </c>
      <c r="JH1" s="16" t="s">
        <v>2266</v>
      </c>
      <c r="JI1" s="16" t="s">
        <v>2267</v>
      </c>
      <c r="JJ1" s="16" t="s">
        <v>2268</v>
      </c>
      <c r="JK1" s="16" t="s">
        <v>2269</v>
      </c>
      <c r="JL1" s="16" t="s">
        <v>2270</v>
      </c>
      <c r="JM1" s="16" t="s">
        <v>2271</v>
      </c>
      <c r="JN1" s="16" t="s">
        <v>2272</v>
      </c>
      <c r="JO1" s="16" t="s">
        <v>2273</v>
      </c>
      <c r="JP1" s="16" t="s">
        <v>2274</v>
      </c>
      <c r="JQ1" s="16" t="s">
        <v>2275</v>
      </c>
      <c r="JR1" s="16" t="s">
        <v>2276</v>
      </c>
      <c r="JS1" s="16" t="s">
        <v>2277</v>
      </c>
      <c r="JT1" s="16" t="s">
        <v>2278</v>
      </c>
      <c r="JU1" s="16" t="s">
        <v>2279</v>
      </c>
      <c r="JV1" s="16" t="s">
        <v>2280</v>
      </c>
      <c r="JW1" s="16" t="s">
        <v>2281</v>
      </c>
      <c r="JX1" s="16" t="s">
        <v>2282</v>
      </c>
      <c r="JY1" s="16" t="s">
        <v>2283</v>
      </c>
      <c r="JZ1" s="16" t="s">
        <v>2284</v>
      </c>
      <c r="KA1" s="16" t="s">
        <v>2285</v>
      </c>
      <c r="KB1" s="16" t="s">
        <v>2286</v>
      </c>
      <c r="KC1" s="16" t="s">
        <v>2287</v>
      </c>
      <c r="KD1" s="16" t="s">
        <v>2288</v>
      </c>
      <c r="KE1" s="16" t="s">
        <v>2289</v>
      </c>
      <c r="KF1" s="16" t="s">
        <v>2290</v>
      </c>
      <c r="KG1" s="16" t="s">
        <v>2291</v>
      </c>
      <c r="KH1" s="16" t="s">
        <v>2292</v>
      </c>
      <c r="KI1" s="16" t="s">
        <v>2293</v>
      </c>
      <c r="KJ1" s="16" t="s">
        <v>2294</v>
      </c>
      <c r="KK1" s="16" t="s">
        <v>2295</v>
      </c>
      <c r="KL1" s="16" t="s">
        <v>2296</v>
      </c>
      <c r="KM1" s="16" t="s">
        <v>2297</v>
      </c>
      <c r="KN1" s="16" t="s">
        <v>2298</v>
      </c>
      <c r="KO1" s="16" t="s">
        <v>2299</v>
      </c>
      <c r="KP1" s="16" t="s">
        <v>2300</v>
      </c>
      <c r="KQ1" s="16" t="s">
        <v>2301</v>
      </c>
      <c r="KR1" s="16" t="s">
        <v>2302</v>
      </c>
      <c r="KS1" s="16" t="s">
        <v>2303</v>
      </c>
      <c r="KT1" s="16" t="s">
        <v>2304</v>
      </c>
      <c r="KU1" s="16" t="s">
        <v>2305</v>
      </c>
      <c r="KV1" s="16" t="s">
        <v>2306</v>
      </c>
      <c r="KW1" s="16" t="s">
        <v>2307</v>
      </c>
      <c r="KX1" s="16" t="s">
        <v>2308</v>
      </c>
      <c r="KY1" s="16" t="s">
        <v>2309</v>
      </c>
      <c r="KZ1" s="16" t="s">
        <v>2310</v>
      </c>
      <c r="LA1" s="16" t="s">
        <v>2311</v>
      </c>
      <c r="LB1" s="16" t="s">
        <v>2312</v>
      </c>
      <c r="LC1" s="16" t="s">
        <v>2313</v>
      </c>
      <c r="LD1" s="16" t="s">
        <v>2314</v>
      </c>
      <c r="LE1" s="16" t="s">
        <v>2315</v>
      </c>
      <c r="LF1" s="16" t="s">
        <v>2316</v>
      </c>
      <c r="LG1" s="16" t="s">
        <v>2317</v>
      </c>
      <c r="LH1" s="16" t="s">
        <v>2318</v>
      </c>
      <c r="LI1" s="16" t="s">
        <v>2319</v>
      </c>
      <c r="LJ1" s="16" t="s">
        <v>2320</v>
      </c>
      <c r="LK1" s="16" t="s">
        <v>2321</v>
      </c>
      <c r="LL1" s="16" t="s">
        <v>2322</v>
      </c>
      <c r="LM1" s="16" t="s">
        <v>2323</v>
      </c>
      <c r="LN1" s="16" t="s">
        <v>2324</v>
      </c>
      <c r="LO1" s="16" t="s">
        <v>2325</v>
      </c>
      <c r="LP1" s="16" t="s">
        <v>2326</v>
      </c>
      <c r="LQ1" s="16" t="s">
        <v>2327</v>
      </c>
      <c r="LR1" s="16" t="s">
        <v>2328</v>
      </c>
      <c r="LS1" s="16" t="s">
        <v>2329</v>
      </c>
      <c r="LT1" s="16" t="s">
        <v>2330</v>
      </c>
      <c r="LU1" s="16" t="s">
        <v>2331</v>
      </c>
      <c r="LV1" s="16" t="s">
        <v>2332</v>
      </c>
      <c r="LW1" s="16" t="s">
        <v>2333</v>
      </c>
      <c r="LX1" s="16" t="s">
        <v>2334</v>
      </c>
      <c r="LY1" s="16" t="s">
        <v>2335</v>
      </c>
      <c r="LZ1" s="16" t="s">
        <v>2336</v>
      </c>
      <c r="MA1" s="16" t="s">
        <v>2337</v>
      </c>
      <c r="MB1" s="16" t="s">
        <v>2338</v>
      </c>
      <c r="MC1" s="16" t="s">
        <v>2339</v>
      </c>
      <c r="MD1" s="16" t="s">
        <v>2340</v>
      </c>
      <c r="ME1" s="16" t="s">
        <v>2341</v>
      </c>
      <c r="MF1" s="16" t="s">
        <v>2342</v>
      </c>
      <c r="MG1" s="16" t="s">
        <v>2343</v>
      </c>
      <c r="MH1" s="16" t="s">
        <v>2344</v>
      </c>
      <c r="MI1" s="16" t="s">
        <v>2345</v>
      </c>
      <c r="MJ1" s="16" t="s">
        <v>2346</v>
      </c>
      <c r="MK1" s="16" t="s">
        <v>2347</v>
      </c>
      <c r="ML1" s="16" t="s">
        <v>2348</v>
      </c>
      <c r="MM1" s="16" t="s">
        <v>2349</v>
      </c>
      <c r="MN1" s="16" t="s">
        <v>2350</v>
      </c>
      <c r="MO1" s="16" t="s">
        <v>2351</v>
      </c>
      <c r="MP1" s="16" t="s">
        <v>2352</v>
      </c>
      <c r="MQ1" s="16" t="s">
        <v>2353</v>
      </c>
      <c r="MR1" s="16" t="s">
        <v>2354</v>
      </c>
      <c r="MS1" s="16" t="s">
        <v>2355</v>
      </c>
      <c r="MT1" s="16" t="s">
        <v>2356</v>
      </c>
      <c r="MU1" s="16" t="s">
        <v>2357</v>
      </c>
      <c r="MV1" s="16" t="s">
        <v>2358</v>
      </c>
      <c r="MW1" s="16" t="s">
        <v>2359</v>
      </c>
      <c r="MX1" s="16" t="s">
        <v>2360</v>
      </c>
      <c r="MY1" s="16" t="s">
        <v>2361</v>
      </c>
      <c r="MZ1" s="16" t="s">
        <v>2362</v>
      </c>
      <c r="NA1" s="16" t="s">
        <v>2363</v>
      </c>
      <c r="NB1" s="16" t="s">
        <v>2364</v>
      </c>
      <c r="NC1" s="16" t="s">
        <v>2365</v>
      </c>
      <c r="ND1" s="16" t="s">
        <v>2366</v>
      </c>
      <c r="NE1" s="16" t="s">
        <v>2367</v>
      </c>
      <c r="NF1" s="16" t="s">
        <v>2368</v>
      </c>
      <c r="NG1" s="16" t="s">
        <v>2369</v>
      </c>
      <c r="NH1" s="16" t="s">
        <v>2370</v>
      </c>
      <c r="NI1" s="16" t="s">
        <v>2371</v>
      </c>
      <c r="NJ1" s="16" t="s">
        <v>2372</v>
      </c>
      <c r="NK1" s="16" t="s">
        <v>2373</v>
      </c>
      <c r="NL1" s="16" t="s">
        <v>2374</v>
      </c>
      <c r="NM1" s="16" t="s">
        <v>2375</v>
      </c>
      <c r="NN1" s="16" t="s">
        <v>2376</v>
      </c>
      <c r="NO1" s="16" t="s">
        <v>2377</v>
      </c>
      <c r="NP1" s="16" t="s">
        <v>2378</v>
      </c>
      <c r="NQ1" s="16" t="s">
        <v>2379</v>
      </c>
      <c r="NR1" s="16" t="s">
        <v>2380</v>
      </c>
      <c r="NS1" s="16" t="s">
        <v>2381</v>
      </c>
      <c r="NT1" s="16" t="s">
        <v>2382</v>
      </c>
      <c r="NU1" s="16" t="s">
        <v>2383</v>
      </c>
      <c r="NV1" s="16" t="s">
        <v>2384</v>
      </c>
      <c r="NW1" s="16" t="s">
        <v>2385</v>
      </c>
      <c r="NX1" s="16" t="s">
        <v>2386</v>
      </c>
      <c r="NY1" s="16" t="s">
        <v>2387</v>
      </c>
      <c r="NZ1" s="16" t="s">
        <v>2388</v>
      </c>
      <c r="OA1" s="16" t="s">
        <v>2389</v>
      </c>
      <c r="OB1" s="16" t="s">
        <v>2390</v>
      </c>
      <c r="OC1" s="16" t="s">
        <v>2391</v>
      </c>
      <c r="OD1" s="16" t="s">
        <v>2392</v>
      </c>
      <c r="OE1" s="16" t="s">
        <v>2393</v>
      </c>
      <c r="OF1" s="16" t="s">
        <v>2394</v>
      </c>
      <c r="OG1" s="16" t="s">
        <v>2395</v>
      </c>
      <c r="OH1" s="16" t="s">
        <v>2396</v>
      </c>
      <c r="OI1" s="16" t="s">
        <v>2397</v>
      </c>
      <c r="OJ1" s="16" t="s">
        <v>2398</v>
      </c>
      <c r="OK1" s="16" t="s">
        <v>2399</v>
      </c>
      <c r="OL1" s="16" t="s">
        <v>2400</v>
      </c>
      <c r="OM1" s="16" t="s">
        <v>2401</v>
      </c>
      <c r="ON1" s="16" t="s">
        <v>2402</v>
      </c>
      <c r="OO1" s="16" t="s">
        <v>2403</v>
      </c>
      <c r="OP1" s="16" t="s">
        <v>2404</v>
      </c>
      <c r="OQ1" s="16" t="s">
        <v>2405</v>
      </c>
      <c r="OR1" s="16" t="s">
        <v>2406</v>
      </c>
      <c r="OS1" s="16" t="s">
        <v>2407</v>
      </c>
      <c r="OT1" s="16" t="s">
        <v>2408</v>
      </c>
      <c r="OU1" s="16" t="s">
        <v>2409</v>
      </c>
      <c r="OV1" s="16" t="s">
        <v>2410</v>
      </c>
      <c r="OW1" s="16" t="s">
        <v>2411</v>
      </c>
      <c r="OX1" s="16" t="s">
        <v>2412</v>
      </c>
      <c r="OY1" s="16" t="s">
        <v>2413</v>
      </c>
      <c r="OZ1" s="16" t="s">
        <v>2414</v>
      </c>
      <c r="PA1" s="16" t="s">
        <v>2415</v>
      </c>
      <c r="PB1" s="16" t="s">
        <v>2416</v>
      </c>
      <c r="PC1" s="16" t="s">
        <v>2417</v>
      </c>
      <c r="PD1" s="16" t="s">
        <v>2418</v>
      </c>
      <c r="PE1" s="16" t="s">
        <v>2419</v>
      </c>
      <c r="PF1" s="16" t="s">
        <v>2420</v>
      </c>
      <c r="PG1" s="16" t="s">
        <v>2421</v>
      </c>
      <c r="PH1" s="16" t="s">
        <v>2422</v>
      </c>
      <c r="PI1" s="16" t="s">
        <v>2423</v>
      </c>
      <c r="PJ1" s="16" t="s">
        <v>2424</v>
      </c>
      <c r="PK1" s="16" t="s">
        <v>2425</v>
      </c>
      <c r="PL1" s="16" t="s">
        <v>2426</v>
      </c>
      <c r="PM1" s="16" t="s">
        <v>2427</v>
      </c>
      <c r="PN1" s="16" t="s">
        <v>2428</v>
      </c>
      <c r="PO1" s="16" t="s">
        <v>2429</v>
      </c>
      <c r="PP1" s="16" t="s">
        <v>2430</v>
      </c>
      <c r="PQ1" s="16" t="s">
        <v>2431</v>
      </c>
      <c r="PR1" s="16" t="s">
        <v>2432</v>
      </c>
      <c r="PS1" s="16" t="s">
        <v>2433</v>
      </c>
      <c r="PT1" s="16" t="s">
        <v>2434</v>
      </c>
      <c r="PU1" s="16" t="s">
        <v>2435</v>
      </c>
      <c r="PV1" s="16" t="s">
        <v>2436</v>
      </c>
      <c r="PW1" s="16" t="s">
        <v>2437</v>
      </c>
      <c r="PX1" s="16" t="s">
        <v>2438</v>
      </c>
      <c r="PY1" s="16" t="s">
        <v>2439</v>
      </c>
      <c r="PZ1" s="16" t="s">
        <v>2440</v>
      </c>
      <c r="QA1" s="16" t="s">
        <v>2441</v>
      </c>
      <c r="QB1" s="16" t="s">
        <v>2442</v>
      </c>
      <c r="QC1" s="16" t="s">
        <v>2443</v>
      </c>
      <c r="QD1" s="16" t="s">
        <v>2444</v>
      </c>
      <c r="QE1" s="16" t="s">
        <v>2445</v>
      </c>
      <c r="QF1" s="16" t="s">
        <v>2446</v>
      </c>
      <c r="QG1" s="16" t="s">
        <v>2447</v>
      </c>
      <c r="QH1" s="16" t="s">
        <v>2448</v>
      </c>
      <c r="QI1" s="16" t="s">
        <v>2449</v>
      </c>
      <c r="QJ1" s="16" t="s">
        <v>2450</v>
      </c>
      <c r="QK1" s="16" t="s">
        <v>2451</v>
      </c>
      <c r="QL1" s="16" t="s">
        <v>2452</v>
      </c>
      <c r="QM1" s="16" t="s">
        <v>2453</v>
      </c>
      <c r="QN1" s="16" t="s">
        <v>2454</v>
      </c>
      <c r="QO1" s="16" t="s">
        <v>2455</v>
      </c>
      <c r="QP1" s="16" t="s">
        <v>2456</v>
      </c>
      <c r="QQ1" s="16" t="s">
        <v>2457</v>
      </c>
      <c r="QR1" s="16" t="s">
        <v>2458</v>
      </c>
      <c r="QS1" s="16" t="s">
        <v>2459</v>
      </c>
      <c r="QT1" s="16" t="s">
        <v>2460</v>
      </c>
      <c r="QU1" s="16" t="s">
        <v>2461</v>
      </c>
      <c r="QV1" s="16" t="s">
        <v>2462</v>
      </c>
      <c r="QW1" s="16" t="s">
        <v>2463</v>
      </c>
      <c r="QX1" s="16" t="s">
        <v>2464</v>
      </c>
      <c r="QY1" s="16" t="s">
        <v>2465</v>
      </c>
      <c r="QZ1" s="16" t="s">
        <v>2466</v>
      </c>
      <c r="RA1" s="16" t="s">
        <v>2467</v>
      </c>
      <c r="RB1" s="16" t="s">
        <v>2468</v>
      </c>
      <c r="RC1" s="16" t="s">
        <v>2469</v>
      </c>
      <c r="RD1" s="16" t="s">
        <v>2470</v>
      </c>
      <c r="RE1" s="16" t="s">
        <v>2471</v>
      </c>
      <c r="RF1" s="16" t="s">
        <v>2472</v>
      </c>
      <c r="RG1" s="16" t="s">
        <v>2473</v>
      </c>
      <c r="RH1" s="16" t="s">
        <v>2474</v>
      </c>
      <c r="RI1" s="16" t="s">
        <v>2475</v>
      </c>
      <c r="RJ1" s="16" t="s">
        <v>2476</v>
      </c>
      <c r="RK1" s="16" t="s">
        <v>2477</v>
      </c>
      <c r="RL1" s="16" t="s">
        <v>2478</v>
      </c>
      <c r="RM1" s="16" t="s">
        <v>2479</v>
      </c>
      <c r="RN1" s="16" t="s">
        <v>2480</v>
      </c>
      <c r="RO1" s="16" t="s">
        <v>2481</v>
      </c>
      <c r="RP1" s="16" t="s">
        <v>2482</v>
      </c>
      <c r="RQ1" s="16" t="s">
        <v>2483</v>
      </c>
      <c r="RR1" s="16" t="s">
        <v>2484</v>
      </c>
      <c r="RS1" s="16" t="s">
        <v>2485</v>
      </c>
      <c r="RT1" s="16" t="s">
        <v>2486</v>
      </c>
      <c r="RU1" s="16" t="s">
        <v>2487</v>
      </c>
      <c r="RV1" s="16" t="s">
        <v>2488</v>
      </c>
      <c r="RW1" s="16" t="s">
        <v>2489</v>
      </c>
      <c r="RX1" s="16" t="s">
        <v>2490</v>
      </c>
      <c r="RY1" s="16" t="s">
        <v>2491</v>
      </c>
      <c r="RZ1" s="16" t="s">
        <v>2492</v>
      </c>
      <c r="SA1" s="16" t="s">
        <v>2493</v>
      </c>
      <c r="SB1" s="16" t="s">
        <v>2494</v>
      </c>
      <c r="SC1" s="16" t="s">
        <v>2495</v>
      </c>
      <c r="SD1" s="16" t="s">
        <v>2496</v>
      </c>
      <c r="SE1" s="16" t="s">
        <v>2497</v>
      </c>
      <c r="SF1" s="16" t="s">
        <v>2498</v>
      </c>
      <c r="SG1" s="16" t="s">
        <v>2499</v>
      </c>
      <c r="SH1" s="16" t="s">
        <v>2500</v>
      </c>
      <c r="SI1" s="16" t="s">
        <v>2501</v>
      </c>
      <c r="SJ1" s="16" t="s">
        <v>2502</v>
      </c>
      <c r="SK1" s="16" t="s">
        <v>2503</v>
      </c>
      <c r="SL1" s="16" t="s">
        <v>2504</v>
      </c>
      <c r="SM1" s="16" t="s">
        <v>2505</v>
      </c>
      <c r="SN1" s="16" t="s">
        <v>2506</v>
      </c>
      <c r="SO1" s="16" t="s">
        <v>2507</v>
      </c>
      <c r="SP1" s="16" t="s">
        <v>2508</v>
      </c>
      <c r="SQ1" s="16" t="s">
        <v>2509</v>
      </c>
      <c r="SR1" s="16" t="s">
        <v>2510</v>
      </c>
      <c r="SS1" s="16" t="s">
        <v>2511</v>
      </c>
      <c r="ST1" s="16" t="s">
        <v>2512</v>
      </c>
      <c r="SU1" s="16" t="s">
        <v>2513</v>
      </c>
      <c r="SV1" s="16" t="s">
        <v>2514</v>
      </c>
      <c r="SW1" s="16" t="s">
        <v>2515</v>
      </c>
      <c r="SX1" s="16" t="s">
        <v>2516</v>
      </c>
      <c r="SY1" s="16" t="s">
        <v>2517</v>
      </c>
      <c r="SZ1" s="16" t="s">
        <v>2518</v>
      </c>
      <c r="TA1" s="16" t="s">
        <v>2519</v>
      </c>
      <c r="TB1" s="16" t="s">
        <v>2520</v>
      </c>
      <c r="TC1" s="16" t="s">
        <v>2521</v>
      </c>
      <c r="TD1" s="16" t="s">
        <v>2522</v>
      </c>
      <c r="TE1" s="16" t="s">
        <v>2523</v>
      </c>
      <c r="TF1" s="16" t="s">
        <v>2524</v>
      </c>
      <c r="TG1" s="16" t="s">
        <v>2525</v>
      </c>
      <c r="TH1" s="16" t="s">
        <v>2526</v>
      </c>
      <c r="TI1" s="16" t="s">
        <v>2527</v>
      </c>
      <c r="TJ1" s="16" t="s">
        <v>2528</v>
      </c>
      <c r="TK1" s="16" t="s">
        <v>2529</v>
      </c>
      <c r="TL1" s="16" t="s">
        <v>2530</v>
      </c>
      <c r="TM1" s="16" t="s">
        <v>2531</v>
      </c>
      <c r="TN1" s="16" t="s">
        <v>2532</v>
      </c>
      <c r="TO1" s="16" t="s">
        <v>2533</v>
      </c>
      <c r="TP1" s="16" t="s">
        <v>2534</v>
      </c>
      <c r="TQ1" s="16" t="s">
        <v>2535</v>
      </c>
      <c r="TR1" s="16" t="s">
        <v>2536</v>
      </c>
      <c r="TS1" s="16" t="s">
        <v>2537</v>
      </c>
      <c r="TT1" s="16" t="s">
        <v>2538</v>
      </c>
      <c r="TU1" s="16" t="s">
        <v>2539</v>
      </c>
      <c r="TV1" s="16" t="s">
        <v>2540</v>
      </c>
      <c r="TW1" s="16" t="s">
        <v>2541</v>
      </c>
      <c r="TX1" s="16" t="s">
        <v>2542</v>
      </c>
      <c r="TY1" s="16" t="s">
        <v>2543</v>
      </c>
      <c r="TZ1" s="16" t="s">
        <v>2544</v>
      </c>
      <c r="UA1" s="16" t="s">
        <v>2545</v>
      </c>
      <c r="UB1" s="16" t="s">
        <v>2546</v>
      </c>
      <c r="UC1" s="16" t="s">
        <v>2547</v>
      </c>
      <c r="UD1" s="16" t="s">
        <v>2548</v>
      </c>
      <c r="UE1" s="16" t="s">
        <v>2549</v>
      </c>
      <c r="UF1" s="16" t="s">
        <v>2550</v>
      </c>
      <c r="UG1" s="16" t="s">
        <v>2551</v>
      </c>
      <c r="UH1" s="16" t="s">
        <v>2552</v>
      </c>
      <c r="UI1" s="16" t="s">
        <v>2553</v>
      </c>
      <c r="UJ1" s="16" t="s">
        <v>2554</v>
      </c>
      <c r="UK1" s="16" t="s">
        <v>2555</v>
      </c>
      <c r="UL1" s="16" t="s">
        <v>2556</v>
      </c>
      <c r="UM1" s="16" t="s">
        <v>2557</v>
      </c>
      <c r="UN1" s="16" t="s">
        <v>2558</v>
      </c>
      <c r="UO1" s="16" t="s">
        <v>2559</v>
      </c>
      <c r="UP1" s="16" t="s">
        <v>2560</v>
      </c>
      <c r="UQ1" s="16" t="s">
        <v>2561</v>
      </c>
      <c r="UR1" s="16" t="s">
        <v>2562</v>
      </c>
      <c r="US1" s="16" t="s">
        <v>2563</v>
      </c>
      <c r="UT1" s="16" t="s">
        <v>2564</v>
      </c>
      <c r="UU1" s="16" t="s">
        <v>2565</v>
      </c>
      <c r="UV1" s="16" t="s">
        <v>2566</v>
      </c>
      <c r="UW1" s="16" t="s">
        <v>2567</v>
      </c>
      <c r="UX1" s="16" t="s">
        <v>2568</v>
      </c>
      <c r="UY1" s="16" t="s">
        <v>2569</v>
      </c>
      <c r="UZ1" s="16" t="s">
        <v>2570</v>
      </c>
      <c r="VA1" s="16" t="s">
        <v>2571</v>
      </c>
      <c r="VB1" s="16" t="s">
        <v>2572</v>
      </c>
      <c r="VC1" s="16" t="s">
        <v>2573</v>
      </c>
      <c r="VD1" s="16" t="s">
        <v>2574</v>
      </c>
      <c r="VE1" s="16" t="s">
        <v>2575</v>
      </c>
      <c r="VF1" s="16" t="s">
        <v>2576</v>
      </c>
      <c r="VG1" s="16" t="s">
        <v>2577</v>
      </c>
      <c r="VH1" s="16" t="s">
        <v>2578</v>
      </c>
      <c r="VI1" s="16" t="s">
        <v>2579</v>
      </c>
      <c r="VJ1" s="16" t="s">
        <v>2580</v>
      </c>
      <c r="VK1" s="16" t="s">
        <v>2581</v>
      </c>
      <c r="VL1" s="16" t="s">
        <v>2582</v>
      </c>
      <c r="VM1" s="16" t="s">
        <v>2583</v>
      </c>
      <c r="VN1" s="16" t="s">
        <v>2584</v>
      </c>
      <c r="VO1" s="16" t="s">
        <v>2585</v>
      </c>
      <c r="VP1" s="16" t="s">
        <v>2586</v>
      </c>
      <c r="VQ1" s="16" t="s">
        <v>2587</v>
      </c>
      <c r="VR1" s="16" t="s">
        <v>2588</v>
      </c>
      <c r="VS1" s="16" t="s">
        <v>2589</v>
      </c>
      <c r="VT1" s="16" t="s">
        <v>2590</v>
      </c>
      <c r="VU1" s="16" t="s">
        <v>2591</v>
      </c>
      <c r="VV1" s="16" t="s">
        <v>2592</v>
      </c>
      <c r="VW1" s="16" t="s">
        <v>2593</v>
      </c>
      <c r="VX1" s="16" t="s">
        <v>2594</v>
      </c>
      <c r="VY1" s="16" t="s">
        <v>2595</v>
      </c>
      <c r="VZ1" s="16" t="s">
        <v>2596</v>
      </c>
      <c r="WA1" s="16" t="s">
        <v>2597</v>
      </c>
      <c r="WB1" s="16" t="s">
        <v>2598</v>
      </c>
      <c r="WC1" s="16" t="s">
        <v>2599</v>
      </c>
      <c r="WD1" s="16" t="s">
        <v>2600</v>
      </c>
      <c r="WE1" s="16" t="s">
        <v>2601</v>
      </c>
      <c r="WF1" s="16" t="s">
        <v>2602</v>
      </c>
      <c r="WG1" s="16" t="s">
        <v>2603</v>
      </c>
      <c r="WH1" s="16" t="s">
        <v>2604</v>
      </c>
      <c r="WI1" s="16" t="s">
        <v>2605</v>
      </c>
      <c r="WJ1" s="16" t="s">
        <v>2606</v>
      </c>
      <c r="WK1" s="16" t="s">
        <v>2607</v>
      </c>
      <c r="WL1" s="16" t="s">
        <v>2608</v>
      </c>
      <c r="WM1" s="16" t="s">
        <v>2609</v>
      </c>
      <c r="WN1" s="16" t="s">
        <v>2610</v>
      </c>
      <c r="WO1" s="16" t="s">
        <v>2611</v>
      </c>
      <c r="WP1" s="16" t="s">
        <v>2612</v>
      </c>
      <c r="WQ1" s="16" t="s">
        <v>2613</v>
      </c>
      <c r="WR1" s="16" t="s">
        <v>2614</v>
      </c>
      <c r="WS1" s="16" t="s">
        <v>2615</v>
      </c>
      <c r="WT1" s="16" t="s">
        <v>2616</v>
      </c>
      <c r="WU1" s="16" t="s">
        <v>2617</v>
      </c>
      <c r="WV1" s="16" t="s">
        <v>2618</v>
      </c>
      <c r="WW1" s="16" t="s">
        <v>2619</v>
      </c>
      <c r="WX1" s="16" t="s">
        <v>2620</v>
      </c>
      <c r="WY1" s="16" t="s">
        <v>2621</v>
      </c>
      <c r="WZ1" s="16" t="s">
        <v>2622</v>
      </c>
      <c r="XA1" s="16" t="s">
        <v>2623</v>
      </c>
      <c r="XB1" s="16" t="s">
        <v>2624</v>
      </c>
      <c r="XC1" s="16" t="s">
        <v>2625</v>
      </c>
      <c r="XD1" s="16" t="s">
        <v>2626</v>
      </c>
      <c r="XE1" s="16" t="s">
        <v>2627</v>
      </c>
      <c r="XF1" s="16" t="s">
        <v>2628</v>
      </c>
      <c r="XG1" s="16" t="s">
        <v>2629</v>
      </c>
      <c r="XH1" s="16" t="s">
        <v>2630</v>
      </c>
      <c r="XI1" s="16" t="s">
        <v>2631</v>
      </c>
      <c r="XJ1" s="16" t="s">
        <v>2632</v>
      </c>
      <c r="XK1" s="16" t="s">
        <v>2633</v>
      </c>
      <c r="XL1" s="16" t="s">
        <v>2634</v>
      </c>
      <c r="XM1" s="16" t="s">
        <v>2635</v>
      </c>
      <c r="XN1" s="16" t="s">
        <v>2636</v>
      </c>
      <c r="XO1" s="16" t="s">
        <v>2637</v>
      </c>
      <c r="XP1" s="16" t="s">
        <v>2638</v>
      </c>
      <c r="XQ1" s="16" t="s">
        <v>2639</v>
      </c>
      <c r="XR1" s="16" t="s">
        <v>2640</v>
      </c>
      <c r="XS1" s="16" t="s">
        <v>2641</v>
      </c>
      <c r="XT1" s="16" t="s">
        <v>2642</v>
      </c>
      <c r="XU1" s="16" t="s">
        <v>2643</v>
      </c>
      <c r="XV1" s="16" t="s">
        <v>2644</v>
      </c>
      <c r="XW1" s="16" t="s">
        <v>2645</v>
      </c>
      <c r="XX1" s="16" t="s">
        <v>2646</v>
      </c>
      <c r="XY1" s="16" t="s">
        <v>2647</v>
      </c>
      <c r="XZ1" s="16" t="s">
        <v>2648</v>
      </c>
      <c r="YA1" s="16" t="s">
        <v>2649</v>
      </c>
      <c r="YB1" s="16" t="s">
        <v>2650</v>
      </c>
      <c r="YC1" s="16" t="s">
        <v>2651</v>
      </c>
      <c r="YD1" s="16" t="s">
        <v>2652</v>
      </c>
      <c r="YE1" s="16" t="s">
        <v>2653</v>
      </c>
      <c r="YF1" s="16" t="s">
        <v>2654</v>
      </c>
      <c r="YG1" s="16" t="s">
        <v>2655</v>
      </c>
      <c r="YH1" s="16" t="s">
        <v>2656</v>
      </c>
      <c r="YI1" s="16" t="s">
        <v>2657</v>
      </c>
      <c r="YJ1" s="16" t="s">
        <v>2658</v>
      </c>
      <c r="YK1" s="16" t="s">
        <v>2659</v>
      </c>
      <c r="YL1" s="16" t="s">
        <v>2660</v>
      </c>
      <c r="YM1" s="16" t="s">
        <v>2661</v>
      </c>
      <c r="YN1" s="16" t="s">
        <v>2662</v>
      </c>
      <c r="YO1" s="16" t="s">
        <v>2663</v>
      </c>
      <c r="YP1" s="16" t="s">
        <v>2664</v>
      </c>
      <c r="YQ1" s="16" t="s">
        <v>2665</v>
      </c>
      <c r="YR1" s="16" t="s">
        <v>2666</v>
      </c>
      <c r="YS1" s="16" t="s">
        <v>2667</v>
      </c>
      <c r="YT1" s="16" t="s">
        <v>2668</v>
      </c>
      <c r="YU1" s="16" t="s">
        <v>2669</v>
      </c>
      <c r="YV1" s="16" t="s">
        <v>2670</v>
      </c>
      <c r="YW1" s="16" t="s">
        <v>2671</v>
      </c>
      <c r="YX1" s="16" t="s">
        <v>2672</v>
      </c>
      <c r="YY1" s="16" t="s">
        <v>2673</v>
      </c>
      <c r="YZ1" s="16" t="s">
        <v>2674</v>
      </c>
      <c r="ZA1" s="16" t="s">
        <v>2675</v>
      </c>
      <c r="ZB1" s="16" t="s">
        <v>2676</v>
      </c>
      <c r="ZC1" s="16" t="s">
        <v>2677</v>
      </c>
      <c r="ZD1" s="16" t="s">
        <v>2678</v>
      </c>
      <c r="ZE1" s="16" t="s">
        <v>2679</v>
      </c>
      <c r="ZF1" s="16" t="s">
        <v>2680</v>
      </c>
      <c r="ZG1" s="16" t="s">
        <v>2681</v>
      </c>
      <c r="ZH1" s="16" t="s">
        <v>2682</v>
      </c>
      <c r="ZI1" s="16" t="s">
        <v>2683</v>
      </c>
      <c r="ZJ1" s="16" t="s">
        <v>2684</v>
      </c>
      <c r="ZK1" s="16" t="s">
        <v>2685</v>
      </c>
      <c r="ZL1" s="16" t="s">
        <v>2686</v>
      </c>
      <c r="ZM1" s="16" t="s">
        <v>2687</v>
      </c>
      <c r="ZN1" s="16" t="s">
        <v>2688</v>
      </c>
      <c r="ZO1" s="16" t="s">
        <v>2689</v>
      </c>
      <c r="ZP1" s="16" t="s">
        <v>2690</v>
      </c>
      <c r="ZQ1" s="16" t="s">
        <v>2691</v>
      </c>
      <c r="ZR1" s="16" t="s">
        <v>2692</v>
      </c>
      <c r="ZS1" s="16" t="s">
        <v>2693</v>
      </c>
      <c r="ZT1" s="16" t="s">
        <v>2694</v>
      </c>
      <c r="ZU1" s="16" t="s">
        <v>2695</v>
      </c>
      <c r="ZV1" s="16" t="s">
        <v>2696</v>
      </c>
      <c r="ZW1" s="16" t="s">
        <v>2697</v>
      </c>
      <c r="ZX1" s="16" t="s">
        <v>2698</v>
      </c>
      <c r="ZY1" s="16" t="s">
        <v>2699</v>
      </c>
      <c r="ZZ1" s="16" t="s">
        <v>2700</v>
      </c>
      <c r="AAA1" s="16" t="s">
        <v>2701</v>
      </c>
      <c r="AAB1" s="16" t="s">
        <v>2702</v>
      </c>
      <c r="AAC1" s="16" t="s">
        <v>2703</v>
      </c>
      <c r="AAD1" s="16" t="s">
        <v>2704</v>
      </c>
      <c r="AAE1" s="16" t="s">
        <v>2705</v>
      </c>
      <c r="AAF1" s="16" t="s">
        <v>2706</v>
      </c>
      <c r="AAG1" s="16" t="s">
        <v>2707</v>
      </c>
      <c r="AAH1" s="16" t="s">
        <v>2708</v>
      </c>
      <c r="AAI1" s="16" t="s">
        <v>2709</v>
      </c>
      <c r="AAJ1" s="16" t="s">
        <v>2710</v>
      </c>
      <c r="AAK1" s="16" t="s">
        <v>2711</v>
      </c>
      <c r="AAL1" s="16" t="s">
        <v>2712</v>
      </c>
      <c r="AAM1" s="16" t="s">
        <v>2713</v>
      </c>
      <c r="AAN1" s="16" t="s">
        <v>2714</v>
      </c>
      <c r="AAO1" s="16" t="s">
        <v>2715</v>
      </c>
      <c r="AAP1" s="16" t="s">
        <v>2716</v>
      </c>
      <c r="AAQ1" s="16" t="s">
        <v>2717</v>
      </c>
      <c r="AAR1" s="16" t="s">
        <v>2718</v>
      </c>
      <c r="AAS1" s="16" t="s">
        <v>2719</v>
      </c>
      <c r="AAT1" s="16" t="s">
        <v>2720</v>
      </c>
      <c r="AAU1" s="16" t="s">
        <v>2721</v>
      </c>
      <c r="AAV1" s="16" t="s">
        <v>2722</v>
      </c>
      <c r="AAW1" s="16" t="s">
        <v>2723</v>
      </c>
      <c r="AAX1" s="16" t="s">
        <v>2724</v>
      </c>
      <c r="AAY1" s="16" t="s">
        <v>2725</v>
      </c>
      <c r="AAZ1" s="16" t="s">
        <v>2726</v>
      </c>
      <c r="ABA1" s="16" t="s">
        <v>2727</v>
      </c>
      <c r="ABB1" s="16" t="s">
        <v>2728</v>
      </c>
      <c r="ABC1" s="16" t="s">
        <v>2729</v>
      </c>
      <c r="ABD1" s="16" t="s">
        <v>2730</v>
      </c>
      <c r="ABE1" s="16" t="s">
        <v>2731</v>
      </c>
      <c r="ABF1" s="16" t="s">
        <v>2732</v>
      </c>
      <c r="ABG1" s="16" t="s">
        <v>2733</v>
      </c>
      <c r="ABH1" s="16" t="s">
        <v>2734</v>
      </c>
      <c r="ABI1" s="16" t="s">
        <v>2735</v>
      </c>
      <c r="ABJ1" s="16" t="s">
        <v>2736</v>
      </c>
      <c r="ABK1" s="16" t="s">
        <v>2737</v>
      </c>
      <c r="ABL1" s="16" t="s">
        <v>2738</v>
      </c>
      <c r="ABM1" s="16" t="s">
        <v>2739</v>
      </c>
      <c r="ABN1" s="16" t="s">
        <v>2740</v>
      </c>
      <c r="ABO1" s="16" t="s">
        <v>2741</v>
      </c>
      <c r="ABP1" s="16" t="s">
        <v>2742</v>
      </c>
      <c r="ABQ1" s="16" t="s">
        <v>2743</v>
      </c>
      <c r="ABR1" s="16" t="s">
        <v>2744</v>
      </c>
      <c r="ABS1" s="16" t="s">
        <v>2745</v>
      </c>
      <c r="ABT1" s="16" t="s">
        <v>2746</v>
      </c>
      <c r="ABU1" s="16" t="s">
        <v>2747</v>
      </c>
      <c r="ABV1" s="16" t="s">
        <v>2748</v>
      </c>
      <c r="ABW1" s="16" t="s">
        <v>2749</v>
      </c>
      <c r="ABX1" s="16" t="s">
        <v>2750</v>
      </c>
      <c r="ABY1" s="16" t="s">
        <v>2751</v>
      </c>
      <c r="ABZ1" s="16" t="s">
        <v>2752</v>
      </c>
      <c r="ACA1" s="16" t="s">
        <v>2753</v>
      </c>
      <c r="ACB1" s="16" t="s">
        <v>2754</v>
      </c>
      <c r="ACC1" s="16" t="s">
        <v>2755</v>
      </c>
      <c r="ACD1" s="16" t="s">
        <v>2756</v>
      </c>
      <c r="ACE1" s="16" t="s">
        <v>2757</v>
      </c>
      <c r="ACF1" s="16" t="s">
        <v>2758</v>
      </c>
      <c r="ACG1" s="16" t="s">
        <v>2759</v>
      </c>
      <c r="ACH1" s="16" t="s">
        <v>2760</v>
      </c>
      <c r="ACI1" s="16" t="s">
        <v>2761</v>
      </c>
      <c r="ACJ1" s="16" t="s">
        <v>2762</v>
      </c>
      <c r="ACK1" s="16" t="s">
        <v>2763</v>
      </c>
      <c r="ACL1" s="16" t="s">
        <v>2764</v>
      </c>
      <c r="ACM1" s="16" t="s">
        <v>2765</v>
      </c>
      <c r="ACN1" s="16" t="s">
        <v>2766</v>
      </c>
      <c r="ACO1" s="16" t="s">
        <v>2767</v>
      </c>
      <c r="ACP1" s="16" t="s">
        <v>2768</v>
      </c>
      <c r="ACQ1" s="16" t="s">
        <v>2769</v>
      </c>
      <c r="ACR1" s="16" t="s">
        <v>2770</v>
      </c>
      <c r="ACS1" s="16" t="s">
        <v>2771</v>
      </c>
      <c r="ACT1" s="16" t="s">
        <v>2772</v>
      </c>
      <c r="ACU1" s="16" t="s">
        <v>2773</v>
      </c>
      <c r="ACV1" s="16" t="s">
        <v>2774</v>
      </c>
      <c r="ACW1" s="16" t="s">
        <v>2775</v>
      </c>
      <c r="ACX1" s="16" t="s">
        <v>2776</v>
      </c>
      <c r="ACY1" s="16" t="s">
        <v>2777</v>
      </c>
      <c r="ACZ1" s="16" t="s">
        <v>2778</v>
      </c>
      <c r="ADA1" s="16" t="s">
        <v>2779</v>
      </c>
      <c r="ADB1" s="16" t="s">
        <v>2780</v>
      </c>
      <c r="ADC1" s="16" t="s">
        <v>2781</v>
      </c>
      <c r="ADD1" s="16" t="s">
        <v>2782</v>
      </c>
      <c r="ADE1" s="16" t="s">
        <v>2783</v>
      </c>
      <c r="ADF1" s="16" t="s">
        <v>2784</v>
      </c>
      <c r="ADG1" s="16" t="s">
        <v>2785</v>
      </c>
      <c r="ADH1" s="16" t="s">
        <v>2786</v>
      </c>
      <c r="ADI1" s="16" t="s">
        <v>2787</v>
      </c>
      <c r="ADJ1" s="16" t="s">
        <v>2788</v>
      </c>
      <c r="ADK1" s="16" t="s">
        <v>2789</v>
      </c>
      <c r="ADL1" s="16" t="s">
        <v>2790</v>
      </c>
      <c r="ADM1" s="16" t="s">
        <v>2791</v>
      </c>
      <c r="ADN1" s="16" t="s">
        <v>2792</v>
      </c>
      <c r="ADO1" s="16" t="s">
        <v>2793</v>
      </c>
      <c r="ADP1" s="16" t="s">
        <v>2794</v>
      </c>
      <c r="ADQ1" s="16" t="s">
        <v>2795</v>
      </c>
      <c r="ADR1" s="16" t="s">
        <v>2796</v>
      </c>
      <c r="ADS1" s="16" t="s">
        <v>2797</v>
      </c>
      <c r="ADT1" s="16" t="s">
        <v>2798</v>
      </c>
      <c r="ADU1" s="16" t="s">
        <v>2799</v>
      </c>
      <c r="ADV1" s="16" t="s">
        <v>2800</v>
      </c>
      <c r="ADW1" s="16" t="s">
        <v>2801</v>
      </c>
      <c r="ADX1" s="16" t="s">
        <v>2802</v>
      </c>
      <c r="ADY1" s="16" t="s">
        <v>2803</v>
      </c>
      <c r="ADZ1" s="16" t="s">
        <v>2804</v>
      </c>
      <c r="AEA1" s="16" t="s">
        <v>2805</v>
      </c>
      <c r="AEB1" s="16" t="s">
        <v>2806</v>
      </c>
      <c r="AEC1" s="16" t="s">
        <v>2807</v>
      </c>
      <c r="AED1" s="16" t="s">
        <v>2808</v>
      </c>
      <c r="AEE1" s="16" t="s">
        <v>2809</v>
      </c>
      <c r="AEF1" s="16" t="s">
        <v>2810</v>
      </c>
      <c r="AEG1" s="16" t="s">
        <v>2811</v>
      </c>
      <c r="AEH1" s="16" t="s">
        <v>2812</v>
      </c>
      <c r="AEI1" s="16" t="s">
        <v>2813</v>
      </c>
      <c r="AEJ1" s="16" t="s">
        <v>2814</v>
      </c>
      <c r="AEK1" s="16" t="s">
        <v>2815</v>
      </c>
      <c r="AEL1" s="16" t="s">
        <v>2816</v>
      </c>
      <c r="AEM1" s="16" t="s">
        <v>2817</v>
      </c>
      <c r="AEN1" s="16" t="s">
        <v>2818</v>
      </c>
      <c r="AEO1" s="16" t="s">
        <v>2819</v>
      </c>
      <c r="AEP1" s="16" t="s">
        <v>2820</v>
      </c>
      <c r="AEQ1" s="16" t="s">
        <v>2821</v>
      </c>
      <c r="AER1" s="16" t="s">
        <v>2822</v>
      </c>
      <c r="AES1" s="16" t="s">
        <v>2823</v>
      </c>
      <c r="AET1" s="16" t="s">
        <v>2824</v>
      </c>
      <c r="AEU1" s="16" t="s">
        <v>2825</v>
      </c>
      <c r="AEV1" s="16" t="s">
        <v>2826</v>
      </c>
      <c r="AEW1" s="16" t="s">
        <v>2827</v>
      </c>
      <c r="AEX1" s="16" t="s">
        <v>2828</v>
      </c>
      <c r="AEY1" s="16" t="s">
        <v>2829</v>
      </c>
      <c r="AEZ1" s="16" t="s">
        <v>2830</v>
      </c>
      <c r="AFA1" s="16" t="s">
        <v>2831</v>
      </c>
      <c r="AFB1" s="16" t="s">
        <v>2832</v>
      </c>
      <c r="AFC1" s="16" t="s">
        <v>2833</v>
      </c>
      <c r="AFD1" s="16" t="s">
        <v>2834</v>
      </c>
      <c r="AFE1" s="16" t="s">
        <v>2835</v>
      </c>
      <c r="AFF1" s="16" t="s">
        <v>2836</v>
      </c>
      <c r="AFG1" s="16" t="s">
        <v>2837</v>
      </c>
      <c r="AFH1" s="16" t="s">
        <v>2838</v>
      </c>
      <c r="AFI1" s="16" t="s">
        <v>2839</v>
      </c>
      <c r="AFJ1" s="16" t="s">
        <v>2840</v>
      </c>
      <c r="AFK1" s="16" t="s">
        <v>2841</v>
      </c>
      <c r="AFL1" s="16" t="s">
        <v>2842</v>
      </c>
      <c r="AFM1" s="16" t="s">
        <v>2843</v>
      </c>
      <c r="AFN1" s="16" t="s">
        <v>2844</v>
      </c>
      <c r="AFO1" s="16" t="s">
        <v>2845</v>
      </c>
      <c r="AFP1" s="16" t="s">
        <v>2846</v>
      </c>
      <c r="AFQ1" s="16" t="s">
        <v>2847</v>
      </c>
      <c r="AFR1" s="16" t="s">
        <v>2848</v>
      </c>
      <c r="AFS1" s="16" t="s">
        <v>2849</v>
      </c>
      <c r="AFT1" s="16" t="s">
        <v>2850</v>
      </c>
      <c r="AFU1" s="16" t="s">
        <v>2851</v>
      </c>
      <c r="AFV1" s="16" t="s">
        <v>2852</v>
      </c>
      <c r="AFW1" s="16" t="s">
        <v>2853</v>
      </c>
      <c r="AFX1" s="16" t="s">
        <v>2854</v>
      </c>
      <c r="AFY1" s="16" t="s">
        <v>2855</v>
      </c>
      <c r="AFZ1" s="16" t="s">
        <v>2856</v>
      </c>
      <c r="AGA1" s="16" t="s">
        <v>2857</v>
      </c>
      <c r="AGB1" s="16" t="s">
        <v>2858</v>
      </c>
      <c r="AGC1" s="16" t="s">
        <v>2859</v>
      </c>
      <c r="AGD1" s="16" t="s">
        <v>2860</v>
      </c>
      <c r="AGE1" s="16" t="s">
        <v>2861</v>
      </c>
      <c r="AGF1" s="16" t="s">
        <v>2862</v>
      </c>
      <c r="AGG1" s="16" t="s">
        <v>2863</v>
      </c>
      <c r="AGH1" s="16" t="s">
        <v>2864</v>
      </c>
      <c r="AGI1" s="16" t="s">
        <v>2865</v>
      </c>
      <c r="AGJ1" s="16" t="s">
        <v>2866</v>
      </c>
      <c r="AGK1" s="16" t="s">
        <v>2867</v>
      </c>
      <c r="AGL1" s="16" t="s">
        <v>2868</v>
      </c>
      <c r="AGM1" s="16" t="s">
        <v>2869</v>
      </c>
      <c r="AGN1" s="16" t="s">
        <v>2870</v>
      </c>
      <c r="AGO1" s="16" t="s">
        <v>2871</v>
      </c>
      <c r="AGP1" s="16" t="s">
        <v>2872</v>
      </c>
      <c r="AGQ1" s="16" t="s">
        <v>2873</v>
      </c>
      <c r="AGR1" s="16" t="s">
        <v>2874</v>
      </c>
      <c r="AGS1" s="16" t="s">
        <v>2875</v>
      </c>
      <c r="AGT1" s="16" t="s">
        <v>2876</v>
      </c>
      <c r="AGU1" s="16" t="s">
        <v>2877</v>
      </c>
      <c r="AGV1" s="16" t="s">
        <v>2878</v>
      </c>
      <c r="AGW1" s="16" t="s">
        <v>2879</v>
      </c>
      <c r="AGX1" s="16" t="s">
        <v>2880</v>
      </c>
      <c r="AGY1" s="16" t="s">
        <v>2881</v>
      </c>
      <c r="AGZ1" s="16" t="s">
        <v>2882</v>
      </c>
      <c r="AHA1" s="16" t="s">
        <v>2883</v>
      </c>
      <c r="AHB1" s="16" t="s">
        <v>2884</v>
      </c>
      <c r="AHC1" s="16" t="s">
        <v>2885</v>
      </c>
      <c r="AHD1" s="16" t="s">
        <v>2886</v>
      </c>
      <c r="AHE1" s="16" t="s">
        <v>2887</v>
      </c>
      <c r="AHF1" s="16" t="s">
        <v>2888</v>
      </c>
      <c r="AHG1" s="16" t="s">
        <v>2889</v>
      </c>
      <c r="AHH1" s="16" t="s">
        <v>2890</v>
      </c>
      <c r="AHI1" s="16" t="s">
        <v>2891</v>
      </c>
      <c r="AHJ1" s="16" t="s">
        <v>2892</v>
      </c>
      <c r="AHK1" s="16" t="s">
        <v>2893</v>
      </c>
      <c r="AHL1" s="16" t="s">
        <v>2894</v>
      </c>
      <c r="AHM1" s="16" t="s">
        <v>2895</v>
      </c>
      <c r="AHN1" s="16" t="s">
        <v>2896</v>
      </c>
      <c r="AHO1" s="16" t="s">
        <v>2897</v>
      </c>
      <c r="AHP1" s="16" t="s">
        <v>2898</v>
      </c>
      <c r="AHQ1" s="16" t="s">
        <v>2899</v>
      </c>
      <c r="AHR1" s="16" t="s">
        <v>2900</v>
      </c>
      <c r="AHS1" s="16" t="s">
        <v>2901</v>
      </c>
      <c r="AHT1" s="16" t="s">
        <v>2902</v>
      </c>
      <c r="AHU1" s="16" t="s">
        <v>2903</v>
      </c>
      <c r="AHV1" s="16" t="s">
        <v>2904</v>
      </c>
      <c r="AHW1" s="16" t="s">
        <v>2905</v>
      </c>
      <c r="AHX1" s="16" t="s">
        <v>2906</v>
      </c>
      <c r="AHY1" s="16" t="s">
        <v>2907</v>
      </c>
      <c r="AHZ1" s="16" t="s">
        <v>2908</v>
      </c>
      <c r="AIA1" s="16" t="s">
        <v>2909</v>
      </c>
      <c r="AIB1" s="16" t="s">
        <v>2910</v>
      </c>
      <c r="AIC1" s="16" t="s">
        <v>2911</v>
      </c>
      <c r="AID1" s="16" t="s">
        <v>2912</v>
      </c>
      <c r="AIE1" s="16" t="s">
        <v>2913</v>
      </c>
      <c r="AIF1" s="16" t="s">
        <v>2914</v>
      </c>
      <c r="AIG1" s="16" t="s">
        <v>2915</v>
      </c>
      <c r="AIH1" s="16" t="s">
        <v>2916</v>
      </c>
      <c r="AII1" s="16" t="s">
        <v>2917</v>
      </c>
      <c r="AIJ1" s="16" t="s">
        <v>2918</v>
      </c>
      <c r="AIK1" s="16" t="s">
        <v>2919</v>
      </c>
      <c r="AIL1" s="16" t="s">
        <v>2920</v>
      </c>
      <c r="AIM1" s="16" t="s">
        <v>2921</v>
      </c>
      <c r="AIN1" s="16" t="s">
        <v>2922</v>
      </c>
      <c r="AIO1" s="16" t="s">
        <v>2923</v>
      </c>
      <c r="AIP1" s="16" t="s">
        <v>2924</v>
      </c>
      <c r="AIQ1" s="16" t="s">
        <v>2925</v>
      </c>
      <c r="AIR1" s="16" t="s">
        <v>2926</v>
      </c>
      <c r="AIS1" s="16" t="s">
        <v>2927</v>
      </c>
      <c r="AIT1" s="16" t="s">
        <v>2928</v>
      </c>
      <c r="AIU1" s="16" t="s">
        <v>2929</v>
      </c>
      <c r="AIV1" s="16" t="s">
        <v>2930</v>
      </c>
      <c r="AIW1" s="16" t="s">
        <v>2931</v>
      </c>
      <c r="AIX1" s="16" t="s">
        <v>2932</v>
      </c>
      <c r="AIY1" s="16" t="s">
        <v>2933</v>
      </c>
      <c r="AIZ1" s="16" t="s">
        <v>2934</v>
      </c>
      <c r="AJA1" s="16" t="s">
        <v>2935</v>
      </c>
      <c r="AJB1" s="16" t="s">
        <v>2936</v>
      </c>
      <c r="AJC1" s="16" t="s">
        <v>2937</v>
      </c>
      <c r="AJD1" s="16" t="s">
        <v>2938</v>
      </c>
      <c r="AJE1" s="16" t="s">
        <v>2939</v>
      </c>
      <c r="AJF1" s="16" t="s">
        <v>2940</v>
      </c>
      <c r="AJG1" s="16" t="s">
        <v>2941</v>
      </c>
      <c r="AJH1" s="16" t="s">
        <v>2942</v>
      </c>
      <c r="AJI1" s="16" t="s">
        <v>2943</v>
      </c>
      <c r="AJJ1" s="16" t="s">
        <v>2944</v>
      </c>
      <c r="AJK1" s="16" t="s">
        <v>2945</v>
      </c>
      <c r="AJL1" s="16" t="s">
        <v>2946</v>
      </c>
      <c r="AJM1" s="16" t="s">
        <v>2947</v>
      </c>
      <c r="AJN1" s="16" t="s">
        <v>2948</v>
      </c>
      <c r="AJO1" s="16" t="s">
        <v>2949</v>
      </c>
      <c r="AJP1" s="16" t="s">
        <v>2950</v>
      </c>
      <c r="AJQ1" s="16" t="s">
        <v>2951</v>
      </c>
      <c r="AJR1" s="16" t="s">
        <v>2952</v>
      </c>
      <c r="AJS1" s="16" t="s">
        <v>2953</v>
      </c>
      <c r="AJT1" s="16" t="s">
        <v>2954</v>
      </c>
      <c r="AJU1" s="16" t="s">
        <v>2955</v>
      </c>
      <c r="AJV1" s="16" t="s">
        <v>2956</v>
      </c>
      <c r="AJW1" s="16" t="s">
        <v>2957</v>
      </c>
      <c r="AJX1" s="16" t="s">
        <v>2958</v>
      </c>
      <c r="AJY1" s="16" t="s">
        <v>2959</v>
      </c>
      <c r="AJZ1" s="16" t="s">
        <v>2960</v>
      </c>
      <c r="AKA1" s="16" t="s">
        <v>2961</v>
      </c>
      <c r="AKB1" s="16" t="s">
        <v>2962</v>
      </c>
      <c r="AKC1" s="16" t="s">
        <v>2963</v>
      </c>
      <c r="AKD1" s="16" t="s">
        <v>2964</v>
      </c>
      <c r="AKE1" s="16" t="s">
        <v>2965</v>
      </c>
      <c r="AKF1" s="16" t="s">
        <v>2966</v>
      </c>
      <c r="AKG1" s="16" t="s">
        <v>2967</v>
      </c>
      <c r="AKH1" s="16" t="s">
        <v>2968</v>
      </c>
      <c r="AKI1" s="16" t="s">
        <v>2969</v>
      </c>
      <c r="AKJ1" s="16" t="s">
        <v>2970</v>
      </c>
      <c r="AKK1" s="16" t="s">
        <v>2971</v>
      </c>
      <c r="AKL1" s="16" t="s">
        <v>2972</v>
      </c>
      <c r="AKM1" s="16" t="s">
        <v>2973</v>
      </c>
      <c r="AKN1" s="16" t="s">
        <v>2974</v>
      </c>
      <c r="AKO1" s="16" t="s">
        <v>2975</v>
      </c>
      <c r="AKP1" s="16" t="s">
        <v>2976</v>
      </c>
      <c r="AKQ1" s="16" t="s">
        <v>2977</v>
      </c>
      <c r="AKR1" s="16" t="s">
        <v>2978</v>
      </c>
      <c r="AKS1" s="16" t="s">
        <v>2979</v>
      </c>
      <c r="AKT1" s="16" t="s">
        <v>2980</v>
      </c>
      <c r="AKU1" s="16" t="s">
        <v>2981</v>
      </c>
      <c r="AKV1" s="16" t="s">
        <v>2982</v>
      </c>
      <c r="AKW1" s="16" t="s">
        <v>2983</v>
      </c>
      <c r="AKX1" s="16" t="s">
        <v>2984</v>
      </c>
      <c r="AKY1" s="16" t="s">
        <v>2985</v>
      </c>
      <c r="AKZ1" s="16" t="s">
        <v>2986</v>
      </c>
      <c r="ALA1" s="16" t="s">
        <v>2987</v>
      </c>
      <c r="ALB1" s="16" t="s">
        <v>2988</v>
      </c>
      <c r="ALC1" s="16" t="s">
        <v>2989</v>
      </c>
      <c r="ALD1" s="16" t="s">
        <v>2990</v>
      </c>
      <c r="ALE1" s="16" t="s">
        <v>2991</v>
      </c>
      <c r="ALF1" s="16" t="s">
        <v>2992</v>
      </c>
      <c r="ALG1" s="16" t="s">
        <v>2993</v>
      </c>
      <c r="ALH1" s="16" t="s">
        <v>2994</v>
      </c>
      <c r="ALI1" s="16" t="s">
        <v>2995</v>
      </c>
      <c r="ALJ1" s="16" t="s">
        <v>2996</v>
      </c>
      <c r="ALK1" s="16" t="s">
        <v>2997</v>
      </c>
      <c r="ALL1" s="16" t="s">
        <v>2998</v>
      </c>
      <c r="ALM1" s="16" t="s">
        <v>2999</v>
      </c>
      <c r="ALN1" s="16" t="s">
        <v>3000</v>
      </c>
      <c r="ALO1" s="16" t="s">
        <v>3001</v>
      </c>
      <c r="ALP1" s="16" t="s">
        <v>3002</v>
      </c>
      <c r="ALQ1" s="16" t="s">
        <v>3003</v>
      </c>
      <c r="ALR1" s="16" t="s">
        <v>3004</v>
      </c>
      <c r="ALS1" s="16" t="s">
        <v>3005</v>
      </c>
      <c r="ALT1" s="16" t="s">
        <v>3006</v>
      </c>
      <c r="ALU1" s="16" t="s">
        <v>3007</v>
      </c>
      <c r="ALV1" s="16" t="s">
        <v>3008</v>
      </c>
      <c r="ALW1" s="16" t="s">
        <v>3009</v>
      </c>
      <c r="ALX1" s="16" t="s">
        <v>3010</v>
      </c>
      <c r="ALY1" s="16" t="s">
        <v>3011</v>
      </c>
      <c r="ALZ1" s="16" t="s">
        <v>3012</v>
      </c>
      <c r="AMA1" s="16" t="s">
        <v>3013</v>
      </c>
      <c r="AMB1" s="16" t="s">
        <v>3014</v>
      </c>
      <c r="AMC1" s="16" t="s">
        <v>3015</v>
      </c>
      <c r="AMD1" s="16" t="s">
        <v>3016</v>
      </c>
      <c r="AME1" s="16" t="s">
        <v>3017</v>
      </c>
      <c r="AMF1" s="16" t="s">
        <v>3018</v>
      </c>
      <c r="AMG1" s="16" t="s">
        <v>3019</v>
      </c>
      <c r="AMH1" s="16" t="s">
        <v>3020</v>
      </c>
      <c r="AMI1" s="16" t="s">
        <v>3021</v>
      </c>
      <c r="AMJ1" s="16" t="s">
        <v>3022</v>
      </c>
      <c r="AMK1" s="16" t="s">
        <v>3023</v>
      </c>
      <c r="AML1" s="16" t="s">
        <v>3024</v>
      </c>
      <c r="AMM1" s="16" t="s">
        <v>3025</v>
      </c>
      <c r="AMN1" s="16" t="s">
        <v>3026</v>
      </c>
      <c r="AMO1" s="16" t="s">
        <v>3027</v>
      </c>
      <c r="AMP1" s="16" t="s">
        <v>3028</v>
      </c>
      <c r="AMQ1" s="16" t="s">
        <v>3029</v>
      </c>
      <c r="AMR1" s="16" t="s">
        <v>3030</v>
      </c>
      <c r="AMS1" s="16" t="s">
        <v>3031</v>
      </c>
      <c r="AMT1" s="16" t="s">
        <v>3032</v>
      </c>
      <c r="AMU1" s="16" t="s">
        <v>3033</v>
      </c>
      <c r="AMV1" s="16" t="s">
        <v>3034</v>
      </c>
      <c r="AMW1" s="16" t="s">
        <v>3035</v>
      </c>
      <c r="AMX1" s="16" t="s">
        <v>3036</v>
      </c>
      <c r="AMY1" s="16" t="s">
        <v>3037</v>
      </c>
      <c r="AMZ1" s="16" t="s">
        <v>3038</v>
      </c>
      <c r="ANA1" s="16" t="s">
        <v>3039</v>
      </c>
      <c r="ANB1" s="16" t="s">
        <v>3040</v>
      </c>
      <c r="ANC1" s="16" t="s">
        <v>3041</v>
      </c>
      <c r="AND1" s="16" t="s">
        <v>3042</v>
      </c>
      <c r="ANE1" s="16" t="s">
        <v>3043</v>
      </c>
      <c r="ANF1" s="16" t="s">
        <v>3044</v>
      </c>
      <c r="ANG1" s="16" t="s">
        <v>3045</v>
      </c>
      <c r="ANH1" s="16" t="s">
        <v>3046</v>
      </c>
      <c r="ANI1" s="16" t="s">
        <v>3047</v>
      </c>
      <c r="ANJ1" s="16" t="s">
        <v>3048</v>
      </c>
      <c r="ANK1" s="16" t="s">
        <v>3049</v>
      </c>
      <c r="ANL1" s="16" t="s">
        <v>3050</v>
      </c>
      <c r="ANM1" s="16" t="s">
        <v>3051</v>
      </c>
      <c r="ANN1" s="16" t="s">
        <v>3052</v>
      </c>
      <c r="ANO1" s="16" t="s">
        <v>3053</v>
      </c>
      <c r="ANP1" s="16" t="s">
        <v>3054</v>
      </c>
      <c r="ANQ1" s="16" t="s">
        <v>3055</v>
      </c>
      <c r="ANR1" s="16" t="s">
        <v>3056</v>
      </c>
      <c r="ANS1" s="16" t="s">
        <v>3057</v>
      </c>
      <c r="ANT1" s="16" t="s">
        <v>3058</v>
      </c>
      <c r="ANU1" s="16" t="s">
        <v>3059</v>
      </c>
      <c r="ANV1" s="16" t="s">
        <v>3060</v>
      </c>
      <c r="ANW1" s="16" t="s">
        <v>3061</v>
      </c>
      <c r="ANX1" s="16" t="s">
        <v>3062</v>
      </c>
      <c r="ANY1" s="16" t="s">
        <v>3063</v>
      </c>
      <c r="ANZ1" s="16" t="s">
        <v>3064</v>
      </c>
      <c r="AOA1" s="16" t="s">
        <v>3065</v>
      </c>
      <c r="AOB1" s="16" t="s">
        <v>3066</v>
      </c>
      <c r="AOC1" s="16" t="s">
        <v>3067</v>
      </c>
      <c r="AOD1" s="16" t="s">
        <v>3068</v>
      </c>
      <c r="AOE1" s="16" t="s">
        <v>3069</v>
      </c>
      <c r="AOF1" s="16" t="s">
        <v>3070</v>
      </c>
      <c r="AOG1" s="16" t="s">
        <v>3071</v>
      </c>
      <c r="AOH1" s="16" t="s">
        <v>3072</v>
      </c>
      <c r="AOI1" s="16" t="s">
        <v>3073</v>
      </c>
      <c r="AOJ1" s="16" t="s">
        <v>3074</v>
      </c>
      <c r="AOK1" s="16" t="s">
        <v>3075</v>
      </c>
      <c r="AOL1" s="16" t="s">
        <v>3076</v>
      </c>
      <c r="AOM1" s="16" t="s">
        <v>3077</v>
      </c>
      <c r="AON1" s="16" t="s">
        <v>3078</v>
      </c>
      <c r="AOO1" s="16" t="s">
        <v>3079</v>
      </c>
      <c r="AOP1" s="16" t="s">
        <v>3080</v>
      </c>
      <c r="AOQ1" s="16" t="s">
        <v>3081</v>
      </c>
      <c r="AOR1" s="16" t="s">
        <v>3082</v>
      </c>
      <c r="AOS1" s="16" t="s">
        <v>3083</v>
      </c>
      <c r="AOT1" s="16" t="s">
        <v>3084</v>
      </c>
      <c r="AOU1" s="16" t="s">
        <v>3085</v>
      </c>
      <c r="AOV1" s="16" t="s">
        <v>3086</v>
      </c>
      <c r="AOW1" s="16" t="s">
        <v>3087</v>
      </c>
      <c r="AOX1" s="16" t="s">
        <v>3088</v>
      </c>
      <c r="AOY1" s="16" t="s">
        <v>3089</v>
      </c>
      <c r="AOZ1" s="16" t="s">
        <v>3090</v>
      </c>
      <c r="APA1" s="16" t="s">
        <v>3091</v>
      </c>
      <c r="APB1" s="16" t="s">
        <v>3092</v>
      </c>
      <c r="APC1" s="16" t="s">
        <v>3093</v>
      </c>
      <c r="APD1" s="16" t="s">
        <v>3094</v>
      </c>
      <c r="APE1" s="16" t="s">
        <v>3095</v>
      </c>
      <c r="APF1" s="16" t="s">
        <v>3096</v>
      </c>
      <c r="APG1" s="16" t="s">
        <v>3097</v>
      </c>
      <c r="APH1" s="16" t="s">
        <v>3098</v>
      </c>
      <c r="API1" s="16" t="s">
        <v>3099</v>
      </c>
      <c r="APJ1" s="16" t="s">
        <v>3100</v>
      </c>
      <c r="APK1" s="16" t="s">
        <v>3101</v>
      </c>
      <c r="APL1" s="16" t="s">
        <v>3102</v>
      </c>
      <c r="APM1" s="16" t="s">
        <v>3103</v>
      </c>
      <c r="APN1" s="16" t="s">
        <v>3104</v>
      </c>
      <c r="APO1" s="16" t="s">
        <v>3105</v>
      </c>
      <c r="APP1" s="16" t="s">
        <v>3106</v>
      </c>
      <c r="APQ1" s="16" t="s">
        <v>3107</v>
      </c>
      <c r="APR1" s="16" t="s">
        <v>3108</v>
      </c>
      <c r="APS1" s="16" t="s">
        <v>3109</v>
      </c>
      <c r="APT1" s="16" t="s">
        <v>3110</v>
      </c>
      <c r="APU1" s="16" t="s">
        <v>3111</v>
      </c>
    </row>
    <row r="2" spans="1:1113">
      <c r="A2" s="16" t="s">
        <v>2000</v>
      </c>
      <c r="C2">
        <v>1.44</v>
      </c>
      <c r="OP2">
        <v>10</v>
      </c>
      <c r="ZL2">
        <v>10</v>
      </c>
      <c r="AKY2">
        <v>10</v>
      </c>
      <c r="APT2">
        <v>10</v>
      </c>
    </row>
    <row r="3" spans="1:1113">
      <c r="A3" s="16" t="s">
        <v>2001</v>
      </c>
      <c r="D3">
        <v>1.44</v>
      </c>
    </row>
    <row r="4" spans="1:1113">
      <c r="A4" s="16" t="s">
        <v>2002</v>
      </c>
      <c r="E4">
        <v>1.44</v>
      </c>
    </row>
    <row r="5" spans="1:1113">
      <c r="A5" s="16" t="s">
        <v>2003</v>
      </c>
      <c r="F5">
        <v>1.44</v>
      </c>
    </row>
    <row r="6" spans="1:1113">
      <c r="A6" s="16" t="s">
        <v>2004</v>
      </c>
      <c r="G6">
        <v>1.44</v>
      </c>
      <c r="SA6">
        <v>10</v>
      </c>
    </row>
    <row r="7" spans="1:1113">
      <c r="A7" s="16" t="s">
        <v>2005</v>
      </c>
      <c r="H7">
        <v>1.44</v>
      </c>
    </row>
    <row r="8" spans="1:1113">
      <c r="A8" s="16" t="s">
        <v>2006</v>
      </c>
      <c r="I8">
        <v>1.44</v>
      </c>
    </row>
    <row r="9" spans="1:1113">
      <c r="A9" s="16" t="s">
        <v>2007</v>
      </c>
      <c r="J9">
        <v>1.44</v>
      </c>
    </row>
    <row r="10" spans="1:1113">
      <c r="A10" s="16" t="s">
        <v>2008</v>
      </c>
      <c r="K10">
        <v>1.44</v>
      </c>
    </row>
    <row r="11" spans="1:1113">
      <c r="A11" s="16" t="s">
        <v>2009</v>
      </c>
      <c r="L11">
        <v>1.44</v>
      </c>
    </row>
    <row r="12" spans="1:1113">
      <c r="A12" s="16" t="s">
        <v>2010</v>
      </c>
      <c r="M12">
        <v>1.44</v>
      </c>
      <c r="HG12">
        <v>7</v>
      </c>
      <c r="LR12">
        <v>7</v>
      </c>
    </row>
    <row r="13" spans="1:1113">
      <c r="A13" s="16" t="s">
        <v>2011</v>
      </c>
      <c r="N13">
        <v>1.44</v>
      </c>
    </row>
    <row r="14" spans="1:1113">
      <c r="A14" s="16" t="s">
        <v>2012</v>
      </c>
      <c r="O14">
        <v>1.44</v>
      </c>
      <c r="FU14">
        <v>7</v>
      </c>
    </row>
    <row r="15" spans="1:1113">
      <c r="A15" s="16" t="s">
        <v>2013</v>
      </c>
      <c r="P15">
        <v>1.44</v>
      </c>
    </row>
    <row r="16" spans="1:1113">
      <c r="A16" s="16" t="s">
        <v>2014</v>
      </c>
      <c r="Q16">
        <v>1.44</v>
      </c>
      <c r="CQ16">
        <v>7</v>
      </c>
      <c r="FW16">
        <v>7</v>
      </c>
      <c r="KR16">
        <v>7</v>
      </c>
      <c r="NQ16">
        <v>7</v>
      </c>
      <c r="OS16">
        <v>10</v>
      </c>
      <c r="QG16">
        <v>10</v>
      </c>
      <c r="VF16">
        <v>10</v>
      </c>
    </row>
    <row r="17" spans="1:730">
      <c r="A17" s="16" t="s">
        <v>2015</v>
      </c>
      <c r="R17">
        <v>1.44</v>
      </c>
      <c r="KS17">
        <v>7</v>
      </c>
    </row>
    <row r="18" spans="1:730">
      <c r="A18" s="16" t="s">
        <v>2016</v>
      </c>
      <c r="S18">
        <v>1.44</v>
      </c>
    </row>
    <row r="19" spans="1:730">
      <c r="A19" s="16" t="s">
        <v>2017</v>
      </c>
      <c r="T19">
        <v>1.44</v>
      </c>
      <c r="HR19">
        <v>7</v>
      </c>
    </row>
    <row r="20" spans="1:730">
      <c r="A20" s="16" t="s">
        <v>2018</v>
      </c>
      <c r="U20">
        <v>1.44</v>
      </c>
      <c r="NR20">
        <v>7</v>
      </c>
      <c r="OT20">
        <v>10</v>
      </c>
      <c r="VG20">
        <v>10</v>
      </c>
    </row>
    <row r="21" spans="1:730">
      <c r="A21" s="16" t="s">
        <v>2019</v>
      </c>
      <c r="V21">
        <v>1.44</v>
      </c>
      <c r="HU21">
        <v>7</v>
      </c>
    </row>
    <row r="22" spans="1:730">
      <c r="A22" s="16" t="s">
        <v>2020</v>
      </c>
      <c r="W22">
        <v>1.44</v>
      </c>
      <c r="AZ22">
        <v>7</v>
      </c>
      <c r="JN22">
        <v>7</v>
      </c>
      <c r="OU22">
        <v>10</v>
      </c>
    </row>
    <row r="23" spans="1:730">
      <c r="A23" s="16" t="s">
        <v>2021</v>
      </c>
      <c r="X23">
        <v>1.44</v>
      </c>
      <c r="ABA23">
        <v>10</v>
      </c>
      <c r="ABB23">
        <v>10</v>
      </c>
    </row>
    <row r="24" spans="1:730">
      <c r="A24" s="16" t="s">
        <v>2022</v>
      </c>
      <c r="Y24">
        <v>1.44</v>
      </c>
    </row>
    <row r="25" spans="1:730">
      <c r="A25" s="16" t="s">
        <v>2023</v>
      </c>
      <c r="Z25">
        <v>1.44</v>
      </c>
    </row>
    <row r="26" spans="1:730">
      <c r="A26" s="16" t="s">
        <v>2024</v>
      </c>
      <c r="OV26">
        <v>10</v>
      </c>
    </row>
    <row r="27" spans="1:730">
      <c r="A27" s="16" t="s">
        <v>2025</v>
      </c>
      <c r="AB27">
        <v>1.32</v>
      </c>
      <c r="SB27">
        <v>10</v>
      </c>
    </row>
    <row r="28" spans="1:730">
      <c r="A28" s="16" t="s">
        <v>2026</v>
      </c>
      <c r="AC28">
        <v>1.32</v>
      </c>
    </row>
    <row r="29" spans="1:730">
      <c r="A29" s="16" t="s">
        <v>2027</v>
      </c>
      <c r="H29">
        <v>7</v>
      </c>
      <c r="AD29">
        <v>1.32</v>
      </c>
      <c r="OQ29">
        <v>10</v>
      </c>
    </row>
    <row r="30" spans="1:730">
      <c r="A30" s="16" t="s">
        <v>2028</v>
      </c>
      <c r="AE30">
        <v>1.32</v>
      </c>
    </row>
    <row r="31" spans="1:730">
      <c r="A31" s="16" t="s">
        <v>2029</v>
      </c>
      <c r="AF31">
        <v>1.32</v>
      </c>
    </row>
    <row r="32" spans="1:730">
      <c r="A32" s="16" t="s">
        <v>2030</v>
      </c>
      <c r="AG32">
        <v>1.32</v>
      </c>
    </row>
    <row r="33" spans="1:948">
      <c r="A33" s="16" t="s">
        <v>2031</v>
      </c>
      <c r="AH33">
        <v>1.32</v>
      </c>
      <c r="BH33">
        <v>7</v>
      </c>
    </row>
    <row r="34" spans="1:948">
      <c r="A34" s="16" t="s">
        <v>2032</v>
      </c>
      <c r="AI34">
        <v>1.32</v>
      </c>
    </row>
    <row r="35" spans="1:948">
      <c r="A35" s="16" t="s">
        <v>2033</v>
      </c>
      <c r="AJ35">
        <v>1.32</v>
      </c>
      <c r="MW35">
        <v>7</v>
      </c>
    </row>
    <row r="36" spans="1:948">
      <c r="A36" s="16" t="s">
        <v>2034</v>
      </c>
      <c r="AK36">
        <v>1.32</v>
      </c>
    </row>
    <row r="37" spans="1:948">
      <c r="A37" s="16" t="s">
        <v>2035</v>
      </c>
      <c r="AL37">
        <v>1.32</v>
      </c>
    </row>
    <row r="38" spans="1:948">
      <c r="A38" s="16" t="s">
        <v>2036</v>
      </c>
      <c r="AM38">
        <v>1.32</v>
      </c>
    </row>
    <row r="39" spans="1:948">
      <c r="A39" s="16" t="s">
        <v>2037</v>
      </c>
      <c r="AN39">
        <v>1.32</v>
      </c>
    </row>
    <row r="40" spans="1:948">
      <c r="A40" s="16" t="s">
        <v>2038</v>
      </c>
      <c r="AO40">
        <v>1.32</v>
      </c>
      <c r="CI40">
        <v>7</v>
      </c>
    </row>
    <row r="41" spans="1:948">
      <c r="A41" s="16" t="s">
        <v>2039</v>
      </c>
      <c r="AP41">
        <v>1.32</v>
      </c>
      <c r="CJ41">
        <v>7</v>
      </c>
      <c r="QF41">
        <v>10</v>
      </c>
      <c r="VE41">
        <v>10</v>
      </c>
      <c r="WZ41">
        <v>10</v>
      </c>
      <c r="AFN41">
        <v>10</v>
      </c>
      <c r="AJL41">
        <v>10</v>
      </c>
    </row>
    <row r="42" spans="1:948">
      <c r="A42" s="16" t="s">
        <v>2040</v>
      </c>
      <c r="AQ42">
        <v>1.32</v>
      </c>
    </row>
    <row r="43" spans="1:948">
      <c r="A43" s="16" t="s">
        <v>2041</v>
      </c>
      <c r="AR43">
        <v>1.32</v>
      </c>
    </row>
    <row r="44" spans="1:948">
      <c r="A44" s="16" t="s">
        <v>2042</v>
      </c>
      <c r="AS44">
        <v>1.32</v>
      </c>
    </row>
    <row r="45" spans="1:948">
      <c r="A45" s="16" t="s">
        <v>2043</v>
      </c>
      <c r="AT45">
        <v>1.32</v>
      </c>
    </row>
    <row r="46" spans="1:948">
      <c r="A46" s="16" t="s">
        <v>2044</v>
      </c>
      <c r="AU46">
        <v>1.32</v>
      </c>
    </row>
    <row r="47" spans="1:948">
      <c r="A47" s="16" t="s">
        <v>2045</v>
      </c>
      <c r="AV47">
        <v>1.32</v>
      </c>
    </row>
    <row r="48" spans="1:948">
      <c r="A48" s="16" t="s">
        <v>2046</v>
      </c>
      <c r="AW48">
        <v>1.32</v>
      </c>
      <c r="BV48">
        <v>7</v>
      </c>
    </row>
    <row r="49" spans="1:993">
      <c r="A49" s="16" t="s">
        <v>2047</v>
      </c>
      <c r="AX49">
        <v>1.32</v>
      </c>
    </row>
    <row r="50" spans="1:993">
      <c r="A50" s="16" t="s">
        <v>2048</v>
      </c>
      <c r="AY50">
        <v>1.32</v>
      </c>
    </row>
    <row r="51" spans="1:993">
      <c r="A51" s="16" t="s">
        <v>2049</v>
      </c>
      <c r="AZ51">
        <v>1.32</v>
      </c>
    </row>
    <row r="52" spans="1:993">
      <c r="A52" s="16" t="s">
        <v>2050</v>
      </c>
    </row>
    <row r="53" spans="1:993">
      <c r="A53" s="16" t="s">
        <v>2051</v>
      </c>
      <c r="BB53">
        <v>1.24</v>
      </c>
    </row>
    <row r="54" spans="1:993">
      <c r="A54" s="16" t="s">
        <v>2052</v>
      </c>
      <c r="BC54">
        <v>1.24</v>
      </c>
    </row>
    <row r="55" spans="1:993">
      <c r="A55" s="16" t="s">
        <v>2053</v>
      </c>
      <c r="BD55">
        <v>1.24</v>
      </c>
    </row>
    <row r="56" spans="1:993">
      <c r="A56" s="16" t="s">
        <v>2054</v>
      </c>
      <c r="BE56">
        <v>1.24</v>
      </c>
    </row>
    <row r="57" spans="1:993">
      <c r="A57" s="16" t="s">
        <v>2055</v>
      </c>
      <c r="BF57">
        <v>1.24</v>
      </c>
    </row>
    <row r="58" spans="1:993">
      <c r="A58" s="16" t="s">
        <v>2056</v>
      </c>
      <c r="BG58">
        <v>1.24</v>
      </c>
    </row>
    <row r="59" spans="1:993">
      <c r="A59" s="16" t="s">
        <v>2057</v>
      </c>
      <c r="BH59">
        <v>1.24</v>
      </c>
    </row>
    <row r="60" spans="1:993">
      <c r="A60" s="16" t="s">
        <v>2058</v>
      </c>
      <c r="BI60">
        <v>1.24</v>
      </c>
    </row>
    <row r="61" spans="1:993">
      <c r="A61" s="16" t="s">
        <v>2059</v>
      </c>
      <c r="BJ61">
        <v>1.24</v>
      </c>
    </row>
    <row r="62" spans="1:993">
      <c r="A62" s="16" t="s">
        <v>2060</v>
      </c>
      <c r="BK62">
        <v>1.24</v>
      </c>
      <c r="WY62">
        <v>10</v>
      </c>
      <c r="AIZ62">
        <v>10</v>
      </c>
      <c r="ALE62">
        <v>10</v>
      </c>
    </row>
    <row r="63" spans="1:993">
      <c r="A63" s="16" t="s">
        <v>2061</v>
      </c>
      <c r="BL63">
        <v>1.24</v>
      </c>
    </row>
    <row r="64" spans="1:993">
      <c r="A64" s="16" t="s">
        <v>2062</v>
      </c>
      <c r="BM64">
        <v>1.24</v>
      </c>
    </row>
    <row r="65" spans="1:92">
      <c r="A65" s="16" t="s">
        <v>2063</v>
      </c>
      <c r="BN65">
        <v>1.24</v>
      </c>
    </row>
    <row r="66" spans="1:92">
      <c r="A66" s="16" t="s">
        <v>2064</v>
      </c>
      <c r="BO66">
        <v>1.24</v>
      </c>
    </row>
    <row r="67" spans="1:92">
      <c r="A67" s="16" t="s">
        <v>2065</v>
      </c>
      <c r="BP67">
        <v>1.24</v>
      </c>
    </row>
    <row r="68" spans="1:92">
      <c r="A68" s="16" t="s">
        <v>2066</v>
      </c>
      <c r="BQ68">
        <v>1.24</v>
      </c>
      <c r="CN68">
        <v>7</v>
      </c>
    </row>
    <row r="69" spans="1:92">
      <c r="A69" s="16" t="s">
        <v>2067</v>
      </c>
      <c r="BR69">
        <v>1.24</v>
      </c>
    </row>
    <row r="70" spans="1:92">
      <c r="A70" s="16" t="s">
        <v>2068</v>
      </c>
      <c r="BS70">
        <v>1.24</v>
      </c>
    </row>
    <row r="71" spans="1:92">
      <c r="A71" s="16" t="s">
        <v>2069</v>
      </c>
      <c r="BT71">
        <v>1.24</v>
      </c>
    </row>
    <row r="72" spans="1:92">
      <c r="A72" s="16" t="s">
        <v>2070</v>
      </c>
      <c r="BU72">
        <v>1.24</v>
      </c>
    </row>
    <row r="73" spans="1:92">
      <c r="A73" s="16" t="s">
        <v>2071</v>
      </c>
      <c r="BV73">
        <v>1.24</v>
      </c>
    </row>
    <row r="74" spans="1:92">
      <c r="A74" s="16" t="s">
        <v>2072</v>
      </c>
      <c r="BW74">
        <v>1.24</v>
      </c>
    </row>
    <row r="75" spans="1:92">
      <c r="A75" s="16" t="s">
        <v>2073</v>
      </c>
      <c r="BX75">
        <v>1.24</v>
      </c>
      <c r="CA75">
        <v>7</v>
      </c>
    </row>
    <row r="76" spans="1:92">
      <c r="A76" s="16" t="s">
        <v>2074</v>
      </c>
      <c r="BY76">
        <v>1.24</v>
      </c>
    </row>
    <row r="77" spans="1:92">
      <c r="A77" s="16" t="s">
        <v>2075</v>
      </c>
      <c r="BZ77">
        <v>1.24</v>
      </c>
    </row>
    <row r="78" spans="1:92">
      <c r="A78" s="16" t="s">
        <v>2076</v>
      </c>
    </row>
    <row r="79" spans="1:92">
      <c r="A79" s="16" t="s">
        <v>2077</v>
      </c>
      <c r="CB79">
        <v>1</v>
      </c>
    </row>
    <row r="80" spans="1:92">
      <c r="A80" s="16" t="s">
        <v>2078</v>
      </c>
      <c r="CC80">
        <v>1</v>
      </c>
    </row>
    <row r="81" spans="1:948">
      <c r="A81" s="16" t="s">
        <v>2079</v>
      </c>
      <c r="CD81">
        <v>1</v>
      </c>
    </row>
    <row r="82" spans="1:948">
      <c r="A82" s="16" t="s">
        <v>2080</v>
      </c>
    </row>
    <row r="83" spans="1:948">
      <c r="A83" s="16" t="s">
        <v>2081</v>
      </c>
      <c r="CF83">
        <v>1.07</v>
      </c>
    </row>
    <row r="84" spans="1:948">
      <c r="A84" s="16" t="s">
        <v>2082</v>
      </c>
      <c r="CG84">
        <v>1.07</v>
      </c>
    </row>
    <row r="85" spans="1:948">
      <c r="A85" s="16" t="s">
        <v>2083</v>
      </c>
      <c r="CH85">
        <v>1.07</v>
      </c>
    </row>
    <row r="86" spans="1:948">
      <c r="A86" s="16" t="s">
        <v>2084</v>
      </c>
      <c r="CI86">
        <v>1.07</v>
      </c>
    </row>
    <row r="87" spans="1:948">
      <c r="A87" s="16" t="s">
        <v>2085</v>
      </c>
      <c r="CJ87">
        <v>1.07</v>
      </c>
    </row>
    <row r="88" spans="1:948">
      <c r="A88" s="16" t="s">
        <v>2086</v>
      </c>
      <c r="CK88">
        <v>1.07</v>
      </c>
      <c r="AJL88">
        <v>10</v>
      </c>
    </row>
    <row r="89" spans="1:948">
      <c r="A89" s="16" t="s">
        <v>2087</v>
      </c>
      <c r="CL89">
        <v>1.07</v>
      </c>
    </row>
    <row r="90" spans="1:948">
      <c r="A90" s="16" t="s">
        <v>2088</v>
      </c>
      <c r="CM90">
        <v>1.07</v>
      </c>
    </row>
    <row r="91" spans="1:948">
      <c r="A91" s="16" t="s">
        <v>2089</v>
      </c>
      <c r="CN91">
        <v>1.07</v>
      </c>
    </row>
    <row r="92" spans="1:948">
      <c r="A92" s="16" t="s">
        <v>2090</v>
      </c>
      <c r="CO92">
        <v>1.07</v>
      </c>
    </row>
    <row r="93" spans="1:948">
      <c r="A93" s="16" t="s">
        <v>2091</v>
      </c>
      <c r="CP93">
        <v>1.07</v>
      </c>
    </row>
    <row r="94" spans="1:948">
      <c r="A94" s="16" t="s">
        <v>2092</v>
      </c>
      <c r="CQ94">
        <v>1.07</v>
      </c>
    </row>
    <row r="95" spans="1:948">
      <c r="A95" s="16" t="s">
        <v>2093</v>
      </c>
      <c r="CR95">
        <v>1.07</v>
      </c>
    </row>
    <row r="96" spans="1:948">
      <c r="A96" s="16" t="s">
        <v>2094</v>
      </c>
      <c r="CS96">
        <v>1.07</v>
      </c>
    </row>
    <row r="97" spans="1:998">
      <c r="A97" s="16" t="s">
        <v>2095</v>
      </c>
      <c r="CT97">
        <v>1.07</v>
      </c>
    </row>
    <row r="98" spans="1:998">
      <c r="A98" s="16" t="s">
        <v>2096</v>
      </c>
      <c r="CU98">
        <v>1.07</v>
      </c>
    </row>
    <row r="99" spans="1:998">
      <c r="A99" s="16" t="s">
        <v>2097</v>
      </c>
      <c r="CV99">
        <v>1.07</v>
      </c>
    </row>
    <row r="100" spans="1:998">
      <c r="A100" s="16" t="s">
        <v>2098</v>
      </c>
      <c r="CW100">
        <v>1.07</v>
      </c>
    </row>
    <row r="101" spans="1:998">
      <c r="A101" s="16" t="s">
        <v>2099</v>
      </c>
      <c r="CX101">
        <v>1.07</v>
      </c>
    </row>
    <row r="102" spans="1:998">
      <c r="A102" s="16" t="s">
        <v>2100</v>
      </c>
      <c r="CY102">
        <v>1.07</v>
      </c>
      <c r="EM102">
        <v>7</v>
      </c>
      <c r="LY102">
        <v>7</v>
      </c>
      <c r="NF102">
        <v>7</v>
      </c>
      <c r="ALJ102">
        <v>10</v>
      </c>
    </row>
    <row r="103" spans="1:998">
      <c r="A103" s="16" t="s">
        <v>2101</v>
      </c>
      <c r="CZ103">
        <v>1.07</v>
      </c>
    </row>
    <row r="104" spans="1:998">
      <c r="A104" s="16" t="s">
        <v>2102</v>
      </c>
      <c r="DA104">
        <v>1.07</v>
      </c>
      <c r="EO104">
        <v>7</v>
      </c>
    </row>
    <row r="105" spans="1:998">
      <c r="A105" s="16" t="s">
        <v>2103</v>
      </c>
      <c r="DB105">
        <v>1.07</v>
      </c>
      <c r="EP105">
        <v>7</v>
      </c>
      <c r="QK105">
        <v>10</v>
      </c>
    </row>
    <row r="106" spans="1:998">
      <c r="A106" s="16" t="s">
        <v>2104</v>
      </c>
      <c r="DC106">
        <v>1.07</v>
      </c>
    </row>
    <row r="107" spans="1:998">
      <c r="A107" s="16" t="s">
        <v>2105</v>
      </c>
      <c r="DD107">
        <v>1.07</v>
      </c>
    </row>
    <row r="108" spans="1:998">
      <c r="A108" s="16" t="s">
        <v>2106</v>
      </c>
      <c r="DE108">
        <v>1.07</v>
      </c>
      <c r="AAL108">
        <v>10</v>
      </c>
    </row>
    <row r="109" spans="1:998">
      <c r="A109" s="16" t="s">
        <v>2107</v>
      </c>
    </row>
    <row r="110" spans="1:998">
      <c r="A110" s="16" t="s">
        <v>2108</v>
      </c>
      <c r="DG110">
        <v>1.55</v>
      </c>
      <c r="YY110">
        <v>10</v>
      </c>
    </row>
    <row r="111" spans="1:998">
      <c r="A111" s="16" t="s">
        <v>2109</v>
      </c>
      <c r="DH111">
        <v>1.55</v>
      </c>
    </row>
    <row r="112" spans="1:998">
      <c r="A112" s="16" t="s">
        <v>2110</v>
      </c>
      <c r="DI112">
        <v>1.55</v>
      </c>
    </row>
    <row r="113" spans="1:948">
      <c r="A113" s="16" t="s">
        <v>2111</v>
      </c>
      <c r="DJ113">
        <v>1.55</v>
      </c>
    </row>
    <row r="114" spans="1:948">
      <c r="A114" s="16" t="s">
        <v>2112</v>
      </c>
      <c r="DK114">
        <v>1.55</v>
      </c>
      <c r="ABK114">
        <v>10</v>
      </c>
    </row>
    <row r="115" spans="1:948">
      <c r="A115" s="16" t="s">
        <v>2113</v>
      </c>
      <c r="DL115">
        <v>1.55</v>
      </c>
    </row>
    <row r="116" spans="1:948">
      <c r="A116" s="16" t="s">
        <v>2114</v>
      </c>
      <c r="DM116">
        <v>1.55</v>
      </c>
    </row>
    <row r="117" spans="1:948">
      <c r="A117" s="16" t="s">
        <v>2115</v>
      </c>
      <c r="AQ117">
        <v>7</v>
      </c>
      <c r="DN117">
        <v>1.55</v>
      </c>
      <c r="GQ117">
        <v>7</v>
      </c>
    </row>
    <row r="118" spans="1:948">
      <c r="A118" s="16" t="s">
        <v>2116</v>
      </c>
      <c r="AP118">
        <v>7</v>
      </c>
      <c r="DO118">
        <v>1.55</v>
      </c>
      <c r="FK118">
        <v>7</v>
      </c>
    </row>
    <row r="119" spans="1:948">
      <c r="A119" s="16" t="s">
        <v>2117</v>
      </c>
      <c r="AO119">
        <v>7</v>
      </c>
      <c r="CJ119">
        <v>7</v>
      </c>
      <c r="DP119">
        <v>1.55</v>
      </c>
      <c r="QF119">
        <v>10</v>
      </c>
      <c r="VE119">
        <v>10</v>
      </c>
      <c r="WZ119">
        <v>10</v>
      </c>
      <c r="AFN119">
        <v>10</v>
      </c>
      <c r="AJL119">
        <v>10</v>
      </c>
    </row>
    <row r="120" spans="1:948">
      <c r="A120" s="16" t="s">
        <v>2118</v>
      </c>
      <c r="CK120">
        <v>7</v>
      </c>
      <c r="DQ120">
        <v>1.55</v>
      </c>
      <c r="FN120">
        <v>7</v>
      </c>
    </row>
    <row r="121" spans="1:948">
      <c r="A121" s="16" t="s">
        <v>2119</v>
      </c>
      <c r="DR121">
        <v>1.55</v>
      </c>
    </row>
    <row r="122" spans="1:948">
      <c r="A122" s="16" t="s">
        <v>2120</v>
      </c>
      <c r="BS122">
        <v>7</v>
      </c>
      <c r="DS122">
        <v>1.55</v>
      </c>
      <c r="HN122">
        <v>7</v>
      </c>
      <c r="JH122">
        <v>7</v>
      </c>
      <c r="KV122">
        <v>7</v>
      </c>
    </row>
    <row r="123" spans="1:948">
      <c r="A123" s="16" t="s">
        <v>2121</v>
      </c>
      <c r="DT123">
        <v>1.55</v>
      </c>
      <c r="JI123">
        <v>7</v>
      </c>
    </row>
    <row r="124" spans="1:948">
      <c r="A124" s="16" t="s">
        <v>2122</v>
      </c>
      <c r="DU124">
        <v>1.55</v>
      </c>
    </row>
    <row r="125" spans="1:948">
      <c r="A125" s="16" t="s">
        <v>2123</v>
      </c>
      <c r="DV125">
        <v>1.55</v>
      </c>
    </row>
    <row r="126" spans="1:948">
      <c r="A126" s="16" t="s">
        <v>2124</v>
      </c>
      <c r="S126">
        <v>7</v>
      </c>
      <c r="DW126">
        <v>1.55</v>
      </c>
      <c r="HR126">
        <v>7</v>
      </c>
    </row>
    <row r="127" spans="1:948">
      <c r="A127" s="16" t="s">
        <v>2125</v>
      </c>
      <c r="DX127">
        <v>1.55</v>
      </c>
    </row>
    <row r="128" spans="1:948">
      <c r="A128" s="16" t="s">
        <v>2126</v>
      </c>
      <c r="DY128">
        <v>1.55</v>
      </c>
      <c r="KQ128">
        <v>7</v>
      </c>
      <c r="SW128">
        <v>10</v>
      </c>
    </row>
    <row r="129" spans="1:998">
      <c r="A129" s="16" t="s">
        <v>2127</v>
      </c>
      <c r="DZ129">
        <v>1.55</v>
      </c>
    </row>
    <row r="130" spans="1:998">
      <c r="A130" s="16" t="s">
        <v>2128</v>
      </c>
      <c r="EA130">
        <v>1.55</v>
      </c>
    </row>
    <row r="131" spans="1:998">
      <c r="A131" s="16" t="s">
        <v>2129</v>
      </c>
      <c r="ET131">
        <v>7</v>
      </c>
      <c r="GD131">
        <v>7</v>
      </c>
    </row>
    <row r="132" spans="1:998">
      <c r="A132" s="16" t="s">
        <v>2130</v>
      </c>
      <c r="H132">
        <v>7</v>
      </c>
      <c r="AC132">
        <v>7</v>
      </c>
      <c r="EC132">
        <v>1.1100000000000001</v>
      </c>
      <c r="OQ132">
        <v>10</v>
      </c>
    </row>
    <row r="133" spans="1:998">
      <c r="A133" s="16" t="s">
        <v>2131</v>
      </c>
      <c r="ED133">
        <v>1.1100000000000001</v>
      </c>
    </row>
    <row r="134" spans="1:998">
      <c r="A134" s="16" t="s">
        <v>2132</v>
      </c>
      <c r="EE134">
        <v>1.1100000000000001</v>
      </c>
    </row>
    <row r="135" spans="1:998">
      <c r="A135" s="16" t="s">
        <v>2133</v>
      </c>
      <c r="EF135">
        <v>1.1100000000000001</v>
      </c>
      <c r="IU135">
        <v>7</v>
      </c>
    </row>
    <row r="136" spans="1:998">
      <c r="A136" s="16" t="s">
        <v>2134</v>
      </c>
      <c r="EG136">
        <v>1.1100000000000001</v>
      </c>
    </row>
    <row r="137" spans="1:998">
      <c r="A137" s="16" t="s">
        <v>2135</v>
      </c>
      <c r="EH137">
        <v>1.1100000000000001</v>
      </c>
      <c r="SR137">
        <v>10</v>
      </c>
    </row>
    <row r="138" spans="1:998">
      <c r="A138" s="16" t="s">
        <v>2136</v>
      </c>
      <c r="EI138">
        <v>1.1100000000000001</v>
      </c>
    </row>
    <row r="139" spans="1:998">
      <c r="A139" s="16" t="s">
        <v>2137</v>
      </c>
      <c r="EJ139">
        <v>1.1100000000000001</v>
      </c>
      <c r="HC139">
        <v>7</v>
      </c>
      <c r="KF139">
        <v>7</v>
      </c>
    </row>
    <row r="140" spans="1:998">
      <c r="A140" s="16" t="s">
        <v>2138</v>
      </c>
      <c r="EK140">
        <v>1.1100000000000001</v>
      </c>
    </row>
    <row r="141" spans="1:998">
      <c r="A141" s="16" t="s">
        <v>2139</v>
      </c>
      <c r="EL141">
        <v>1.1100000000000001</v>
      </c>
    </row>
    <row r="142" spans="1:998">
      <c r="A142" s="16" t="s">
        <v>2140</v>
      </c>
      <c r="EM142">
        <v>1.1100000000000001</v>
      </c>
      <c r="MA142">
        <v>7</v>
      </c>
    </row>
    <row r="143" spans="1:998">
      <c r="A143" s="16" t="s">
        <v>2141</v>
      </c>
      <c r="EN143">
        <v>1.1100000000000001</v>
      </c>
      <c r="LY143">
        <v>7</v>
      </c>
      <c r="NF143">
        <v>7</v>
      </c>
      <c r="ALJ143">
        <v>10</v>
      </c>
    </row>
    <row r="144" spans="1:998">
      <c r="A144" s="16" t="s">
        <v>2142</v>
      </c>
      <c r="EO144">
        <v>1.1100000000000001</v>
      </c>
    </row>
    <row r="145" spans="1:666">
      <c r="A145" s="16" t="s">
        <v>2143</v>
      </c>
      <c r="EP145">
        <v>1.1100000000000001</v>
      </c>
    </row>
    <row r="146" spans="1:666">
      <c r="A146" s="16" t="s">
        <v>2144</v>
      </c>
      <c r="EQ146">
        <v>1.1100000000000001</v>
      </c>
      <c r="QK146">
        <v>10</v>
      </c>
    </row>
    <row r="147" spans="1:666">
      <c r="A147" s="16" t="s">
        <v>2145</v>
      </c>
      <c r="ER147">
        <v>1.1100000000000001</v>
      </c>
    </row>
    <row r="148" spans="1:666">
      <c r="A148" s="16" t="s">
        <v>2146</v>
      </c>
      <c r="ES148">
        <v>1.1100000000000001</v>
      </c>
    </row>
    <row r="149" spans="1:666">
      <c r="A149" s="16" t="s">
        <v>2147</v>
      </c>
      <c r="ET149">
        <v>1.1100000000000001</v>
      </c>
    </row>
    <row r="150" spans="1:666">
      <c r="A150" s="16" t="s">
        <v>2148</v>
      </c>
      <c r="EU150">
        <v>1.1100000000000001</v>
      </c>
      <c r="GD150">
        <v>7</v>
      </c>
    </row>
    <row r="151" spans="1:666">
      <c r="A151" s="16" t="s">
        <v>2149</v>
      </c>
      <c r="EV151">
        <v>1.1100000000000001</v>
      </c>
    </row>
    <row r="152" spans="1:666">
      <c r="A152" s="16" t="s">
        <v>2150</v>
      </c>
      <c r="EW152">
        <v>1.1100000000000001</v>
      </c>
    </row>
    <row r="153" spans="1:666">
      <c r="A153" s="16" t="s">
        <v>2151</v>
      </c>
      <c r="EX153">
        <v>1.1100000000000001</v>
      </c>
    </row>
    <row r="154" spans="1:666">
      <c r="A154" s="16" t="s">
        <v>2152</v>
      </c>
      <c r="EY154">
        <v>1.1100000000000001</v>
      </c>
      <c r="NS154">
        <v>7</v>
      </c>
    </row>
    <row r="155" spans="1:666">
      <c r="A155" s="16" t="s">
        <v>2153</v>
      </c>
      <c r="EZ155">
        <v>1.1100000000000001</v>
      </c>
    </row>
    <row r="156" spans="1:666">
      <c r="A156" s="16" t="s">
        <v>2154</v>
      </c>
      <c r="FA156">
        <v>1.1100000000000001</v>
      </c>
      <c r="HW156">
        <v>7</v>
      </c>
    </row>
    <row r="157" spans="1:666">
      <c r="A157" s="16" t="s">
        <v>2155</v>
      </c>
      <c r="FB157">
        <v>1.1100000000000001</v>
      </c>
    </row>
    <row r="158" spans="1:666">
      <c r="A158" s="16" t="s">
        <v>2156</v>
      </c>
      <c r="FC158">
        <v>1.1100000000000001</v>
      </c>
    </row>
    <row r="159" spans="1:666">
      <c r="A159" s="16" t="s">
        <v>2157</v>
      </c>
      <c r="V159">
        <v>7</v>
      </c>
      <c r="AZ159">
        <v>7</v>
      </c>
      <c r="JN159">
        <v>7</v>
      </c>
      <c r="OU159">
        <v>10</v>
      </c>
    </row>
    <row r="160" spans="1:666">
      <c r="A160" s="16" t="s">
        <v>2158</v>
      </c>
      <c r="FE160">
        <v>1.42</v>
      </c>
      <c r="YP160">
        <v>10</v>
      </c>
    </row>
    <row r="161" spans="1:742">
      <c r="A161" s="16" t="s">
        <v>2159</v>
      </c>
      <c r="FF161">
        <v>1.42</v>
      </c>
    </row>
    <row r="162" spans="1:742">
      <c r="A162" s="16" t="s">
        <v>2160</v>
      </c>
      <c r="FG162">
        <v>1.42</v>
      </c>
    </row>
    <row r="163" spans="1:742">
      <c r="A163" s="16" t="s">
        <v>2161</v>
      </c>
      <c r="FH163">
        <v>1.42</v>
      </c>
      <c r="ABN163">
        <v>10</v>
      </c>
    </row>
    <row r="164" spans="1:742">
      <c r="A164" s="16" t="s">
        <v>2162</v>
      </c>
      <c r="FI164">
        <v>1.42</v>
      </c>
    </row>
    <row r="165" spans="1:742">
      <c r="A165" s="16" t="s">
        <v>2163</v>
      </c>
      <c r="FJ165">
        <v>1.42</v>
      </c>
    </row>
    <row r="166" spans="1:742">
      <c r="A166" s="16" t="s">
        <v>2164</v>
      </c>
      <c r="FK166">
        <v>1.42</v>
      </c>
    </row>
    <row r="167" spans="1:742">
      <c r="A167" s="16" t="s">
        <v>2165</v>
      </c>
      <c r="AP167">
        <v>7</v>
      </c>
      <c r="FL167">
        <v>1.42</v>
      </c>
    </row>
    <row r="168" spans="1:742">
      <c r="A168" s="16" t="s">
        <v>2166</v>
      </c>
      <c r="FM168">
        <v>1.42</v>
      </c>
      <c r="GP168">
        <v>7</v>
      </c>
    </row>
    <row r="169" spans="1:742">
      <c r="A169" s="16" t="s">
        <v>2167</v>
      </c>
      <c r="FN169">
        <v>1.42</v>
      </c>
    </row>
    <row r="170" spans="1:742">
      <c r="A170" s="16" t="s">
        <v>2168</v>
      </c>
      <c r="CK170">
        <v>7</v>
      </c>
      <c r="FO170">
        <v>1.42</v>
      </c>
      <c r="WZ170">
        <v>10</v>
      </c>
    </row>
    <row r="171" spans="1:742">
      <c r="A171" s="16" t="s">
        <v>2169</v>
      </c>
      <c r="FP171">
        <v>1.42</v>
      </c>
    </row>
    <row r="172" spans="1:742">
      <c r="A172" s="16" t="s">
        <v>2170</v>
      </c>
      <c r="FQ172">
        <v>1.42</v>
      </c>
    </row>
    <row r="173" spans="1:742">
      <c r="A173" s="16" t="s">
        <v>2171</v>
      </c>
      <c r="FR173">
        <v>1.42</v>
      </c>
    </row>
    <row r="174" spans="1:742">
      <c r="A174" s="16" t="s">
        <v>2172</v>
      </c>
      <c r="FS174">
        <v>1.42</v>
      </c>
      <c r="JC174">
        <v>7</v>
      </c>
    </row>
    <row r="175" spans="1:742">
      <c r="A175" s="16" t="s">
        <v>2173</v>
      </c>
      <c r="BL175">
        <v>7</v>
      </c>
      <c r="FT175">
        <v>1.42</v>
      </c>
      <c r="HI175">
        <v>7</v>
      </c>
      <c r="OR175">
        <v>10</v>
      </c>
    </row>
    <row r="176" spans="1:742">
      <c r="A176" s="16" t="s">
        <v>2174</v>
      </c>
      <c r="FU176">
        <v>1.42</v>
      </c>
      <c r="NP176">
        <v>7</v>
      </c>
    </row>
    <row r="177" spans="1:804">
      <c r="A177" s="16" t="s">
        <v>2175</v>
      </c>
      <c r="FV177">
        <v>1.42</v>
      </c>
    </row>
    <row r="178" spans="1:804">
      <c r="A178" s="16" t="s">
        <v>2176</v>
      </c>
      <c r="FW178">
        <v>1.42</v>
      </c>
    </row>
    <row r="179" spans="1:804">
      <c r="A179" s="16" t="s">
        <v>2177</v>
      </c>
      <c r="CQ179">
        <v>7</v>
      </c>
      <c r="FX179">
        <v>1.42</v>
      </c>
      <c r="KR179">
        <v>7</v>
      </c>
      <c r="NQ179">
        <v>7</v>
      </c>
      <c r="OS179">
        <v>10</v>
      </c>
      <c r="QG179">
        <v>10</v>
      </c>
      <c r="VF179">
        <v>10</v>
      </c>
    </row>
    <row r="180" spans="1:804">
      <c r="A180" s="16" t="s">
        <v>2178</v>
      </c>
      <c r="FY180">
        <v>1.42</v>
      </c>
    </row>
    <row r="181" spans="1:804">
      <c r="A181" s="16" t="s">
        <v>2179</v>
      </c>
      <c r="FZ181">
        <v>1.42</v>
      </c>
    </row>
    <row r="182" spans="1:804">
      <c r="A182" s="16" t="s">
        <v>2180</v>
      </c>
      <c r="GA182">
        <v>1.42</v>
      </c>
      <c r="KP182">
        <v>7</v>
      </c>
    </row>
    <row r="183" spans="1:804">
      <c r="A183" s="16" t="s">
        <v>2181</v>
      </c>
      <c r="GB183">
        <v>1.42</v>
      </c>
    </row>
    <row r="184" spans="1:804">
      <c r="A184" s="16" t="s">
        <v>2182</v>
      </c>
      <c r="GC184">
        <v>1.42</v>
      </c>
    </row>
    <row r="185" spans="1:804">
      <c r="A185" s="16" t="s">
        <v>2183</v>
      </c>
      <c r="GD185">
        <v>1.42</v>
      </c>
    </row>
    <row r="186" spans="1:804">
      <c r="A186" s="16" t="s">
        <v>2184</v>
      </c>
      <c r="GE186">
        <v>1.42</v>
      </c>
    </row>
    <row r="187" spans="1:804">
      <c r="A187" s="16" t="s">
        <v>2185</v>
      </c>
      <c r="GF187">
        <v>1.42</v>
      </c>
    </row>
    <row r="188" spans="1:804">
      <c r="A188" s="16" t="s">
        <v>2186</v>
      </c>
      <c r="GG188">
        <v>1.42</v>
      </c>
      <c r="GK188">
        <v>1.42</v>
      </c>
    </row>
    <row r="189" spans="1:804">
      <c r="A189" s="16" t="s">
        <v>2187</v>
      </c>
      <c r="GH189">
        <v>1.42</v>
      </c>
    </row>
    <row r="190" spans="1:804">
      <c r="A190" s="16" t="s">
        <v>2188</v>
      </c>
      <c r="GI190">
        <v>1.42</v>
      </c>
    </row>
    <row r="191" spans="1:804">
      <c r="A191" s="16" t="s">
        <v>2189</v>
      </c>
      <c r="GJ191">
        <v>1.42</v>
      </c>
    </row>
    <row r="192" spans="1:804">
      <c r="A192" s="16" t="s">
        <v>2190</v>
      </c>
      <c r="ADX192">
        <v>10</v>
      </c>
    </row>
    <row r="193" spans="1:737">
      <c r="A193" s="16" t="s">
        <v>2191</v>
      </c>
      <c r="GL193">
        <v>1.42</v>
      </c>
      <c r="AAQ193">
        <v>10</v>
      </c>
    </row>
    <row r="194" spans="1:737">
      <c r="A194" s="16" t="s">
        <v>2192</v>
      </c>
      <c r="GM194">
        <v>1.42</v>
      </c>
      <c r="AAR194">
        <v>10</v>
      </c>
    </row>
    <row r="195" spans="1:737">
      <c r="A195" s="16" t="s">
        <v>2193</v>
      </c>
      <c r="GN195">
        <v>1.42</v>
      </c>
      <c r="AAS195">
        <v>10</v>
      </c>
    </row>
    <row r="196" spans="1:737">
      <c r="A196" s="16" t="s">
        <v>2194</v>
      </c>
      <c r="GO196">
        <v>1.42</v>
      </c>
    </row>
    <row r="197" spans="1:737">
      <c r="A197" s="16" t="s">
        <v>2195</v>
      </c>
    </row>
    <row r="198" spans="1:737">
      <c r="A198" s="16" t="s">
        <v>2196</v>
      </c>
      <c r="GQ198">
        <v>1.5</v>
      </c>
    </row>
    <row r="199" spans="1:737">
      <c r="A199" s="16" t="s">
        <v>2197</v>
      </c>
      <c r="AQ199">
        <v>7</v>
      </c>
      <c r="GR199">
        <v>1.5</v>
      </c>
    </row>
    <row r="200" spans="1:737">
      <c r="A200" s="16" t="s">
        <v>2198</v>
      </c>
      <c r="GS200">
        <v>1.5</v>
      </c>
    </row>
    <row r="201" spans="1:737">
      <c r="A201" s="16" t="s">
        <v>2199</v>
      </c>
      <c r="GT201">
        <v>1.5</v>
      </c>
    </row>
    <row r="202" spans="1:737">
      <c r="A202" s="16" t="s">
        <v>2200</v>
      </c>
      <c r="GU202">
        <v>1.5</v>
      </c>
      <c r="GV202">
        <v>1.5</v>
      </c>
    </row>
    <row r="203" spans="1:737">
      <c r="A203" s="16" t="s">
        <v>2201</v>
      </c>
      <c r="GW203">
        <v>1.5</v>
      </c>
    </row>
    <row r="204" spans="1:737">
      <c r="A204" s="16" t="s">
        <v>2202</v>
      </c>
      <c r="GW204">
        <v>1.5</v>
      </c>
      <c r="LA204">
        <v>7</v>
      </c>
    </row>
    <row r="205" spans="1:737">
      <c r="A205" s="16" t="s">
        <v>2203</v>
      </c>
      <c r="ABI205">
        <v>10</v>
      </c>
    </row>
    <row r="206" spans="1:737">
      <c r="A206" s="16" t="s">
        <v>2204</v>
      </c>
      <c r="GY206">
        <v>1.37</v>
      </c>
      <c r="ZZ206">
        <v>10</v>
      </c>
      <c r="AAD206">
        <v>10</v>
      </c>
    </row>
    <row r="207" spans="1:737">
      <c r="A207" s="16" t="s">
        <v>2205</v>
      </c>
      <c r="GZ207">
        <v>1.37</v>
      </c>
    </row>
    <row r="208" spans="1:737">
      <c r="A208" s="16" t="s">
        <v>2206</v>
      </c>
      <c r="HA208">
        <v>1.37</v>
      </c>
    </row>
    <row r="209" spans="1:514">
      <c r="A209" s="16" t="s">
        <v>2207</v>
      </c>
      <c r="HB209">
        <v>1.37</v>
      </c>
    </row>
    <row r="210" spans="1:514">
      <c r="A210" s="16" t="s">
        <v>2208</v>
      </c>
      <c r="HC210">
        <v>1.37</v>
      </c>
    </row>
    <row r="211" spans="1:514">
      <c r="A211" s="16" t="s">
        <v>2209</v>
      </c>
      <c r="HD211">
        <v>1.37</v>
      </c>
      <c r="KF211">
        <v>7</v>
      </c>
    </row>
    <row r="212" spans="1:514">
      <c r="A212" s="16" t="s">
        <v>2210</v>
      </c>
      <c r="HE212">
        <v>1.37</v>
      </c>
    </row>
    <row r="213" spans="1:514">
      <c r="A213" s="16" t="s">
        <v>2211</v>
      </c>
      <c r="HF213">
        <v>1.37</v>
      </c>
    </row>
    <row r="214" spans="1:514">
      <c r="A214" s="16" t="s">
        <v>2212</v>
      </c>
      <c r="HG214">
        <v>1.37</v>
      </c>
      <c r="NB214">
        <v>7</v>
      </c>
      <c r="ST214">
        <v>10</v>
      </c>
    </row>
    <row r="215" spans="1:514">
      <c r="A215" s="16" t="s">
        <v>2213</v>
      </c>
      <c r="HH215">
        <v>1.37</v>
      </c>
      <c r="LR215">
        <v>7</v>
      </c>
    </row>
    <row r="216" spans="1:514">
      <c r="A216" s="16" t="s">
        <v>2214</v>
      </c>
      <c r="HI216">
        <v>1.37</v>
      </c>
      <c r="LQ216">
        <v>7</v>
      </c>
      <c r="NO216">
        <v>7</v>
      </c>
    </row>
    <row r="217" spans="1:514">
      <c r="A217" s="16" t="s">
        <v>2215</v>
      </c>
      <c r="BL217">
        <v>7</v>
      </c>
      <c r="HJ217">
        <v>1.37</v>
      </c>
      <c r="OR217">
        <v>10</v>
      </c>
    </row>
    <row r="218" spans="1:514">
      <c r="A218" s="16" t="s">
        <v>2216</v>
      </c>
      <c r="HK218">
        <v>1.37</v>
      </c>
      <c r="JD218">
        <v>7</v>
      </c>
    </row>
    <row r="219" spans="1:514">
      <c r="A219" s="16" t="s">
        <v>2217</v>
      </c>
      <c r="HL219">
        <v>1.37</v>
      </c>
    </row>
    <row r="220" spans="1:514">
      <c r="A220" s="16" t="s">
        <v>2218</v>
      </c>
      <c r="HM220">
        <v>1.37</v>
      </c>
    </row>
    <row r="221" spans="1:514">
      <c r="A221" s="16" t="s">
        <v>2219</v>
      </c>
      <c r="CM221">
        <v>7</v>
      </c>
      <c r="HN221">
        <v>1.37</v>
      </c>
      <c r="JG221">
        <v>7</v>
      </c>
    </row>
    <row r="222" spans="1:514">
      <c r="A222" s="16" t="s">
        <v>2220</v>
      </c>
      <c r="BS222">
        <v>7</v>
      </c>
      <c r="HO222">
        <v>1.37</v>
      </c>
      <c r="JH222">
        <v>7</v>
      </c>
      <c r="KV222">
        <v>7</v>
      </c>
    </row>
    <row r="223" spans="1:514">
      <c r="A223" s="16" t="s">
        <v>2221</v>
      </c>
      <c r="HP223">
        <v>1.37</v>
      </c>
    </row>
    <row r="224" spans="1:514">
      <c r="A224" s="16" t="s">
        <v>2222</v>
      </c>
      <c r="HQ224">
        <v>1.37</v>
      </c>
    </row>
    <row r="225" spans="1:726">
      <c r="A225" s="16" t="s">
        <v>2223</v>
      </c>
      <c r="HR225">
        <v>1.37</v>
      </c>
    </row>
    <row r="226" spans="1:726">
      <c r="A226" s="16" t="s">
        <v>2224</v>
      </c>
      <c r="HS226">
        <v>1.37</v>
      </c>
    </row>
    <row r="227" spans="1:726">
      <c r="A227" s="16" t="s">
        <v>2225</v>
      </c>
      <c r="HT227">
        <v>1.37</v>
      </c>
    </row>
    <row r="228" spans="1:726">
      <c r="A228" s="16" t="s">
        <v>2226</v>
      </c>
      <c r="HU228">
        <v>1.37</v>
      </c>
    </row>
    <row r="229" spans="1:726">
      <c r="A229" s="16" t="s">
        <v>2227</v>
      </c>
      <c r="HV229">
        <v>1.37</v>
      </c>
    </row>
    <row r="230" spans="1:726">
      <c r="A230" s="16" t="s">
        <v>2228</v>
      </c>
      <c r="HW230">
        <v>1.37</v>
      </c>
    </row>
    <row r="231" spans="1:726">
      <c r="A231" s="16" t="s">
        <v>2229</v>
      </c>
      <c r="HX231">
        <v>1.37</v>
      </c>
    </row>
    <row r="232" spans="1:726">
      <c r="A232" s="16" t="s">
        <v>2230</v>
      </c>
      <c r="HY232">
        <v>1.37</v>
      </c>
    </row>
    <row r="233" spans="1:726">
      <c r="A233" s="16" t="s">
        <v>2231</v>
      </c>
      <c r="HZ233">
        <v>1.37</v>
      </c>
      <c r="AAX233">
        <v>10</v>
      </c>
    </row>
    <row r="234" spans="1:726">
      <c r="A234" s="16" t="s">
        <v>2232</v>
      </c>
      <c r="IA234">
        <v>1.37</v>
      </c>
      <c r="AAW234">
        <v>10</v>
      </c>
    </row>
    <row r="235" spans="1:726">
      <c r="A235" s="16" t="s">
        <v>2233</v>
      </c>
      <c r="IB235">
        <v>1.37</v>
      </c>
    </row>
    <row r="236" spans="1:726">
      <c r="A236" s="16" t="s">
        <v>2234</v>
      </c>
      <c r="IC236">
        <v>1.37</v>
      </c>
    </row>
    <row r="237" spans="1:726">
      <c r="A237" s="16" t="s">
        <v>2235</v>
      </c>
      <c r="ID237">
        <v>1.37</v>
      </c>
    </row>
    <row r="238" spans="1:726">
      <c r="A238" s="16" t="s">
        <v>2236</v>
      </c>
      <c r="IE238">
        <v>1.37</v>
      </c>
    </row>
    <row r="239" spans="1:726">
      <c r="A239" s="16" t="s">
        <v>2237</v>
      </c>
      <c r="IF239">
        <v>1.37</v>
      </c>
    </row>
    <row r="240" spans="1:726">
      <c r="A240" s="16" t="s">
        <v>2238</v>
      </c>
      <c r="IG240">
        <v>1.37</v>
      </c>
    </row>
    <row r="241" spans="1:695">
      <c r="A241" s="16" t="s">
        <v>2239</v>
      </c>
      <c r="IH241">
        <v>1.37</v>
      </c>
    </row>
    <row r="242" spans="1:695">
      <c r="A242" s="16" t="s">
        <v>2240</v>
      </c>
      <c r="II242">
        <v>1.37</v>
      </c>
    </row>
    <row r="243" spans="1:695">
      <c r="A243" s="16" t="s">
        <v>2241</v>
      </c>
    </row>
    <row r="244" spans="1:695">
      <c r="A244" s="16" t="s">
        <v>2242</v>
      </c>
      <c r="IK244">
        <v>1.41</v>
      </c>
      <c r="ZS244">
        <v>10</v>
      </c>
    </row>
    <row r="245" spans="1:695">
      <c r="A245" s="16" t="s">
        <v>2243</v>
      </c>
      <c r="IL245">
        <v>1.41</v>
      </c>
    </row>
    <row r="246" spans="1:695">
      <c r="A246" s="16" t="s">
        <v>2244</v>
      </c>
      <c r="IM246">
        <v>1.41</v>
      </c>
    </row>
    <row r="247" spans="1:695">
      <c r="A247" s="16" t="s">
        <v>2245</v>
      </c>
      <c r="IN247">
        <v>1.41</v>
      </c>
    </row>
    <row r="248" spans="1:695">
      <c r="A248" s="16" t="s">
        <v>2246</v>
      </c>
      <c r="IO248">
        <v>1.41</v>
      </c>
    </row>
    <row r="249" spans="1:695">
      <c r="A249" s="16" t="s">
        <v>2247</v>
      </c>
      <c r="IP249">
        <v>1.41</v>
      </c>
      <c r="JX249">
        <v>7</v>
      </c>
    </row>
    <row r="250" spans="1:695">
      <c r="A250" s="16" t="s">
        <v>2248</v>
      </c>
      <c r="IQ250">
        <v>1.41</v>
      </c>
      <c r="JY250">
        <v>7</v>
      </c>
    </row>
    <row r="251" spans="1:695">
      <c r="A251" s="16" t="s">
        <v>2249</v>
      </c>
      <c r="IR251">
        <v>1.41</v>
      </c>
    </row>
    <row r="252" spans="1:695">
      <c r="A252" s="16" t="s">
        <v>2250</v>
      </c>
      <c r="IS252">
        <v>1.41</v>
      </c>
    </row>
    <row r="253" spans="1:695">
      <c r="A253" s="16" t="s">
        <v>2251</v>
      </c>
      <c r="IT253">
        <v>1.41</v>
      </c>
      <c r="SD253">
        <v>10</v>
      </c>
    </row>
    <row r="254" spans="1:695">
      <c r="A254" s="16" t="s">
        <v>2252</v>
      </c>
      <c r="IU254">
        <v>1.41</v>
      </c>
      <c r="SC254">
        <v>10</v>
      </c>
    </row>
    <row r="255" spans="1:695">
      <c r="A255" s="16" t="s">
        <v>2253</v>
      </c>
      <c r="IV255">
        <v>1.41</v>
      </c>
    </row>
    <row r="256" spans="1:695">
      <c r="A256" s="16" t="s">
        <v>2254</v>
      </c>
      <c r="IW256">
        <v>1.41</v>
      </c>
    </row>
    <row r="257" spans="1:993">
      <c r="A257" s="16" t="s">
        <v>2255</v>
      </c>
      <c r="IX257">
        <v>1.41</v>
      </c>
      <c r="SS257">
        <v>10</v>
      </c>
    </row>
    <row r="258" spans="1:993">
      <c r="A258" s="16" t="s">
        <v>2256</v>
      </c>
      <c r="J258">
        <v>7</v>
      </c>
      <c r="IY258">
        <v>1.41</v>
      </c>
    </row>
    <row r="259" spans="1:993">
      <c r="A259" s="16" t="s">
        <v>2257</v>
      </c>
      <c r="IZ259">
        <v>1.41</v>
      </c>
    </row>
    <row r="260" spans="1:993">
      <c r="A260" s="16" t="s">
        <v>2258</v>
      </c>
      <c r="JA260">
        <v>1.41</v>
      </c>
      <c r="MZ260">
        <v>7</v>
      </c>
    </row>
    <row r="261" spans="1:993">
      <c r="A261" s="16" t="s">
        <v>2259</v>
      </c>
      <c r="JB261">
        <v>1.41</v>
      </c>
      <c r="NN261">
        <v>7</v>
      </c>
      <c r="ALE261">
        <v>10</v>
      </c>
    </row>
    <row r="262" spans="1:993">
      <c r="A262" s="16" t="s">
        <v>2260</v>
      </c>
      <c r="BK262">
        <v>7</v>
      </c>
      <c r="JC262">
        <v>1.41</v>
      </c>
      <c r="OR262">
        <v>10</v>
      </c>
      <c r="WY262">
        <v>10</v>
      </c>
    </row>
    <row r="263" spans="1:993">
      <c r="A263" s="16" t="s">
        <v>2261</v>
      </c>
      <c r="JD263">
        <v>1.41</v>
      </c>
    </row>
    <row r="264" spans="1:993">
      <c r="A264" s="16" t="s">
        <v>2262</v>
      </c>
      <c r="JE264">
        <v>1.41</v>
      </c>
    </row>
    <row r="265" spans="1:993">
      <c r="A265" s="16" t="s">
        <v>2263</v>
      </c>
      <c r="JF265">
        <v>1.41</v>
      </c>
    </row>
    <row r="266" spans="1:993">
      <c r="A266" s="16" t="s">
        <v>2264</v>
      </c>
      <c r="JG266">
        <v>1.41</v>
      </c>
    </row>
    <row r="267" spans="1:993">
      <c r="A267" s="16" t="s">
        <v>2265</v>
      </c>
      <c r="CM267">
        <v>7</v>
      </c>
      <c r="JH267">
        <v>1.41</v>
      </c>
    </row>
    <row r="268" spans="1:993">
      <c r="A268" s="16" t="s">
        <v>2266</v>
      </c>
      <c r="BS268">
        <v>7</v>
      </c>
      <c r="JI268">
        <v>1.41</v>
      </c>
      <c r="KV268">
        <v>7</v>
      </c>
    </row>
    <row r="269" spans="1:993">
      <c r="A269" s="16" t="s">
        <v>2267</v>
      </c>
      <c r="JJ269">
        <v>1.41</v>
      </c>
    </row>
    <row r="270" spans="1:993">
      <c r="A270" s="16" t="s">
        <v>2268</v>
      </c>
      <c r="JK270">
        <v>1.41</v>
      </c>
    </row>
    <row r="271" spans="1:993">
      <c r="A271" s="16" t="s">
        <v>2269</v>
      </c>
      <c r="JL271">
        <v>1.41</v>
      </c>
    </row>
    <row r="272" spans="1:993">
      <c r="A272" s="16" t="s">
        <v>2270</v>
      </c>
      <c r="JM272">
        <v>1.41</v>
      </c>
    </row>
    <row r="273" spans="1:731">
      <c r="A273" s="16" t="s">
        <v>2271</v>
      </c>
      <c r="JN273">
        <v>1.41</v>
      </c>
    </row>
    <row r="274" spans="1:731">
      <c r="A274" s="16" t="s">
        <v>2272</v>
      </c>
      <c r="AZ274">
        <v>7</v>
      </c>
      <c r="JO274">
        <v>1.41</v>
      </c>
      <c r="OU274">
        <v>10</v>
      </c>
    </row>
    <row r="275" spans="1:731">
      <c r="A275" s="16" t="s">
        <v>2273</v>
      </c>
      <c r="JP275">
        <v>1.41</v>
      </c>
    </row>
    <row r="276" spans="1:731">
      <c r="A276" s="16" t="s">
        <v>2274</v>
      </c>
      <c r="JQ276">
        <v>1.41</v>
      </c>
    </row>
    <row r="277" spans="1:731">
      <c r="A277" s="16" t="s">
        <v>2275</v>
      </c>
      <c r="JR277">
        <v>1.41</v>
      </c>
      <c r="ABC277">
        <v>10</v>
      </c>
    </row>
    <row r="278" spans="1:731">
      <c r="A278" s="16" t="s">
        <v>2276</v>
      </c>
      <c r="JS278">
        <v>1.41</v>
      </c>
    </row>
    <row r="279" spans="1:731">
      <c r="A279" s="16" t="s">
        <v>2277</v>
      </c>
      <c r="JT279">
        <v>1.41</v>
      </c>
    </row>
    <row r="280" spans="1:731">
      <c r="A280" s="16" t="s">
        <v>2278</v>
      </c>
    </row>
    <row r="281" spans="1:731">
      <c r="A281" s="16" t="s">
        <v>2279</v>
      </c>
      <c r="JV281">
        <v>1.47</v>
      </c>
      <c r="ZR281">
        <v>10</v>
      </c>
    </row>
    <row r="282" spans="1:731">
      <c r="A282" s="16" t="s">
        <v>2280</v>
      </c>
      <c r="JW282">
        <v>1.47</v>
      </c>
      <c r="JX282">
        <v>1.47</v>
      </c>
    </row>
    <row r="283" spans="1:731">
      <c r="A283" s="16" t="s">
        <v>2281</v>
      </c>
      <c r="JY283">
        <v>1.47</v>
      </c>
    </row>
    <row r="284" spans="1:731">
      <c r="A284" s="16" t="s">
        <v>2282</v>
      </c>
      <c r="JZ284">
        <v>1.47</v>
      </c>
    </row>
    <row r="285" spans="1:731">
      <c r="A285" s="16" t="s">
        <v>2283</v>
      </c>
      <c r="KA285">
        <v>1.47</v>
      </c>
    </row>
    <row r="286" spans="1:731">
      <c r="A286" s="16" t="s">
        <v>2284</v>
      </c>
      <c r="KB286">
        <v>1.47</v>
      </c>
    </row>
    <row r="287" spans="1:731">
      <c r="A287" s="16" t="s">
        <v>2285</v>
      </c>
      <c r="KC287">
        <v>1.47</v>
      </c>
    </row>
    <row r="288" spans="1:731">
      <c r="A288" s="16" t="s">
        <v>2286</v>
      </c>
      <c r="KC288">
        <v>1.47</v>
      </c>
    </row>
    <row r="289" spans="1:578">
      <c r="A289" s="16" t="s">
        <v>2287</v>
      </c>
      <c r="KD289">
        <v>1.47</v>
      </c>
      <c r="SQ289">
        <v>10</v>
      </c>
    </row>
    <row r="290" spans="1:578">
      <c r="A290" s="16" t="s">
        <v>2288</v>
      </c>
      <c r="KE290">
        <v>1.47</v>
      </c>
    </row>
    <row r="291" spans="1:578">
      <c r="A291" s="16" t="s">
        <v>2289</v>
      </c>
      <c r="KF291">
        <v>1.47</v>
      </c>
    </row>
    <row r="292" spans="1:578">
      <c r="A292" s="16" t="s">
        <v>2290</v>
      </c>
      <c r="KG292">
        <v>1.47</v>
      </c>
    </row>
    <row r="293" spans="1:578">
      <c r="A293" s="16" t="s">
        <v>2291</v>
      </c>
      <c r="KH293">
        <v>1.47</v>
      </c>
    </row>
    <row r="294" spans="1:578">
      <c r="A294" s="16" t="s">
        <v>2292</v>
      </c>
      <c r="KI294">
        <v>1.47</v>
      </c>
      <c r="NE294">
        <v>7</v>
      </c>
    </row>
    <row r="295" spans="1:578">
      <c r="A295" s="16" t="s">
        <v>2293</v>
      </c>
      <c r="KJ295">
        <v>1.47</v>
      </c>
    </row>
    <row r="296" spans="1:578">
      <c r="A296" s="16" t="s">
        <v>2294</v>
      </c>
      <c r="KK296">
        <v>1.47</v>
      </c>
      <c r="LV296">
        <v>7</v>
      </c>
    </row>
    <row r="297" spans="1:578">
      <c r="A297" s="16" t="s">
        <v>2295</v>
      </c>
      <c r="KL297">
        <v>1.47</v>
      </c>
    </row>
    <row r="298" spans="1:578">
      <c r="A298" s="16" t="s">
        <v>2296</v>
      </c>
      <c r="CT298">
        <v>7</v>
      </c>
      <c r="KM298">
        <v>1.47</v>
      </c>
    </row>
    <row r="299" spans="1:578">
      <c r="A299" s="16" t="s">
        <v>2297</v>
      </c>
      <c r="KN299">
        <v>1.47</v>
      </c>
      <c r="QH299">
        <v>10</v>
      </c>
      <c r="SV299">
        <v>10</v>
      </c>
    </row>
    <row r="300" spans="1:578">
      <c r="A300" s="16" t="s">
        <v>2298</v>
      </c>
      <c r="KO300">
        <v>1.47</v>
      </c>
    </row>
    <row r="301" spans="1:578">
      <c r="A301" s="16" t="s">
        <v>2299</v>
      </c>
      <c r="KP301">
        <v>1.47</v>
      </c>
    </row>
    <row r="302" spans="1:578">
      <c r="A302" s="16" t="s">
        <v>2300</v>
      </c>
      <c r="KQ302">
        <v>1.47</v>
      </c>
    </row>
    <row r="303" spans="1:578">
      <c r="A303" s="16" t="s">
        <v>2301</v>
      </c>
      <c r="SW303">
        <v>10</v>
      </c>
    </row>
    <row r="304" spans="1:578">
      <c r="A304" s="16" t="s">
        <v>2302</v>
      </c>
      <c r="CQ304">
        <v>7</v>
      </c>
      <c r="KS304">
        <v>1.1499999999999999</v>
      </c>
      <c r="NQ304">
        <v>7</v>
      </c>
      <c r="OS304">
        <v>10</v>
      </c>
      <c r="QG304">
        <v>10</v>
      </c>
      <c r="VF304">
        <v>10</v>
      </c>
    </row>
    <row r="305" spans="1:747">
      <c r="A305" s="16" t="s">
        <v>2303</v>
      </c>
      <c r="KT305">
        <v>1.1499999999999999</v>
      </c>
    </row>
    <row r="306" spans="1:747">
      <c r="A306" s="16" t="s">
        <v>2304</v>
      </c>
      <c r="KU306">
        <v>1.1499999999999999</v>
      </c>
    </row>
    <row r="307" spans="1:747">
      <c r="A307" s="16" t="s">
        <v>2305</v>
      </c>
      <c r="BQ307">
        <v>7</v>
      </c>
      <c r="KV307">
        <v>1.1499999999999999</v>
      </c>
    </row>
    <row r="308" spans="1:747">
      <c r="A308" s="16" t="s">
        <v>2306</v>
      </c>
      <c r="BS308">
        <v>7</v>
      </c>
      <c r="KW308">
        <v>1.1499999999999999</v>
      </c>
    </row>
    <row r="309" spans="1:747">
      <c r="A309" s="16" t="s">
        <v>2307</v>
      </c>
      <c r="KX309">
        <v>1.1499999999999999</v>
      </c>
    </row>
    <row r="310" spans="1:747">
      <c r="A310" s="16" t="s">
        <v>2308</v>
      </c>
      <c r="AS310">
        <v>7</v>
      </c>
      <c r="KY310">
        <v>1.1499999999999999</v>
      </c>
    </row>
    <row r="311" spans="1:747">
      <c r="A311" s="16" t="s">
        <v>2309</v>
      </c>
      <c r="KZ311">
        <v>1.1499999999999999</v>
      </c>
    </row>
    <row r="312" spans="1:747">
      <c r="A312" s="16" t="s">
        <v>2310</v>
      </c>
      <c r="LA312">
        <v>1.1499999999999999</v>
      </c>
    </row>
    <row r="313" spans="1:747">
      <c r="A313" s="16" t="s">
        <v>2311</v>
      </c>
      <c r="LB313">
        <v>1.1499999999999999</v>
      </c>
    </row>
    <row r="314" spans="1:747">
      <c r="A314" s="16" t="s">
        <v>2312</v>
      </c>
      <c r="LC314">
        <v>1.1499999999999999</v>
      </c>
    </row>
    <row r="315" spans="1:747">
      <c r="A315" s="16" t="s">
        <v>2313</v>
      </c>
      <c r="CD315">
        <v>7</v>
      </c>
      <c r="LD315">
        <v>1.1499999999999999</v>
      </c>
      <c r="ABH315">
        <v>10</v>
      </c>
    </row>
    <row r="316" spans="1:747">
      <c r="A316" s="16" t="s">
        <v>2314</v>
      </c>
    </row>
    <row r="317" spans="1:747">
      <c r="A317" s="16" t="s">
        <v>2315</v>
      </c>
      <c r="LF317">
        <v>1.31</v>
      </c>
    </row>
    <row r="318" spans="1:747">
      <c r="A318" s="16" t="s">
        <v>2316</v>
      </c>
      <c r="LG318">
        <v>1.31</v>
      </c>
      <c r="ABS318">
        <v>10</v>
      </c>
    </row>
    <row r="319" spans="1:747">
      <c r="A319" s="16" t="s">
        <v>2317</v>
      </c>
      <c r="LH319">
        <v>1.31</v>
      </c>
    </row>
    <row r="320" spans="1:747">
      <c r="A320" s="16" t="s">
        <v>2318</v>
      </c>
      <c r="CG320">
        <v>7</v>
      </c>
      <c r="LI320">
        <v>1.31</v>
      </c>
    </row>
    <row r="321" spans="1:993">
      <c r="A321" s="16" t="s">
        <v>2319</v>
      </c>
      <c r="LJ321">
        <v>1.31</v>
      </c>
    </row>
    <row r="322" spans="1:993">
      <c r="A322" s="16" t="s">
        <v>2320</v>
      </c>
      <c r="LK322">
        <v>1.31</v>
      </c>
    </row>
    <row r="323" spans="1:993">
      <c r="A323" s="16" t="s">
        <v>2321</v>
      </c>
      <c r="LL323">
        <v>1.31</v>
      </c>
    </row>
    <row r="324" spans="1:993">
      <c r="A324" s="16" t="s">
        <v>2322</v>
      </c>
      <c r="AK324">
        <v>7</v>
      </c>
      <c r="LM324">
        <v>1.31</v>
      </c>
    </row>
    <row r="325" spans="1:993">
      <c r="A325" s="16" t="s">
        <v>2323</v>
      </c>
      <c r="LN325">
        <v>1.31</v>
      </c>
    </row>
    <row r="326" spans="1:993">
      <c r="A326" s="16" t="s">
        <v>2324</v>
      </c>
      <c r="LO326">
        <v>1.31</v>
      </c>
    </row>
    <row r="327" spans="1:993">
      <c r="A327" s="16" t="s">
        <v>2325</v>
      </c>
      <c r="LP327">
        <v>1.31</v>
      </c>
    </row>
    <row r="328" spans="1:993">
      <c r="A328" s="16" t="s">
        <v>2326</v>
      </c>
      <c r="BJ328">
        <v>7</v>
      </c>
      <c r="LQ328">
        <v>1.31</v>
      </c>
      <c r="MY328">
        <v>7</v>
      </c>
      <c r="NN328">
        <v>7</v>
      </c>
      <c r="WY328">
        <v>10</v>
      </c>
      <c r="AIZ328">
        <v>10</v>
      </c>
      <c r="ALE328">
        <v>10</v>
      </c>
    </row>
    <row r="329" spans="1:993">
      <c r="A329" s="16" t="s">
        <v>2327</v>
      </c>
      <c r="LR329">
        <v>1.31</v>
      </c>
      <c r="NO329">
        <v>7</v>
      </c>
    </row>
    <row r="330" spans="1:993">
      <c r="A330" s="16" t="s">
        <v>2328</v>
      </c>
      <c r="LS330">
        <v>1.31</v>
      </c>
    </row>
    <row r="331" spans="1:993">
      <c r="A331" s="16" t="s">
        <v>2329</v>
      </c>
      <c r="LT331">
        <v>1.31</v>
      </c>
    </row>
    <row r="332" spans="1:993">
      <c r="A332" s="16" t="s">
        <v>2330</v>
      </c>
      <c r="LU332">
        <v>1.31</v>
      </c>
      <c r="SU332">
        <v>10</v>
      </c>
    </row>
    <row r="333" spans="1:993">
      <c r="A333" s="16" t="s">
        <v>2331</v>
      </c>
      <c r="LV333">
        <v>1.31</v>
      </c>
    </row>
    <row r="334" spans="1:993">
      <c r="A334" s="16" t="s">
        <v>2332</v>
      </c>
      <c r="LW334">
        <v>1.31</v>
      </c>
    </row>
    <row r="335" spans="1:993">
      <c r="A335" s="16" t="s">
        <v>2333</v>
      </c>
      <c r="LX335">
        <v>1.31</v>
      </c>
    </row>
    <row r="336" spans="1:993">
      <c r="A336" s="16" t="s">
        <v>2334</v>
      </c>
      <c r="LY336">
        <v>1.31</v>
      </c>
    </row>
    <row r="337" spans="1:998">
      <c r="A337" s="16" t="s">
        <v>2335</v>
      </c>
      <c r="LZ337">
        <v>1.31</v>
      </c>
      <c r="NF337">
        <v>7</v>
      </c>
      <c r="ALJ337">
        <v>10</v>
      </c>
    </row>
    <row r="338" spans="1:998">
      <c r="A338" s="16" t="s">
        <v>2336</v>
      </c>
      <c r="MA338">
        <v>1.31</v>
      </c>
    </row>
    <row r="339" spans="1:998">
      <c r="A339" s="16" t="s">
        <v>2337</v>
      </c>
      <c r="MB339">
        <v>1.31</v>
      </c>
    </row>
    <row r="340" spans="1:998">
      <c r="A340" s="16" t="s">
        <v>2338</v>
      </c>
      <c r="MC340">
        <v>1.31</v>
      </c>
    </row>
    <row r="341" spans="1:998">
      <c r="A341" s="16" t="s">
        <v>2339</v>
      </c>
      <c r="MD341">
        <v>1.31</v>
      </c>
    </row>
    <row r="342" spans="1:998">
      <c r="A342" s="16" t="s">
        <v>2340</v>
      </c>
      <c r="ME342">
        <v>1.31</v>
      </c>
    </row>
    <row r="343" spans="1:998">
      <c r="A343" s="16" t="s">
        <v>2341</v>
      </c>
      <c r="MF343">
        <v>1.31</v>
      </c>
      <c r="AAB343">
        <v>10</v>
      </c>
      <c r="AAF343">
        <v>10</v>
      </c>
    </row>
    <row r="344" spans="1:998">
      <c r="A344" s="16" t="s">
        <v>2342</v>
      </c>
      <c r="MG344">
        <v>1.31</v>
      </c>
    </row>
    <row r="345" spans="1:998">
      <c r="A345" s="16" t="s">
        <v>2343</v>
      </c>
    </row>
    <row r="346" spans="1:998">
      <c r="A346" s="16" t="s">
        <v>2344</v>
      </c>
      <c r="MI346">
        <v>1.56</v>
      </c>
      <c r="XU346">
        <v>10</v>
      </c>
    </row>
    <row r="347" spans="1:998">
      <c r="A347" s="16" t="s">
        <v>2345</v>
      </c>
      <c r="MJ347">
        <v>1.56</v>
      </c>
    </row>
    <row r="348" spans="1:998">
      <c r="A348" s="16" t="s">
        <v>2346</v>
      </c>
      <c r="MK348">
        <v>1.56</v>
      </c>
    </row>
    <row r="349" spans="1:998">
      <c r="A349" s="16" t="s">
        <v>2347</v>
      </c>
      <c r="ML349">
        <v>1.56</v>
      </c>
    </row>
    <row r="350" spans="1:998">
      <c r="A350" s="16" t="s">
        <v>2348</v>
      </c>
      <c r="MM350">
        <v>1.56</v>
      </c>
      <c r="RY350">
        <v>10</v>
      </c>
      <c r="ABZ350">
        <v>10</v>
      </c>
    </row>
    <row r="351" spans="1:998">
      <c r="A351" s="16" t="s">
        <v>2349</v>
      </c>
      <c r="MV351">
        <v>1.56</v>
      </c>
    </row>
    <row r="352" spans="1:998">
      <c r="A352" s="16" t="s">
        <v>2350</v>
      </c>
      <c r="MO352">
        <v>1.56</v>
      </c>
      <c r="ACM352">
        <v>10</v>
      </c>
      <c r="ACP352">
        <v>10</v>
      </c>
    </row>
    <row r="353" spans="1:993">
      <c r="A353" s="16" t="s">
        <v>2351</v>
      </c>
      <c r="MP353">
        <v>1.56</v>
      </c>
      <c r="YH353">
        <v>10</v>
      </c>
      <c r="ACM353">
        <v>10</v>
      </c>
    </row>
    <row r="354" spans="1:993">
      <c r="A354" s="16" t="s">
        <v>2352</v>
      </c>
      <c r="MQ354">
        <v>1.56</v>
      </c>
      <c r="AEP354">
        <v>10</v>
      </c>
    </row>
    <row r="355" spans="1:993">
      <c r="A355" s="16" t="s">
        <v>2353</v>
      </c>
      <c r="MR355">
        <v>1.56</v>
      </c>
    </row>
    <row r="356" spans="1:993">
      <c r="A356" s="16" t="s">
        <v>2354</v>
      </c>
      <c r="MS356">
        <v>1.56</v>
      </c>
    </row>
    <row r="357" spans="1:993">
      <c r="A357" s="16" t="s">
        <v>2355</v>
      </c>
      <c r="MT357">
        <v>1.56</v>
      </c>
    </row>
    <row r="358" spans="1:993">
      <c r="A358" s="16" t="s">
        <v>2356</v>
      </c>
      <c r="MU358">
        <v>1.56</v>
      </c>
      <c r="ABW358">
        <v>10</v>
      </c>
    </row>
    <row r="359" spans="1:993">
      <c r="A359" s="16" t="s">
        <v>2357</v>
      </c>
      <c r="MV359">
        <v>1.56</v>
      </c>
    </row>
    <row r="360" spans="1:993">
      <c r="A360" s="16" t="s">
        <v>2358</v>
      </c>
      <c r="MW360">
        <v>1.56</v>
      </c>
    </row>
    <row r="361" spans="1:993">
      <c r="A361" s="16" t="s">
        <v>2359</v>
      </c>
      <c r="MX361">
        <v>1.56</v>
      </c>
    </row>
    <row r="362" spans="1:993">
      <c r="A362" s="16" t="s">
        <v>2360</v>
      </c>
      <c r="MY362">
        <v>1.56</v>
      </c>
    </row>
    <row r="363" spans="1:993">
      <c r="A363" s="16" t="s">
        <v>2361</v>
      </c>
      <c r="BJ363">
        <v>7</v>
      </c>
      <c r="MZ363">
        <v>1.56</v>
      </c>
      <c r="NN363">
        <v>7</v>
      </c>
      <c r="WY363">
        <v>10</v>
      </c>
      <c r="AIZ363">
        <v>10</v>
      </c>
      <c r="ALE363">
        <v>10</v>
      </c>
    </row>
    <row r="364" spans="1:993">
      <c r="A364" s="16" t="s">
        <v>2362</v>
      </c>
      <c r="NA364">
        <v>1.56</v>
      </c>
    </row>
    <row r="365" spans="1:993">
      <c r="A365" s="16" t="s">
        <v>2363</v>
      </c>
      <c r="K365">
        <v>7</v>
      </c>
      <c r="NB365">
        <v>1.56</v>
      </c>
    </row>
    <row r="366" spans="1:993">
      <c r="A366" s="16" t="s">
        <v>2364</v>
      </c>
      <c r="NC366">
        <v>1.56</v>
      </c>
      <c r="ST366">
        <v>10</v>
      </c>
    </row>
    <row r="367" spans="1:993">
      <c r="A367" s="16" t="s">
        <v>2365</v>
      </c>
      <c r="ND367">
        <v>1.56</v>
      </c>
    </row>
    <row r="368" spans="1:993">
      <c r="A368" s="16" t="s">
        <v>2366</v>
      </c>
      <c r="NE368">
        <v>1.56</v>
      </c>
    </row>
    <row r="369" spans="1:998">
      <c r="A369" s="16" t="s">
        <v>2367</v>
      </c>
      <c r="NF369">
        <v>1.56</v>
      </c>
    </row>
    <row r="370" spans="1:998">
      <c r="A370" s="16" t="s">
        <v>2368</v>
      </c>
      <c r="NG370">
        <v>1.56</v>
      </c>
      <c r="ALJ370">
        <v>10</v>
      </c>
    </row>
    <row r="371" spans="1:998">
      <c r="A371" s="16" t="s">
        <v>2369</v>
      </c>
      <c r="NH371">
        <v>1.56</v>
      </c>
    </row>
    <row r="372" spans="1:998">
      <c r="A372" s="16" t="s">
        <v>2370</v>
      </c>
      <c r="NI372">
        <v>1.56</v>
      </c>
    </row>
    <row r="373" spans="1:998">
      <c r="A373" s="16" t="s">
        <v>2371</v>
      </c>
      <c r="NJ373">
        <v>1.56</v>
      </c>
    </row>
    <row r="374" spans="1:998">
      <c r="A374" s="16" t="s">
        <v>2372</v>
      </c>
      <c r="NK374">
        <v>1.56</v>
      </c>
      <c r="AAI374">
        <v>10</v>
      </c>
    </row>
    <row r="375" spans="1:998">
      <c r="A375" s="16" t="s">
        <v>2373</v>
      </c>
      <c r="NL375">
        <v>1.56</v>
      </c>
    </row>
    <row r="376" spans="1:998">
      <c r="A376" s="16" t="s">
        <v>2374</v>
      </c>
      <c r="NM376">
        <v>1.56</v>
      </c>
    </row>
    <row r="377" spans="1:998">
      <c r="A377" s="16" t="s">
        <v>2375</v>
      </c>
      <c r="ADC377">
        <v>10</v>
      </c>
    </row>
    <row r="378" spans="1:998">
      <c r="A378" s="16" t="s">
        <v>2376</v>
      </c>
      <c r="BJ378">
        <v>7</v>
      </c>
      <c r="NO378">
        <v>1.67</v>
      </c>
      <c r="WY378">
        <v>10</v>
      </c>
      <c r="AIZ378">
        <v>10</v>
      </c>
      <c r="ALE378">
        <v>10</v>
      </c>
    </row>
    <row r="379" spans="1:998">
      <c r="A379" s="16" t="s">
        <v>2377</v>
      </c>
      <c r="NP379">
        <v>1.67</v>
      </c>
    </row>
    <row r="380" spans="1:998">
      <c r="A380" s="16" t="s">
        <v>2378</v>
      </c>
      <c r="NQ380">
        <v>1.67</v>
      </c>
    </row>
    <row r="381" spans="1:998">
      <c r="A381" s="16" t="s">
        <v>2379</v>
      </c>
      <c r="CQ381">
        <v>7</v>
      </c>
      <c r="NR381">
        <v>1.67</v>
      </c>
      <c r="OS381">
        <v>10</v>
      </c>
      <c r="QG381">
        <v>10</v>
      </c>
      <c r="VF381">
        <v>10</v>
      </c>
    </row>
    <row r="382" spans="1:998">
      <c r="A382" s="16" t="s">
        <v>2380</v>
      </c>
      <c r="NS382">
        <v>1.67</v>
      </c>
      <c r="OT382">
        <v>10</v>
      </c>
      <c r="VG382">
        <v>10</v>
      </c>
    </row>
    <row r="383" spans="1:998">
      <c r="A383" s="16" t="s">
        <v>2381</v>
      </c>
      <c r="NT383">
        <v>1.67</v>
      </c>
    </row>
    <row r="384" spans="1:998">
      <c r="A384" s="16" t="s">
        <v>2382</v>
      </c>
      <c r="NU384">
        <v>1.67</v>
      </c>
    </row>
    <row r="385" spans="1:966">
      <c r="A385" s="16" t="s">
        <v>2383</v>
      </c>
      <c r="NV385">
        <v>1.67</v>
      </c>
      <c r="SX385">
        <v>10</v>
      </c>
      <c r="AAU385">
        <v>10</v>
      </c>
    </row>
    <row r="386" spans="1:966">
      <c r="A386" s="16" t="s">
        <v>2384</v>
      </c>
    </row>
    <row r="387" spans="1:966">
      <c r="A387" s="16" t="s">
        <v>2385</v>
      </c>
      <c r="NX387">
        <v>2.9</v>
      </c>
      <c r="AJV387">
        <v>10</v>
      </c>
    </row>
    <row r="388" spans="1:966">
      <c r="A388" s="16" t="s">
        <v>2386</v>
      </c>
      <c r="NY388">
        <v>2.9</v>
      </c>
      <c r="AJW388">
        <v>10</v>
      </c>
    </row>
    <row r="389" spans="1:966">
      <c r="A389" s="16" t="s">
        <v>2387</v>
      </c>
      <c r="NZ389">
        <v>2.9</v>
      </c>
      <c r="AJX389">
        <v>10</v>
      </c>
    </row>
    <row r="390" spans="1:966">
      <c r="A390" s="16" t="s">
        <v>2388</v>
      </c>
      <c r="OA390">
        <v>2.9</v>
      </c>
      <c r="AJY390">
        <v>10</v>
      </c>
    </row>
    <row r="391" spans="1:966">
      <c r="A391" s="16" t="s">
        <v>2389</v>
      </c>
      <c r="OB391">
        <v>2.9</v>
      </c>
      <c r="AHY391">
        <v>10</v>
      </c>
      <c r="AJZ391">
        <v>10</v>
      </c>
    </row>
    <row r="392" spans="1:966">
      <c r="A392" s="16" t="s">
        <v>2390</v>
      </c>
      <c r="OF392">
        <v>2.9</v>
      </c>
      <c r="AKA392">
        <v>10</v>
      </c>
    </row>
    <row r="393" spans="1:966">
      <c r="A393" s="16" t="s">
        <v>2391</v>
      </c>
      <c r="OD393">
        <v>2.9</v>
      </c>
      <c r="AJJ393">
        <v>10</v>
      </c>
    </row>
    <row r="394" spans="1:966">
      <c r="A394" s="16" t="s">
        <v>2392</v>
      </c>
      <c r="OF394">
        <v>2.9</v>
      </c>
      <c r="AKA394">
        <v>10</v>
      </c>
    </row>
    <row r="395" spans="1:966">
      <c r="A395" s="16" t="s">
        <v>2393</v>
      </c>
      <c r="OF395">
        <v>2.9</v>
      </c>
      <c r="OG395">
        <v>2.9</v>
      </c>
      <c r="AKB395">
        <v>10</v>
      </c>
    </row>
    <row r="396" spans="1:966">
      <c r="A396" s="16" t="s">
        <v>2394</v>
      </c>
      <c r="AKC396">
        <v>10</v>
      </c>
    </row>
    <row r="397" spans="1:966">
      <c r="A397" s="16" t="s">
        <v>2395</v>
      </c>
      <c r="OO397">
        <v>2.9</v>
      </c>
      <c r="AJK397">
        <v>10</v>
      </c>
      <c r="AKD397">
        <v>10</v>
      </c>
    </row>
    <row r="398" spans="1:966">
      <c r="A398" s="16" t="s">
        <v>2396</v>
      </c>
      <c r="OI398">
        <v>2.9</v>
      </c>
    </row>
    <row r="399" spans="1:966">
      <c r="A399" s="16" t="s">
        <v>2397</v>
      </c>
      <c r="OJ399">
        <v>2.9</v>
      </c>
    </row>
    <row r="400" spans="1:966">
      <c r="A400" s="16" t="s">
        <v>2398</v>
      </c>
      <c r="OK400">
        <v>2.9</v>
      </c>
    </row>
    <row r="401" spans="1:987">
      <c r="A401" s="16" t="s">
        <v>2399</v>
      </c>
      <c r="OL401">
        <v>2.9</v>
      </c>
    </row>
    <row r="402" spans="1:987">
      <c r="A402" s="16" t="s">
        <v>2400</v>
      </c>
      <c r="OM402">
        <v>2.9</v>
      </c>
    </row>
    <row r="403" spans="1:987">
      <c r="A403" s="16" t="s">
        <v>2401</v>
      </c>
      <c r="ON403">
        <v>2.9</v>
      </c>
    </row>
    <row r="404" spans="1:987">
      <c r="A404" s="16" t="s">
        <v>2402</v>
      </c>
      <c r="OO404">
        <v>2.9</v>
      </c>
      <c r="AKE404">
        <v>10</v>
      </c>
    </row>
    <row r="405" spans="1:987">
      <c r="A405" s="16" t="s">
        <v>2403</v>
      </c>
      <c r="OP405">
        <v>2.9</v>
      </c>
    </row>
    <row r="406" spans="1:987">
      <c r="A406" s="16" t="s">
        <v>2404</v>
      </c>
      <c r="OQ406">
        <v>2.9</v>
      </c>
      <c r="ZL406">
        <v>10</v>
      </c>
      <c r="AKY406">
        <v>10</v>
      </c>
    </row>
    <row r="407" spans="1:987">
      <c r="A407" s="16" t="s">
        <v>2405</v>
      </c>
      <c r="H407">
        <v>10</v>
      </c>
      <c r="OR407">
        <v>2.9</v>
      </c>
    </row>
    <row r="408" spans="1:987">
      <c r="A408" s="16" t="s">
        <v>2406</v>
      </c>
      <c r="BK408">
        <v>10</v>
      </c>
      <c r="BL408">
        <v>10</v>
      </c>
      <c r="OS408">
        <v>2.9</v>
      </c>
      <c r="WY408">
        <v>7</v>
      </c>
    </row>
    <row r="409" spans="1:987">
      <c r="A409" s="16" t="s">
        <v>2407</v>
      </c>
      <c r="CP409">
        <v>10</v>
      </c>
      <c r="CQ409">
        <v>10</v>
      </c>
      <c r="OT409">
        <v>2.9</v>
      </c>
      <c r="QG409">
        <v>7</v>
      </c>
      <c r="VF409">
        <v>7</v>
      </c>
    </row>
    <row r="410" spans="1:987">
      <c r="A410" s="16" t="s">
        <v>2408</v>
      </c>
      <c r="OU410">
        <v>2.9</v>
      </c>
      <c r="VG410">
        <v>7</v>
      </c>
    </row>
    <row r="411" spans="1:987">
      <c r="A411" s="16" t="s">
        <v>2409</v>
      </c>
      <c r="AZ411">
        <v>10</v>
      </c>
      <c r="OV411">
        <v>2.9</v>
      </c>
    </row>
    <row r="412" spans="1:987">
      <c r="A412" s="16" t="s">
        <v>2410</v>
      </c>
      <c r="AR412">
        <v>2.9</v>
      </c>
      <c r="OW412">
        <v>2.9</v>
      </c>
    </row>
    <row r="413" spans="1:987">
      <c r="A413" s="16" t="s">
        <v>2411</v>
      </c>
      <c r="OX413">
        <v>2.9</v>
      </c>
    </row>
    <row r="414" spans="1:987">
      <c r="A414" s="16" t="s">
        <v>2412</v>
      </c>
      <c r="OY414">
        <v>2.9</v>
      </c>
    </row>
    <row r="415" spans="1:987">
      <c r="A415" s="16" t="s">
        <v>2413</v>
      </c>
      <c r="OZ415">
        <v>2.9</v>
      </c>
    </row>
    <row r="416" spans="1:987">
      <c r="A416" s="16" t="s">
        <v>2414</v>
      </c>
      <c r="PA416">
        <v>2.9</v>
      </c>
    </row>
    <row r="417" spans="1:635">
      <c r="A417" s="16" t="s">
        <v>2415</v>
      </c>
      <c r="PB417">
        <v>2.9</v>
      </c>
    </row>
    <row r="418" spans="1:635">
      <c r="A418" s="16" t="s">
        <v>2416</v>
      </c>
      <c r="PC418">
        <v>2.9</v>
      </c>
    </row>
    <row r="419" spans="1:635">
      <c r="A419" s="16" t="s">
        <v>2417</v>
      </c>
      <c r="PD419">
        <v>2.9</v>
      </c>
    </row>
    <row r="420" spans="1:635">
      <c r="A420" s="16" t="s">
        <v>2418</v>
      </c>
      <c r="PE420">
        <v>2.9</v>
      </c>
    </row>
    <row r="421" spans="1:635">
      <c r="A421" s="16" t="s">
        <v>2419</v>
      </c>
    </row>
    <row r="422" spans="1:635">
      <c r="A422" s="16" t="s">
        <v>2420</v>
      </c>
      <c r="PG422">
        <v>2.9</v>
      </c>
      <c r="XK422">
        <v>7</v>
      </c>
    </row>
    <row r="423" spans="1:635">
      <c r="A423" s="16" t="s">
        <v>2421</v>
      </c>
      <c r="PH423">
        <v>2.9</v>
      </c>
    </row>
    <row r="424" spans="1:635">
      <c r="A424" s="16" t="s">
        <v>2422</v>
      </c>
      <c r="PI424">
        <v>2.9</v>
      </c>
    </row>
    <row r="425" spans="1:635">
      <c r="A425" s="16" t="s">
        <v>2423</v>
      </c>
      <c r="PJ425">
        <v>2.9</v>
      </c>
    </row>
    <row r="426" spans="1:635">
      <c r="A426" s="16" t="s">
        <v>2424</v>
      </c>
      <c r="PK426">
        <v>2.9</v>
      </c>
    </row>
    <row r="427" spans="1:635">
      <c r="A427" s="16" t="s">
        <v>2425</v>
      </c>
      <c r="PL427">
        <v>2.9</v>
      </c>
    </row>
    <row r="428" spans="1:635">
      <c r="A428" s="16" t="s">
        <v>2426</v>
      </c>
      <c r="PM428">
        <v>2.9</v>
      </c>
    </row>
    <row r="429" spans="1:635">
      <c r="A429" s="16" t="s">
        <v>2427</v>
      </c>
      <c r="PN429">
        <v>2.9</v>
      </c>
    </row>
    <row r="430" spans="1:635">
      <c r="A430" s="16" t="s">
        <v>2428</v>
      </c>
      <c r="PO430">
        <v>2.9</v>
      </c>
    </row>
    <row r="431" spans="1:635">
      <c r="A431" s="16" t="s">
        <v>2429</v>
      </c>
      <c r="PP431">
        <v>2.9</v>
      </c>
    </row>
    <row r="432" spans="1:635">
      <c r="A432" s="16" t="s">
        <v>2430</v>
      </c>
    </row>
    <row r="433" spans="1:950">
      <c r="A433" s="16" t="s">
        <v>2431</v>
      </c>
      <c r="PR433">
        <v>2.48</v>
      </c>
    </row>
    <row r="434" spans="1:950">
      <c r="A434" s="16" t="s">
        <v>2432</v>
      </c>
      <c r="PS434">
        <v>2.48</v>
      </c>
    </row>
    <row r="435" spans="1:950">
      <c r="A435" s="16" t="s">
        <v>2433</v>
      </c>
      <c r="PT435">
        <v>2.48</v>
      </c>
    </row>
    <row r="436" spans="1:950">
      <c r="A436" s="16" t="s">
        <v>2434</v>
      </c>
      <c r="PU436">
        <v>2.48</v>
      </c>
    </row>
    <row r="437" spans="1:950">
      <c r="A437" s="16" t="s">
        <v>2435</v>
      </c>
      <c r="PZ437">
        <v>2.48</v>
      </c>
    </row>
    <row r="438" spans="1:950">
      <c r="A438" s="16" t="s">
        <v>2436</v>
      </c>
      <c r="PW438">
        <v>2.48</v>
      </c>
      <c r="AJN438">
        <v>10</v>
      </c>
    </row>
    <row r="439" spans="1:950">
      <c r="A439" s="16" t="s">
        <v>2437</v>
      </c>
      <c r="PX439">
        <v>2.48</v>
      </c>
    </row>
    <row r="440" spans="1:950">
      <c r="A440" s="16" t="s">
        <v>2438</v>
      </c>
      <c r="PY440">
        <v>2.48</v>
      </c>
    </row>
    <row r="441" spans="1:950">
      <c r="A441" s="16" t="s">
        <v>2439</v>
      </c>
      <c r="PZ441">
        <v>2.48</v>
      </c>
    </row>
    <row r="442" spans="1:950">
      <c r="A442" s="16" t="s">
        <v>2440</v>
      </c>
      <c r="QA442">
        <v>2.48</v>
      </c>
      <c r="ACL442">
        <v>10</v>
      </c>
      <c r="AJM442">
        <v>10</v>
      </c>
    </row>
    <row r="443" spans="1:950">
      <c r="A443" s="16" t="s">
        <v>2441</v>
      </c>
      <c r="QB443">
        <v>2.48</v>
      </c>
    </row>
    <row r="444" spans="1:950">
      <c r="A444" s="16" t="s">
        <v>2442</v>
      </c>
      <c r="QC444">
        <v>2.48</v>
      </c>
    </row>
    <row r="445" spans="1:950">
      <c r="A445" s="16" t="s">
        <v>2443</v>
      </c>
      <c r="QD445">
        <v>2.48</v>
      </c>
      <c r="AFM445">
        <v>10</v>
      </c>
    </row>
    <row r="446" spans="1:950">
      <c r="A446" s="16" t="s">
        <v>2444</v>
      </c>
      <c r="QE446">
        <v>2.48</v>
      </c>
    </row>
    <row r="447" spans="1:950">
      <c r="A447" s="16" t="s">
        <v>2445</v>
      </c>
      <c r="QF447">
        <v>2.48</v>
      </c>
    </row>
    <row r="448" spans="1:950">
      <c r="A448" s="16" t="s">
        <v>2446</v>
      </c>
      <c r="CJ448">
        <v>10</v>
      </c>
      <c r="QG448">
        <v>2.48</v>
      </c>
      <c r="VE448">
        <v>7</v>
      </c>
      <c r="WZ448">
        <v>7</v>
      </c>
      <c r="AFN448">
        <v>10</v>
      </c>
      <c r="AJL448">
        <v>10</v>
      </c>
    </row>
    <row r="449" spans="1:716">
      <c r="A449" s="16" t="s">
        <v>2447</v>
      </c>
      <c r="CP449">
        <v>10</v>
      </c>
      <c r="CQ449">
        <v>10</v>
      </c>
      <c r="QH449">
        <v>2.48</v>
      </c>
      <c r="VF449">
        <v>7</v>
      </c>
    </row>
    <row r="450" spans="1:716">
      <c r="A450" s="16" t="s">
        <v>2448</v>
      </c>
      <c r="QI450">
        <v>2.48</v>
      </c>
      <c r="SV450">
        <v>7</v>
      </c>
    </row>
    <row r="451" spans="1:716">
      <c r="A451" s="16" t="s">
        <v>2449</v>
      </c>
      <c r="QJ451">
        <v>2.48</v>
      </c>
    </row>
    <row r="452" spans="1:716">
      <c r="A452" s="16" t="s">
        <v>2450</v>
      </c>
      <c r="QK452">
        <v>2.48</v>
      </c>
    </row>
    <row r="453" spans="1:716">
      <c r="A453" s="16" t="s">
        <v>2451</v>
      </c>
      <c r="QL453">
        <v>2.48</v>
      </c>
    </row>
    <row r="454" spans="1:716">
      <c r="A454" s="16" t="s">
        <v>2452</v>
      </c>
      <c r="QM454">
        <v>2.48</v>
      </c>
      <c r="AAN454">
        <v>10</v>
      </c>
    </row>
    <row r="455" spans="1:716">
      <c r="A455" s="16" t="s">
        <v>2453</v>
      </c>
      <c r="QN455">
        <v>2.48</v>
      </c>
    </row>
    <row r="456" spans="1:716">
      <c r="A456" s="16" t="s">
        <v>2454</v>
      </c>
      <c r="QO456">
        <v>2.48</v>
      </c>
    </row>
    <row r="457" spans="1:716">
      <c r="A457" s="16" t="s">
        <v>2455</v>
      </c>
      <c r="QP457">
        <v>2.48</v>
      </c>
    </row>
    <row r="458" spans="1:716">
      <c r="A458" s="16" t="s">
        <v>2456</v>
      </c>
      <c r="QQ458">
        <v>2.48</v>
      </c>
    </row>
    <row r="459" spans="1:716">
      <c r="A459" s="16" t="s">
        <v>2457</v>
      </c>
      <c r="QR459">
        <v>2.48</v>
      </c>
      <c r="QU459">
        <v>2.48</v>
      </c>
    </row>
    <row r="460" spans="1:716">
      <c r="A460" s="16" t="s">
        <v>2458</v>
      </c>
      <c r="QS460">
        <v>2.48</v>
      </c>
    </row>
    <row r="461" spans="1:716">
      <c r="A461" s="16" t="s">
        <v>2459</v>
      </c>
      <c r="QT461">
        <v>2.48</v>
      </c>
    </row>
    <row r="462" spans="1:716">
      <c r="A462" s="16" t="s">
        <v>2460</v>
      </c>
      <c r="QU462">
        <v>2.48</v>
      </c>
    </row>
    <row r="463" spans="1:716">
      <c r="A463" s="16" t="s">
        <v>2461</v>
      </c>
      <c r="QV463">
        <v>2.48</v>
      </c>
    </row>
    <row r="464" spans="1:716">
      <c r="A464" s="16" t="s">
        <v>2462</v>
      </c>
      <c r="QW464">
        <v>2.48</v>
      </c>
    </row>
    <row r="465" spans="1:921">
      <c r="A465" s="16" t="s">
        <v>2463</v>
      </c>
      <c r="QX465">
        <v>2.48</v>
      </c>
    </row>
    <row r="466" spans="1:921">
      <c r="A466" s="16" t="s">
        <v>2464</v>
      </c>
      <c r="QY466">
        <v>2.48</v>
      </c>
    </row>
    <row r="467" spans="1:921">
      <c r="A467" s="16" t="s">
        <v>2465</v>
      </c>
      <c r="QZ467">
        <v>2.48</v>
      </c>
    </row>
    <row r="468" spans="1:921">
      <c r="A468" s="16" t="s">
        <v>2466</v>
      </c>
      <c r="RA468">
        <v>2.48</v>
      </c>
      <c r="TI468">
        <v>7</v>
      </c>
    </row>
    <row r="469" spans="1:921">
      <c r="A469" s="16" t="s">
        <v>2467</v>
      </c>
      <c r="RB469">
        <v>2.48</v>
      </c>
      <c r="TH469">
        <v>7</v>
      </c>
    </row>
    <row r="470" spans="1:921">
      <c r="A470" s="16" t="s">
        <v>2468</v>
      </c>
      <c r="RC470">
        <v>2.48</v>
      </c>
    </row>
    <row r="471" spans="1:921">
      <c r="A471" s="16" t="s">
        <v>2469</v>
      </c>
      <c r="RD471">
        <v>2.48</v>
      </c>
    </row>
    <row r="472" spans="1:921">
      <c r="A472" s="16" t="s">
        <v>2470</v>
      </c>
      <c r="RE472">
        <v>2.48</v>
      </c>
    </row>
    <row r="473" spans="1:921">
      <c r="A473" s="16" t="s">
        <v>2471</v>
      </c>
      <c r="RF473">
        <v>2.48</v>
      </c>
    </row>
    <row r="474" spans="1:921">
      <c r="A474" s="16" t="s">
        <v>2472</v>
      </c>
      <c r="RG474">
        <v>2.48</v>
      </c>
    </row>
    <row r="475" spans="1:921">
      <c r="A475" s="16" t="s">
        <v>2473</v>
      </c>
      <c r="RH475">
        <v>2.48</v>
      </c>
    </row>
    <row r="476" spans="1:921">
      <c r="A476" s="16" t="s">
        <v>2474</v>
      </c>
      <c r="RI476">
        <v>2.48</v>
      </c>
    </row>
    <row r="477" spans="1:921">
      <c r="A477" s="16" t="s">
        <v>2475</v>
      </c>
      <c r="RJ477">
        <v>2.48</v>
      </c>
    </row>
    <row r="478" spans="1:921">
      <c r="A478" s="16" t="s">
        <v>2476</v>
      </c>
      <c r="RK478">
        <v>2.48</v>
      </c>
    </row>
    <row r="479" spans="1:921">
      <c r="A479" s="16" t="s">
        <v>2477</v>
      </c>
    </row>
    <row r="480" spans="1:921">
      <c r="A480" s="16" t="s">
        <v>2478</v>
      </c>
      <c r="RM480">
        <v>3.29</v>
      </c>
      <c r="AGY480">
        <v>10</v>
      </c>
      <c r="AIK480">
        <v>10</v>
      </c>
    </row>
    <row r="481" spans="1:929">
      <c r="A481" s="16" t="s">
        <v>2479</v>
      </c>
      <c r="RN481">
        <v>3.29</v>
      </c>
      <c r="AGX481">
        <v>10</v>
      </c>
    </row>
    <row r="482" spans="1:929">
      <c r="A482" s="16" t="s">
        <v>2480</v>
      </c>
      <c r="RO482">
        <v>3.29</v>
      </c>
      <c r="AGW482">
        <v>10</v>
      </c>
    </row>
    <row r="483" spans="1:929">
      <c r="A483" s="16" t="s">
        <v>2481</v>
      </c>
      <c r="RP483">
        <v>3.29</v>
      </c>
      <c r="AGV483">
        <v>10</v>
      </c>
    </row>
    <row r="484" spans="1:929">
      <c r="A484" s="16" t="s">
        <v>2482</v>
      </c>
      <c r="RQ484">
        <v>3.29</v>
      </c>
      <c r="AGU484">
        <v>10</v>
      </c>
    </row>
    <row r="485" spans="1:929">
      <c r="A485" s="16" t="s">
        <v>2483</v>
      </c>
      <c r="RR485">
        <v>3.29</v>
      </c>
      <c r="AGT485">
        <v>10</v>
      </c>
    </row>
    <row r="486" spans="1:929">
      <c r="A486" s="16" t="s">
        <v>2484</v>
      </c>
      <c r="RS486">
        <v>3.29</v>
      </c>
      <c r="AGS486">
        <v>10</v>
      </c>
    </row>
    <row r="487" spans="1:929">
      <c r="A487" s="16" t="s">
        <v>2485</v>
      </c>
      <c r="RT487">
        <v>3.29</v>
      </c>
      <c r="AGH487">
        <v>10</v>
      </c>
      <c r="AIS487">
        <v>10</v>
      </c>
    </row>
    <row r="488" spans="1:929">
      <c r="A488" s="16" t="s">
        <v>2486</v>
      </c>
      <c r="RU488">
        <v>3.29</v>
      </c>
    </row>
    <row r="489" spans="1:929">
      <c r="A489" s="16" t="s">
        <v>2487</v>
      </c>
      <c r="RV489">
        <v>3.29</v>
      </c>
      <c r="AFE489">
        <v>10</v>
      </c>
      <c r="AFG489">
        <v>10</v>
      </c>
    </row>
    <row r="490" spans="1:929">
      <c r="A490" s="16" t="s">
        <v>2488</v>
      </c>
      <c r="RW490">
        <v>3.29</v>
      </c>
      <c r="XY490">
        <v>10</v>
      </c>
    </row>
    <row r="491" spans="1:929">
      <c r="A491" s="16" t="s">
        <v>2489</v>
      </c>
      <c r="RX491">
        <v>3.29</v>
      </c>
    </row>
    <row r="492" spans="1:929">
      <c r="A492" s="16" t="s">
        <v>2490</v>
      </c>
      <c r="RY492">
        <v>3.29</v>
      </c>
    </row>
    <row r="493" spans="1:929">
      <c r="A493" s="16" t="s">
        <v>2491</v>
      </c>
      <c r="RZ493">
        <v>3.29</v>
      </c>
      <c r="ABZ493">
        <v>10</v>
      </c>
    </row>
    <row r="494" spans="1:929">
      <c r="A494" s="16" t="s">
        <v>2492</v>
      </c>
      <c r="BE494">
        <v>10</v>
      </c>
      <c r="SA494">
        <v>3.29</v>
      </c>
    </row>
    <row r="495" spans="1:929">
      <c r="A495" s="16" t="s">
        <v>2493</v>
      </c>
      <c r="SB495">
        <v>3.29</v>
      </c>
    </row>
    <row r="496" spans="1:929">
      <c r="A496" s="16" t="s">
        <v>2494</v>
      </c>
      <c r="SC496">
        <v>3.29</v>
      </c>
    </row>
    <row r="497" spans="1:802">
      <c r="A497" s="16" t="s">
        <v>2495</v>
      </c>
      <c r="SD497">
        <v>3.29</v>
      </c>
    </row>
    <row r="498" spans="1:802">
      <c r="A498" s="16" t="s">
        <v>2496</v>
      </c>
      <c r="SE498">
        <v>3.29</v>
      </c>
    </row>
    <row r="499" spans="1:802">
      <c r="A499" s="16" t="s">
        <v>2497</v>
      </c>
      <c r="SR499">
        <v>3.29</v>
      </c>
    </row>
    <row r="500" spans="1:802">
      <c r="A500" s="16" t="s">
        <v>2498</v>
      </c>
      <c r="SG500">
        <v>3.29</v>
      </c>
    </row>
    <row r="501" spans="1:802">
      <c r="A501" s="16" t="s">
        <v>2499</v>
      </c>
      <c r="SH501">
        <v>3.29</v>
      </c>
    </row>
    <row r="502" spans="1:802">
      <c r="A502" s="16" t="s">
        <v>2500</v>
      </c>
      <c r="SK502">
        <v>3.29</v>
      </c>
      <c r="TC502">
        <v>3.29</v>
      </c>
    </row>
    <row r="503" spans="1:802">
      <c r="A503" s="16" t="s">
        <v>2501</v>
      </c>
      <c r="SJ503">
        <v>3.29</v>
      </c>
    </row>
    <row r="504" spans="1:802">
      <c r="A504" s="16" t="s">
        <v>2502</v>
      </c>
      <c r="SK504">
        <v>3.29</v>
      </c>
    </row>
    <row r="505" spans="1:802">
      <c r="A505" s="16" t="s">
        <v>2503</v>
      </c>
      <c r="SL505">
        <v>3.29</v>
      </c>
      <c r="ADV505">
        <v>10</v>
      </c>
    </row>
    <row r="506" spans="1:802">
      <c r="A506" s="16" t="s">
        <v>2504</v>
      </c>
      <c r="SM506">
        <v>3.29</v>
      </c>
    </row>
    <row r="507" spans="1:802">
      <c r="A507" s="16" t="s">
        <v>2505</v>
      </c>
      <c r="SN507">
        <v>3.29</v>
      </c>
    </row>
    <row r="508" spans="1:802">
      <c r="A508" s="16" t="s">
        <v>2506</v>
      </c>
      <c r="SO508">
        <v>3.29</v>
      </c>
    </row>
    <row r="509" spans="1:802">
      <c r="A509" s="16" t="s">
        <v>2507</v>
      </c>
      <c r="SP509">
        <v>3.29</v>
      </c>
      <c r="ZX509">
        <v>10</v>
      </c>
    </row>
    <row r="510" spans="1:802">
      <c r="A510" s="16" t="s">
        <v>2508</v>
      </c>
      <c r="SQ510">
        <v>3.29</v>
      </c>
      <c r="AAC510">
        <v>10</v>
      </c>
    </row>
    <row r="511" spans="1:802">
      <c r="A511" s="16" t="s">
        <v>2509</v>
      </c>
      <c r="SR511">
        <v>3.29</v>
      </c>
    </row>
    <row r="512" spans="1:802">
      <c r="A512" s="16" t="s">
        <v>2510</v>
      </c>
      <c r="SS512">
        <v>3.29</v>
      </c>
    </row>
    <row r="513" spans="1:723">
      <c r="A513" s="16" t="s">
        <v>2511</v>
      </c>
      <c r="ST513">
        <v>3.29</v>
      </c>
    </row>
    <row r="514" spans="1:723">
      <c r="A514" s="16" t="s">
        <v>2512</v>
      </c>
      <c r="SU514">
        <v>3.29</v>
      </c>
    </row>
    <row r="515" spans="1:723">
      <c r="A515" s="16" t="s">
        <v>2513</v>
      </c>
      <c r="SV515">
        <v>3.29</v>
      </c>
    </row>
    <row r="516" spans="1:723">
      <c r="A516" s="16" t="s">
        <v>2514</v>
      </c>
      <c r="CS516">
        <v>10</v>
      </c>
      <c r="SW516">
        <v>3.29</v>
      </c>
    </row>
    <row r="517" spans="1:723">
      <c r="A517" s="16" t="s">
        <v>2515</v>
      </c>
      <c r="SX517">
        <v>3.29</v>
      </c>
    </row>
    <row r="518" spans="1:723">
      <c r="A518" s="16" t="s">
        <v>2516</v>
      </c>
      <c r="SY518">
        <v>3.29</v>
      </c>
      <c r="AAU518">
        <v>10</v>
      </c>
    </row>
    <row r="519" spans="1:723">
      <c r="A519" s="16" t="s">
        <v>2517</v>
      </c>
      <c r="SZ519">
        <v>3.29</v>
      </c>
    </row>
    <row r="520" spans="1:723">
      <c r="A520" s="16" t="s">
        <v>2518</v>
      </c>
      <c r="TA520">
        <v>3.29</v>
      </c>
    </row>
    <row r="521" spans="1:723">
      <c r="A521" s="16" t="s">
        <v>2519</v>
      </c>
      <c r="TB521">
        <v>3.29</v>
      </c>
    </row>
    <row r="522" spans="1:723">
      <c r="A522" s="16" t="s">
        <v>2520</v>
      </c>
      <c r="TN522">
        <v>3.29</v>
      </c>
      <c r="TO522">
        <v>3.29</v>
      </c>
    </row>
    <row r="523" spans="1:723">
      <c r="A523" s="16" t="s">
        <v>2521</v>
      </c>
      <c r="TD523">
        <v>3.29</v>
      </c>
    </row>
    <row r="524" spans="1:723">
      <c r="A524" s="16" t="s">
        <v>2522</v>
      </c>
      <c r="TE524">
        <v>3.29</v>
      </c>
    </row>
    <row r="525" spans="1:723">
      <c r="A525" s="16" t="s">
        <v>2523</v>
      </c>
      <c r="TF525">
        <v>3.29</v>
      </c>
    </row>
    <row r="526" spans="1:723">
      <c r="A526" s="16" t="s">
        <v>2524</v>
      </c>
      <c r="TG526">
        <v>3.29</v>
      </c>
    </row>
    <row r="527" spans="1:723">
      <c r="A527" s="16" t="s">
        <v>2525</v>
      </c>
      <c r="TH527">
        <v>3.29</v>
      </c>
    </row>
    <row r="528" spans="1:723">
      <c r="A528" s="16" t="s">
        <v>2526</v>
      </c>
      <c r="TI528">
        <v>3.29</v>
      </c>
      <c r="TT528">
        <v>3.29</v>
      </c>
    </row>
    <row r="529" spans="1:816">
      <c r="A529" s="16" t="s">
        <v>2527</v>
      </c>
      <c r="TJ529">
        <v>3.29</v>
      </c>
    </row>
    <row r="530" spans="1:816">
      <c r="A530" s="16" t="s">
        <v>2528</v>
      </c>
      <c r="TK530">
        <v>3.29</v>
      </c>
    </row>
    <row r="531" spans="1:816">
      <c r="A531" s="16" t="s">
        <v>2529</v>
      </c>
      <c r="TL531">
        <v>3.29</v>
      </c>
      <c r="AEG531">
        <v>10</v>
      </c>
      <c r="AEJ531">
        <v>10</v>
      </c>
    </row>
    <row r="532" spans="1:816">
      <c r="A532" s="16" t="s">
        <v>2530</v>
      </c>
      <c r="TM532">
        <v>3.29</v>
      </c>
    </row>
    <row r="533" spans="1:816">
      <c r="A533" s="16" t="s">
        <v>2531</v>
      </c>
      <c r="TN533">
        <v>3.29</v>
      </c>
    </row>
    <row r="534" spans="1:816">
      <c r="A534" s="16" t="s">
        <v>2532</v>
      </c>
    </row>
    <row r="535" spans="1:816">
      <c r="A535" s="16" t="s">
        <v>2533</v>
      </c>
      <c r="TP535">
        <v>3.29</v>
      </c>
    </row>
    <row r="536" spans="1:816">
      <c r="A536" s="16" t="s">
        <v>2534</v>
      </c>
      <c r="TQ536">
        <v>3.29</v>
      </c>
    </row>
    <row r="537" spans="1:816">
      <c r="A537" s="16" t="s">
        <v>2535</v>
      </c>
      <c r="TR537">
        <v>3.29</v>
      </c>
    </row>
    <row r="538" spans="1:816">
      <c r="A538" s="16" t="s">
        <v>2536</v>
      </c>
      <c r="TS538">
        <v>3.29</v>
      </c>
      <c r="VW538">
        <v>7</v>
      </c>
    </row>
    <row r="539" spans="1:816">
      <c r="A539" s="16" t="s">
        <v>2537</v>
      </c>
      <c r="TW539">
        <v>3.29</v>
      </c>
      <c r="TX539">
        <v>3.29</v>
      </c>
    </row>
    <row r="540" spans="1:816">
      <c r="A540" s="16" t="s">
        <v>2538</v>
      </c>
      <c r="TU540">
        <v>3.29</v>
      </c>
    </row>
    <row r="541" spans="1:816">
      <c r="A541" s="16" t="s">
        <v>2539</v>
      </c>
      <c r="TV541">
        <v>3.29</v>
      </c>
    </row>
    <row r="542" spans="1:816">
      <c r="A542" s="16" t="s">
        <v>2540</v>
      </c>
      <c r="TW542">
        <v>3.29</v>
      </c>
    </row>
    <row r="543" spans="1:816">
      <c r="A543" s="16" t="s">
        <v>2541</v>
      </c>
    </row>
    <row r="544" spans="1:816">
      <c r="A544" s="16" t="s">
        <v>2542</v>
      </c>
      <c r="TY544">
        <v>3.29</v>
      </c>
    </row>
    <row r="545" spans="1:561">
      <c r="A545" s="16" t="s">
        <v>2543</v>
      </c>
      <c r="TZ545">
        <v>3.29</v>
      </c>
    </row>
    <row r="546" spans="1:561">
      <c r="A546" s="16" t="s">
        <v>2544</v>
      </c>
      <c r="UA546">
        <v>3.29</v>
      </c>
    </row>
    <row r="547" spans="1:561">
      <c r="A547" s="16" t="s">
        <v>2545</v>
      </c>
      <c r="UB547">
        <v>3.29</v>
      </c>
      <c r="UK547">
        <v>3.29</v>
      </c>
    </row>
    <row r="548" spans="1:561">
      <c r="A548" s="16" t="s">
        <v>2546</v>
      </c>
      <c r="UC548">
        <v>3.29</v>
      </c>
    </row>
    <row r="549" spans="1:561">
      <c r="A549" s="16" t="s">
        <v>2547</v>
      </c>
      <c r="UD549">
        <v>3.29</v>
      </c>
    </row>
    <row r="550" spans="1:561">
      <c r="A550" s="16" t="s">
        <v>2548</v>
      </c>
      <c r="UE550">
        <v>3.29</v>
      </c>
    </row>
    <row r="551" spans="1:561">
      <c r="A551" s="16" t="s">
        <v>2549</v>
      </c>
      <c r="UF551">
        <v>3.29</v>
      </c>
    </row>
    <row r="552" spans="1:561">
      <c r="A552" s="16" t="s">
        <v>2550</v>
      </c>
      <c r="UG552">
        <v>3.29</v>
      </c>
    </row>
    <row r="553" spans="1:561">
      <c r="A553" s="16" t="s">
        <v>2551</v>
      </c>
      <c r="UH553">
        <v>3.29</v>
      </c>
    </row>
    <row r="554" spans="1:561">
      <c r="A554" s="16" t="s">
        <v>2552</v>
      </c>
      <c r="UI554">
        <v>3.29</v>
      </c>
    </row>
    <row r="555" spans="1:561">
      <c r="A555" s="16" t="s">
        <v>2553</v>
      </c>
      <c r="UJ555">
        <v>3.29</v>
      </c>
    </row>
    <row r="556" spans="1:561">
      <c r="A556" s="16" t="s">
        <v>2554</v>
      </c>
    </row>
    <row r="557" spans="1:561">
      <c r="A557" s="16" t="s">
        <v>2555</v>
      </c>
      <c r="UL557">
        <v>3.29</v>
      </c>
    </row>
    <row r="558" spans="1:561">
      <c r="A558" s="16" t="s">
        <v>2556</v>
      </c>
      <c r="UM558">
        <v>3.29</v>
      </c>
    </row>
    <row r="559" spans="1:561">
      <c r="A559" s="16" t="s">
        <v>2557</v>
      </c>
      <c r="UN559">
        <v>3.29</v>
      </c>
    </row>
    <row r="560" spans="1:561">
      <c r="A560" s="16" t="s">
        <v>2558</v>
      </c>
      <c r="UO560">
        <v>3.29</v>
      </c>
    </row>
    <row r="561" spans="1:895">
      <c r="A561" s="16" t="s">
        <v>2559</v>
      </c>
      <c r="UP561">
        <v>3.29</v>
      </c>
    </row>
    <row r="562" spans="1:895">
      <c r="A562" s="16" t="s">
        <v>2560</v>
      </c>
      <c r="UQ562">
        <v>3.29</v>
      </c>
    </row>
    <row r="563" spans="1:895">
      <c r="A563" s="16" t="s">
        <v>2561</v>
      </c>
    </row>
    <row r="564" spans="1:895">
      <c r="A564" s="16" t="s">
        <v>2562</v>
      </c>
      <c r="US564">
        <v>4</v>
      </c>
      <c r="AHK564">
        <v>10</v>
      </c>
    </row>
    <row r="565" spans="1:895">
      <c r="A565" s="16" t="s">
        <v>2563</v>
      </c>
      <c r="UT565">
        <v>4</v>
      </c>
    </row>
    <row r="566" spans="1:895">
      <c r="A566" s="16" t="s">
        <v>2564</v>
      </c>
      <c r="UU566">
        <v>4</v>
      </c>
    </row>
    <row r="567" spans="1:895">
      <c r="A567" s="16" t="s">
        <v>2565</v>
      </c>
      <c r="UV567">
        <v>4</v>
      </c>
    </row>
    <row r="568" spans="1:895">
      <c r="A568" s="16" t="s">
        <v>2566</v>
      </c>
      <c r="UW568">
        <v>4</v>
      </c>
    </row>
    <row r="569" spans="1:895">
      <c r="A569" s="16" t="s">
        <v>2567</v>
      </c>
      <c r="UX569">
        <v>4</v>
      </c>
    </row>
    <row r="570" spans="1:895">
      <c r="A570" s="16" t="s">
        <v>2568</v>
      </c>
      <c r="UY570">
        <v>4</v>
      </c>
    </row>
    <row r="571" spans="1:895">
      <c r="A571" s="16" t="s">
        <v>2569</v>
      </c>
      <c r="UZ571">
        <v>4</v>
      </c>
    </row>
    <row r="572" spans="1:895">
      <c r="A572" s="16" t="s">
        <v>2570</v>
      </c>
      <c r="VA572">
        <v>4</v>
      </c>
    </row>
    <row r="573" spans="1:895">
      <c r="A573" s="16" t="s">
        <v>2571</v>
      </c>
      <c r="VB573">
        <v>4</v>
      </c>
      <c r="ADB573">
        <v>10</v>
      </c>
    </row>
    <row r="574" spans="1:895">
      <c r="A574" s="16" t="s">
        <v>2572</v>
      </c>
      <c r="VC574">
        <v>4</v>
      </c>
      <c r="AFJ574">
        <v>10</v>
      </c>
    </row>
    <row r="575" spans="1:895">
      <c r="A575" s="16" t="s">
        <v>2573</v>
      </c>
      <c r="VD575">
        <v>4</v>
      </c>
      <c r="YE575">
        <v>10</v>
      </c>
      <c r="AER575">
        <v>10</v>
      </c>
      <c r="AFO575">
        <v>10</v>
      </c>
    </row>
    <row r="576" spans="1:895">
      <c r="A576" s="16" t="s">
        <v>2574</v>
      </c>
      <c r="VE576">
        <v>4</v>
      </c>
    </row>
    <row r="577" spans="1:948">
      <c r="A577" s="16" t="s">
        <v>2575</v>
      </c>
      <c r="CJ577">
        <v>10</v>
      </c>
      <c r="VF577">
        <v>4</v>
      </c>
      <c r="WZ577">
        <v>7</v>
      </c>
      <c r="AFN577">
        <v>10</v>
      </c>
      <c r="AJL577">
        <v>10</v>
      </c>
    </row>
    <row r="578" spans="1:948">
      <c r="A578" s="16" t="s">
        <v>2576</v>
      </c>
      <c r="CP578">
        <v>10</v>
      </c>
      <c r="CQ578">
        <v>10</v>
      </c>
      <c r="VG578">
        <v>4</v>
      </c>
    </row>
    <row r="579" spans="1:948">
      <c r="A579" s="16" t="s">
        <v>2577</v>
      </c>
      <c r="VH579">
        <v>4</v>
      </c>
    </row>
    <row r="580" spans="1:948">
      <c r="A580" s="16" t="s">
        <v>2578</v>
      </c>
      <c r="VI580">
        <v>4</v>
      </c>
    </row>
    <row r="581" spans="1:948">
      <c r="A581" s="16" t="s">
        <v>2579</v>
      </c>
      <c r="VJ581">
        <v>4</v>
      </c>
    </row>
    <row r="582" spans="1:948">
      <c r="A582" s="16" t="s">
        <v>2580</v>
      </c>
      <c r="VK582">
        <v>4</v>
      </c>
    </row>
    <row r="583" spans="1:948">
      <c r="A583" s="16" t="s">
        <v>2581</v>
      </c>
      <c r="VL583">
        <v>4</v>
      </c>
    </row>
    <row r="584" spans="1:948">
      <c r="A584" s="16" t="s">
        <v>2582</v>
      </c>
      <c r="VM584">
        <v>4</v>
      </c>
      <c r="VV584">
        <v>4</v>
      </c>
    </row>
    <row r="585" spans="1:948">
      <c r="A585" s="16" t="s">
        <v>2583</v>
      </c>
      <c r="VN585">
        <v>4</v>
      </c>
    </row>
    <row r="586" spans="1:948">
      <c r="A586" s="16" t="s">
        <v>2584</v>
      </c>
      <c r="VO586">
        <v>4</v>
      </c>
    </row>
    <row r="587" spans="1:948">
      <c r="A587" s="16" t="s">
        <v>2585</v>
      </c>
      <c r="VP587">
        <v>4</v>
      </c>
    </row>
    <row r="588" spans="1:948">
      <c r="A588" s="16" t="s">
        <v>2586</v>
      </c>
      <c r="VQ588">
        <v>4</v>
      </c>
    </row>
    <row r="589" spans="1:948">
      <c r="A589" s="16" t="s">
        <v>2587</v>
      </c>
      <c r="VR589">
        <v>4</v>
      </c>
    </row>
    <row r="590" spans="1:948">
      <c r="A590" s="16" t="s">
        <v>2588</v>
      </c>
      <c r="VS590">
        <v>4</v>
      </c>
    </row>
    <row r="591" spans="1:948">
      <c r="A591" s="16" t="s">
        <v>2589</v>
      </c>
      <c r="VT591">
        <v>4</v>
      </c>
    </row>
    <row r="592" spans="1:948">
      <c r="A592" s="16" t="s">
        <v>2590</v>
      </c>
      <c r="VU592">
        <v>4</v>
      </c>
    </row>
    <row r="593" spans="1:614">
      <c r="A593" s="16" t="s">
        <v>2591</v>
      </c>
      <c r="WO593">
        <v>4</v>
      </c>
    </row>
    <row r="594" spans="1:614">
      <c r="A594" s="16" t="s">
        <v>2592</v>
      </c>
      <c r="VW594">
        <v>4</v>
      </c>
    </row>
    <row r="595" spans="1:614">
      <c r="A595" s="16" t="s">
        <v>2593</v>
      </c>
      <c r="VX595">
        <v>4</v>
      </c>
    </row>
    <row r="596" spans="1:614">
      <c r="A596" s="16" t="s">
        <v>2594</v>
      </c>
      <c r="VY596">
        <v>4</v>
      </c>
      <c r="WB596">
        <v>4</v>
      </c>
    </row>
    <row r="597" spans="1:614">
      <c r="A597" s="16" t="s">
        <v>2595</v>
      </c>
      <c r="VZ597">
        <v>4</v>
      </c>
    </row>
    <row r="598" spans="1:614">
      <c r="A598" s="16" t="s">
        <v>2596</v>
      </c>
      <c r="WA598">
        <v>4</v>
      </c>
    </row>
    <row r="599" spans="1:614">
      <c r="A599" s="16" t="s">
        <v>2597</v>
      </c>
      <c r="WF599">
        <v>4</v>
      </c>
    </row>
    <row r="600" spans="1:614">
      <c r="A600" s="16" t="s">
        <v>2598</v>
      </c>
      <c r="WC600">
        <v>4</v>
      </c>
    </row>
    <row r="601" spans="1:614">
      <c r="A601" s="16" t="s">
        <v>2599</v>
      </c>
      <c r="WD601">
        <v>4</v>
      </c>
    </row>
    <row r="602" spans="1:614">
      <c r="A602" s="16" t="s">
        <v>2600</v>
      </c>
      <c r="WE602">
        <v>4</v>
      </c>
    </row>
    <row r="603" spans="1:614">
      <c r="A603" s="16" t="s">
        <v>2601</v>
      </c>
      <c r="WF603">
        <v>4</v>
      </c>
    </row>
    <row r="604" spans="1:614">
      <c r="A604" s="16" t="s">
        <v>2602</v>
      </c>
      <c r="WG604">
        <v>4</v>
      </c>
      <c r="WP604">
        <v>4</v>
      </c>
    </row>
    <row r="605" spans="1:614">
      <c r="A605" s="16" t="s">
        <v>2603</v>
      </c>
      <c r="WH605">
        <v>4</v>
      </c>
    </row>
    <row r="606" spans="1:614">
      <c r="A606" s="16" t="s">
        <v>2604</v>
      </c>
      <c r="WI606">
        <v>4</v>
      </c>
    </row>
    <row r="607" spans="1:614">
      <c r="A607" s="16" t="s">
        <v>2605</v>
      </c>
      <c r="WJ607">
        <v>4</v>
      </c>
    </row>
    <row r="608" spans="1:614">
      <c r="A608" s="16" t="s">
        <v>2606</v>
      </c>
      <c r="WK608">
        <v>4</v>
      </c>
    </row>
    <row r="609" spans="1:993">
      <c r="A609" s="16" t="s">
        <v>2607</v>
      </c>
      <c r="WL609">
        <v>4</v>
      </c>
    </row>
    <row r="610" spans="1:993">
      <c r="A610" s="16" t="s">
        <v>2608</v>
      </c>
      <c r="WM610">
        <v>4</v>
      </c>
    </row>
    <row r="611" spans="1:993">
      <c r="A611" s="16" t="s">
        <v>2609</v>
      </c>
      <c r="WN611">
        <v>4</v>
      </c>
    </row>
    <row r="612" spans="1:993">
      <c r="A612" s="16" t="s">
        <v>2610</v>
      </c>
      <c r="WO612">
        <v>4</v>
      </c>
    </row>
    <row r="613" spans="1:993">
      <c r="A613" s="16" t="s">
        <v>2611</v>
      </c>
    </row>
    <row r="614" spans="1:993">
      <c r="A614" s="16" t="s">
        <v>2612</v>
      </c>
      <c r="WQ614">
        <v>4</v>
      </c>
    </row>
    <row r="615" spans="1:993">
      <c r="A615" s="16" t="s">
        <v>2613</v>
      </c>
      <c r="WR615">
        <v>4</v>
      </c>
    </row>
    <row r="616" spans="1:993">
      <c r="A616" s="16" t="s">
        <v>2614</v>
      </c>
      <c r="WS616">
        <v>4</v>
      </c>
    </row>
    <row r="617" spans="1:993">
      <c r="A617" s="16" t="s">
        <v>2615</v>
      </c>
      <c r="WT617">
        <v>4</v>
      </c>
    </row>
    <row r="618" spans="1:993">
      <c r="A618" s="16" t="s">
        <v>2616</v>
      </c>
      <c r="WU618">
        <v>4</v>
      </c>
    </row>
    <row r="619" spans="1:993">
      <c r="A619" s="16" t="s">
        <v>2617</v>
      </c>
      <c r="WV619">
        <v>4</v>
      </c>
    </row>
    <row r="620" spans="1:993">
      <c r="A620" s="16" t="s">
        <v>2618</v>
      </c>
      <c r="WW620">
        <v>4</v>
      </c>
    </row>
    <row r="621" spans="1:993">
      <c r="A621" s="16" t="s">
        <v>2619</v>
      </c>
      <c r="WX621">
        <v>4</v>
      </c>
    </row>
    <row r="622" spans="1:993">
      <c r="A622" s="16" t="s">
        <v>2620</v>
      </c>
    </row>
    <row r="623" spans="1:993">
      <c r="A623" s="16" t="s">
        <v>2621</v>
      </c>
      <c r="WZ623">
        <v>3.86</v>
      </c>
      <c r="AIZ623">
        <v>10</v>
      </c>
      <c r="ALE623">
        <v>10</v>
      </c>
    </row>
    <row r="624" spans="1:993">
      <c r="A624" s="16" t="s">
        <v>2622</v>
      </c>
      <c r="CJ624">
        <v>10</v>
      </c>
      <c r="XA624">
        <v>3.86</v>
      </c>
      <c r="AFN624">
        <v>10</v>
      </c>
      <c r="AJL624">
        <v>10</v>
      </c>
    </row>
    <row r="625" spans="1:756">
      <c r="A625" s="16" t="s">
        <v>2623</v>
      </c>
      <c r="XB625">
        <v>3.86</v>
      </c>
      <c r="ABP625">
        <v>10</v>
      </c>
    </row>
    <row r="626" spans="1:756">
      <c r="A626" s="16" t="s">
        <v>2624</v>
      </c>
      <c r="XC626">
        <v>3.86</v>
      </c>
      <c r="ABM626">
        <v>10</v>
      </c>
    </row>
    <row r="627" spans="1:756">
      <c r="A627" s="16" t="s">
        <v>2625</v>
      </c>
      <c r="XD627">
        <v>3.86</v>
      </c>
      <c r="XI627">
        <v>3.86</v>
      </c>
      <c r="ZD627">
        <v>10</v>
      </c>
    </row>
    <row r="628" spans="1:756">
      <c r="A628" s="16" t="s">
        <v>2626</v>
      </c>
      <c r="XE628">
        <v>3.86</v>
      </c>
      <c r="ACB628">
        <v>10</v>
      </c>
    </row>
    <row r="629" spans="1:756">
      <c r="A629" s="16" t="s">
        <v>2627</v>
      </c>
      <c r="XF629">
        <v>3.86</v>
      </c>
    </row>
    <row r="630" spans="1:756">
      <c r="A630" s="16" t="s">
        <v>2628</v>
      </c>
      <c r="XG630">
        <v>3.86</v>
      </c>
    </row>
    <row r="631" spans="1:756">
      <c r="A631" s="16" t="s">
        <v>2629</v>
      </c>
      <c r="XH631">
        <v>3.86</v>
      </c>
    </row>
    <row r="632" spans="1:756">
      <c r="A632" s="16" t="s">
        <v>2630</v>
      </c>
    </row>
    <row r="633" spans="1:756">
      <c r="A633" s="16" t="s">
        <v>2631</v>
      </c>
      <c r="XJ633">
        <v>3.86</v>
      </c>
    </row>
    <row r="634" spans="1:756">
      <c r="A634" s="16" t="s">
        <v>2632</v>
      </c>
      <c r="XK634">
        <v>3.86</v>
      </c>
    </row>
    <row r="635" spans="1:756">
      <c r="A635" s="16" t="s">
        <v>2633</v>
      </c>
      <c r="XL635">
        <v>3.86</v>
      </c>
    </row>
    <row r="636" spans="1:756">
      <c r="A636" s="16" t="s">
        <v>2634</v>
      </c>
      <c r="XM636">
        <v>3.86</v>
      </c>
    </row>
    <row r="637" spans="1:756">
      <c r="A637" s="16" t="s">
        <v>2635</v>
      </c>
      <c r="XN637">
        <v>3.86</v>
      </c>
    </row>
    <row r="638" spans="1:756">
      <c r="A638" s="16" t="s">
        <v>2636</v>
      </c>
      <c r="XO638">
        <v>3.86</v>
      </c>
    </row>
    <row r="639" spans="1:756">
      <c r="A639" s="16" t="s">
        <v>2637</v>
      </c>
      <c r="XP639">
        <v>3.86</v>
      </c>
    </row>
    <row r="640" spans="1:756">
      <c r="A640" s="16" t="s">
        <v>2638</v>
      </c>
      <c r="XQ640">
        <v>3.86</v>
      </c>
    </row>
    <row r="641" spans="1:847">
      <c r="A641" s="16" t="s">
        <v>2639</v>
      </c>
      <c r="XR641">
        <v>3.86</v>
      </c>
    </row>
    <row r="642" spans="1:847">
      <c r="A642" s="16" t="s">
        <v>2640</v>
      </c>
      <c r="XS642">
        <v>3.86</v>
      </c>
    </row>
    <row r="643" spans="1:847">
      <c r="A643" s="16" t="s">
        <v>2641</v>
      </c>
      <c r="XT643">
        <v>3.86</v>
      </c>
    </row>
    <row r="644" spans="1:847">
      <c r="A644" s="16" t="s">
        <v>2642</v>
      </c>
    </row>
    <row r="645" spans="1:847">
      <c r="A645" s="16" t="s">
        <v>2643</v>
      </c>
      <c r="XV645">
        <v>1.78</v>
      </c>
    </row>
    <row r="646" spans="1:847">
      <c r="A646" s="16" t="s">
        <v>2644</v>
      </c>
      <c r="XW646">
        <v>1.78</v>
      </c>
    </row>
    <row r="647" spans="1:847">
      <c r="A647" s="16" t="s">
        <v>2645</v>
      </c>
      <c r="XX647">
        <v>1.78</v>
      </c>
    </row>
    <row r="648" spans="1:847">
      <c r="A648" s="16" t="s">
        <v>2646</v>
      </c>
      <c r="XY648">
        <v>1.78</v>
      </c>
    </row>
    <row r="649" spans="1:847">
      <c r="A649" s="16" t="s">
        <v>2647</v>
      </c>
      <c r="XZ649">
        <v>1.78</v>
      </c>
    </row>
    <row r="650" spans="1:847">
      <c r="A650" s="16" t="s">
        <v>2648</v>
      </c>
      <c r="YA650">
        <v>1.78</v>
      </c>
    </row>
    <row r="651" spans="1:847">
      <c r="A651" s="16" t="s">
        <v>2649</v>
      </c>
      <c r="YB651">
        <v>1.78</v>
      </c>
    </row>
    <row r="652" spans="1:847">
      <c r="A652" s="16" t="s">
        <v>2650</v>
      </c>
      <c r="YC652">
        <v>1.78</v>
      </c>
    </row>
    <row r="653" spans="1:847">
      <c r="A653" s="16" t="s">
        <v>2651</v>
      </c>
      <c r="YD653">
        <v>1.78</v>
      </c>
    </row>
    <row r="654" spans="1:847">
      <c r="A654" s="16" t="s">
        <v>2652</v>
      </c>
      <c r="YE654">
        <v>1.78</v>
      </c>
    </row>
    <row r="655" spans="1:847">
      <c r="A655" s="16" t="s">
        <v>2653</v>
      </c>
      <c r="YF655">
        <v>1.78</v>
      </c>
      <c r="AER655">
        <v>7</v>
      </c>
      <c r="AFO655">
        <v>10</v>
      </c>
    </row>
    <row r="656" spans="1:847">
      <c r="A656" s="16" t="s">
        <v>2654</v>
      </c>
      <c r="YG656">
        <v>1.78</v>
      </c>
    </row>
    <row r="657" spans="1:767">
      <c r="A657" s="16" t="s">
        <v>2655</v>
      </c>
      <c r="YH657">
        <v>1.78</v>
      </c>
      <c r="ACM657">
        <v>7</v>
      </c>
    </row>
    <row r="658" spans="1:767">
      <c r="A658" s="16" t="s">
        <v>2656</v>
      </c>
      <c r="YI658">
        <v>1.78</v>
      </c>
    </row>
    <row r="659" spans="1:767">
      <c r="A659" s="16" t="s">
        <v>2657</v>
      </c>
      <c r="YJ659">
        <v>1.78</v>
      </c>
    </row>
    <row r="660" spans="1:767">
      <c r="A660" s="16" t="s">
        <v>2658</v>
      </c>
      <c r="YK660">
        <v>1.78</v>
      </c>
    </row>
    <row r="661" spans="1:767">
      <c r="A661" s="16" t="s">
        <v>2659</v>
      </c>
      <c r="YL661">
        <v>1.78</v>
      </c>
    </row>
    <row r="662" spans="1:767">
      <c r="A662" s="16" t="s">
        <v>2660</v>
      </c>
      <c r="YM662">
        <v>1.78</v>
      </c>
    </row>
    <row r="663" spans="1:767">
      <c r="A663" s="16" t="s">
        <v>2661</v>
      </c>
      <c r="YN663">
        <v>1.78</v>
      </c>
    </row>
    <row r="664" spans="1:767">
      <c r="A664" s="16" t="s">
        <v>2662</v>
      </c>
      <c r="YO664">
        <v>1.78</v>
      </c>
    </row>
    <row r="665" spans="1:767">
      <c r="A665" s="16" t="s">
        <v>2663</v>
      </c>
      <c r="YP665">
        <v>1.78</v>
      </c>
    </row>
    <row r="666" spans="1:767">
      <c r="A666" s="16" t="s">
        <v>2664</v>
      </c>
      <c r="YQ666">
        <v>1.78</v>
      </c>
    </row>
    <row r="667" spans="1:767">
      <c r="A667" s="16" t="s">
        <v>2665</v>
      </c>
      <c r="YR667">
        <v>1.78</v>
      </c>
    </row>
    <row r="668" spans="1:767">
      <c r="A668" s="16" t="s">
        <v>2666</v>
      </c>
      <c r="YS668">
        <v>1.78</v>
      </c>
    </row>
    <row r="669" spans="1:767">
      <c r="A669" s="16" t="s">
        <v>2667</v>
      </c>
      <c r="YT669">
        <v>1.78</v>
      </c>
    </row>
    <row r="670" spans="1:767">
      <c r="A670" s="16" t="s">
        <v>2668</v>
      </c>
      <c r="YU670">
        <v>1.78</v>
      </c>
    </row>
    <row r="671" spans="1:767">
      <c r="A671" s="16" t="s">
        <v>2669</v>
      </c>
      <c r="YV671">
        <v>1.78</v>
      </c>
    </row>
    <row r="672" spans="1:767">
      <c r="A672" s="16" t="s">
        <v>2670</v>
      </c>
      <c r="YW672">
        <v>1.78</v>
      </c>
    </row>
    <row r="673" spans="1:987">
      <c r="A673" s="16" t="s">
        <v>2671</v>
      </c>
      <c r="YX673">
        <v>1.78</v>
      </c>
    </row>
    <row r="674" spans="1:987">
      <c r="A674" s="16" t="s">
        <v>2672</v>
      </c>
      <c r="YY674">
        <v>1.78</v>
      </c>
    </row>
    <row r="675" spans="1:987">
      <c r="A675" s="16" t="s">
        <v>2673</v>
      </c>
      <c r="YZ675">
        <v>1.78</v>
      </c>
    </row>
    <row r="676" spans="1:987">
      <c r="A676" s="16" t="s">
        <v>2674</v>
      </c>
      <c r="ZA676">
        <v>1.78</v>
      </c>
    </row>
    <row r="677" spans="1:987">
      <c r="A677" s="16" t="s">
        <v>2675</v>
      </c>
      <c r="ZB677">
        <v>1.78</v>
      </c>
    </row>
    <row r="678" spans="1:987">
      <c r="A678" s="16" t="s">
        <v>2676</v>
      </c>
      <c r="ZC678">
        <v>1.78</v>
      </c>
    </row>
    <row r="679" spans="1:987">
      <c r="A679" s="16" t="s">
        <v>2677</v>
      </c>
      <c r="ZD679">
        <v>1.78</v>
      </c>
    </row>
    <row r="680" spans="1:987">
      <c r="A680" s="16" t="s">
        <v>2678</v>
      </c>
    </row>
    <row r="681" spans="1:987">
      <c r="A681" s="16" t="s">
        <v>2679</v>
      </c>
      <c r="ZF681">
        <v>1.88</v>
      </c>
    </row>
    <row r="682" spans="1:987">
      <c r="A682" s="16" t="s">
        <v>2680</v>
      </c>
      <c r="ZG682">
        <v>1.88</v>
      </c>
    </row>
    <row r="683" spans="1:987">
      <c r="A683" s="16" t="s">
        <v>2681</v>
      </c>
      <c r="ZH683">
        <v>1.88</v>
      </c>
    </row>
    <row r="684" spans="1:987">
      <c r="A684" s="16" t="s">
        <v>2682</v>
      </c>
      <c r="ZI684">
        <v>1.88</v>
      </c>
    </row>
    <row r="685" spans="1:987">
      <c r="A685" s="16" t="s">
        <v>2683</v>
      </c>
      <c r="ZJ685">
        <v>1.88</v>
      </c>
      <c r="AKF685">
        <v>10</v>
      </c>
    </row>
    <row r="686" spans="1:987">
      <c r="A686" s="16" t="s">
        <v>2684</v>
      </c>
      <c r="ZK686">
        <v>1.88</v>
      </c>
    </row>
    <row r="687" spans="1:987">
      <c r="A687" s="16" t="s">
        <v>2685</v>
      </c>
      <c r="ZL687">
        <v>1.88</v>
      </c>
    </row>
    <row r="688" spans="1:987">
      <c r="A688" s="16" t="s">
        <v>2686</v>
      </c>
      <c r="ZM688">
        <v>1.88</v>
      </c>
      <c r="AKY688">
        <v>10</v>
      </c>
    </row>
    <row r="689" spans="1:986">
      <c r="A689" s="16" t="s">
        <v>2687</v>
      </c>
      <c r="ZN689">
        <v>1.88</v>
      </c>
      <c r="AKX689">
        <v>10</v>
      </c>
    </row>
    <row r="690" spans="1:986">
      <c r="A690" s="16" t="s">
        <v>2688</v>
      </c>
      <c r="ZO690">
        <v>1.88</v>
      </c>
    </row>
    <row r="691" spans="1:986">
      <c r="A691" s="16" t="s">
        <v>2689</v>
      </c>
      <c r="ZP691">
        <v>1.88</v>
      </c>
      <c r="AKW691">
        <v>10</v>
      </c>
    </row>
    <row r="692" spans="1:986">
      <c r="A692" s="16" t="s">
        <v>2690</v>
      </c>
      <c r="ZQ692">
        <v>1.88</v>
      </c>
      <c r="AKV692">
        <v>10</v>
      </c>
    </row>
    <row r="693" spans="1:986">
      <c r="A693" s="16" t="s">
        <v>2691</v>
      </c>
      <c r="ZR693">
        <v>1.88</v>
      </c>
      <c r="AKU693">
        <v>10</v>
      </c>
    </row>
    <row r="694" spans="1:986">
      <c r="A694" s="16" t="s">
        <v>2692</v>
      </c>
      <c r="ZS694">
        <v>1.88</v>
      </c>
    </row>
    <row r="695" spans="1:986">
      <c r="A695" s="16" t="s">
        <v>2693</v>
      </c>
      <c r="ZT695">
        <v>1.88</v>
      </c>
    </row>
    <row r="696" spans="1:986">
      <c r="A696" s="16" t="s">
        <v>2694</v>
      </c>
      <c r="ZU696">
        <v>1.88</v>
      </c>
    </row>
    <row r="697" spans="1:986">
      <c r="A697" s="16" t="s">
        <v>2695</v>
      </c>
      <c r="ZV697">
        <v>1.88</v>
      </c>
    </row>
    <row r="698" spans="1:986">
      <c r="A698" s="16" t="s">
        <v>2696</v>
      </c>
      <c r="ZW698">
        <v>1.88</v>
      </c>
    </row>
    <row r="699" spans="1:986">
      <c r="A699" s="16" t="s">
        <v>2697</v>
      </c>
      <c r="ZX699">
        <v>1.88</v>
      </c>
    </row>
    <row r="700" spans="1:986">
      <c r="A700" s="16" t="s">
        <v>2698</v>
      </c>
      <c r="ZY700">
        <v>1.88</v>
      </c>
    </row>
    <row r="701" spans="1:986">
      <c r="A701" s="16" t="s">
        <v>2699</v>
      </c>
      <c r="ZZ701">
        <v>1.88</v>
      </c>
    </row>
    <row r="702" spans="1:986">
      <c r="A702" s="16" t="s">
        <v>2700</v>
      </c>
      <c r="AAA702">
        <v>1.88</v>
      </c>
      <c r="AAD702">
        <v>7</v>
      </c>
    </row>
    <row r="703" spans="1:986">
      <c r="A703" s="16" t="s">
        <v>2701</v>
      </c>
      <c r="AAB703">
        <v>1.88</v>
      </c>
      <c r="AAF703">
        <v>7</v>
      </c>
    </row>
    <row r="704" spans="1:986">
      <c r="A704" s="16" t="s">
        <v>2702</v>
      </c>
      <c r="AAF704">
        <v>7</v>
      </c>
    </row>
    <row r="705" spans="1:721">
      <c r="A705" s="16" t="s">
        <v>2703</v>
      </c>
      <c r="AAD705">
        <v>1.48</v>
      </c>
    </row>
    <row r="706" spans="1:721">
      <c r="A706" s="16" t="s">
        <v>2704</v>
      </c>
      <c r="AAE706">
        <v>1.48</v>
      </c>
    </row>
    <row r="707" spans="1:721">
      <c r="A707" s="16" t="s">
        <v>2705</v>
      </c>
      <c r="AAF707">
        <v>1.48</v>
      </c>
    </row>
    <row r="708" spans="1:721">
      <c r="A708" s="16" t="s">
        <v>2706</v>
      </c>
      <c r="AAG708">
        <v>1.48</v>
      </c>
    </row>
    <row r="709" spans="1:721">
      <c r="A709" s="16" t="s">
        <v>2707</v>
      </c>
      <c r="AAH709">
        <v>1.48</v>
      </c>
    </row>
    <row r="710" spans="1:721">
      <c r="A710" s="16" t="s">
        <v>2708</v>
      </c>
      <c r="AAI710">
        <v>1.48</v>
      </c>
    </row>
    <row r="711" spans="1:721">
      <c r="A711" s="16" t="s">
        <v>2709</v>
      </c>
      <c r="AAJ711">
        <v>1.48</v>
      </c>
    </row>
    <row r="712" spans="1:721">
      <c r="A712" s="16" t="s">
        <v>2710</v>
      </c>
      <c r="AAK712">
        <v>1.48</v>
      </c>
    </row>
    <row r="713" spans="1:721">
      <c r="A713" s="16" t="s">
        <v>2711</v>
      </c>
      <c r="AAL713">
        <v>1.48</v>
      </c>
    </row>
    <row r="714" spans="1:721">
      <c r="A714" s="16" t="s">
        <v>2712</v>
      </c>
      <c r="AAM714">
        <v>1.48</v>
      </c>
    </row>
    <row r="715" spans="1:721">
      <c r="A715" s="16" t="s">
        <v>2713</v>
      </c>
      <c r="AAN715">
        <v>1.48</v>
      </c>
    </row>
    <row r="716" spans="1:721">
      <c r="A716" s="16" t="s">
        <v>2714</v>
      </c>
      <c r="AAO716">
        <v>1.48</v>
      </c>
    </row>
    <row r="717" spans="1:721">
      <c r="A717" s="16" t="s">
        <v>2715</v>
      </c>
      <c r="AAP717">
        <v>1.48</v>
      </c>
    </row>
    <row r="718" spans="1:721">
      <c r="A718" s="16" t="s">
        <v>2716</v>
      </c>
      <c r="AAQ718">
        <v>1.48</v>
      </c>
    </row>
    <row r="719" spans="1:721">
      <c r="A719" s="16" t="s">
        <v>2717</v>
      </c>
      <c r="AAR719">
        <v>1.48</v>
      </c>
    </row>
    <row r="720" spans="1:721">
      <c r="A720" s="16" t="s">
        <v>2718</v>
      </c>
      <c r="AAS720">
        <v>1.48</v>
      </c>
    </row>
    <row r="721" spans="1:737">
      <c r="A721" s="16" t="s">
        <v>2719</v>
      </c>
      <c r="AAT721">
        <v>1.48</v>
      </c>
    </row>
    <row r="722" spans="1:737">
      <c r="A722" s="16" t="s">
        <v>2720</v>
      </c>
      <c r="AAU722">
        <v>1.48</v>
      </c>
    </row>
    <row r="723" spans="1:737">
      <c r="A723" s="16" t="s">
        <v>2721</v>
      </c>
      <c r="AAV723">
        <v>1.48</v>
      </c>
    </row>
    <row r="724" spans="1:737">
      <c r="A724" s="16" t="s">
        <v>2722</v>
      </c>
      <c r="AAW724">
        <v>1.48</v>
      </c>
    </row>
    <row r="725" spans="1:737">
      <c r="A725" s="16" t="s">
        <v>2723</v>
      </c>
      <c r="AAX725">
        <v>1.48</v>
      </c>
    </row>
    <row r="726" spans="1:737">
      <c r="A726" s="16" t="s">
        <v>2724</v>
      </c>
      <c r="AAY726">
        <v>1.48</v>
      </c>
    </row>
    <row r="727" spans="1:737">
      <c r="A727" s="16" t="s">
        <v>2725</v>
      </c>
      <c r="AAZ727">
        <v>1.48</v>
      </c>
    </row>
    <row r="728" spans="1:737">
      <c r="A728" s="16" t="s">
        <v>2726</v>
      </c>
      <c r="ABA728">
        <v>1.48</v>
      </c>
    </row>
    <row r="729" spans="1:737">
      <c r="A729" s="16" t="s">
        <v>2727</v>
      </c>
      <c r="ABB729">
        <v>7</v>
      </c>
    </row>
    <row r="730" spans="1:737">
      <c r="A730" s="16" t="s">
        <v>2728</v>
      </c>
      <c r="ABC730">
        <v>1.92</v>
      </c>
    </row>
    <row r="731" spans="1:737">
      <c r="A731" s="16" t="s">
        <v>2729</v>
      </c>
      <c r="ABD731">
        <v>1.92</v>
      </c>
    </row>
    <row r="732" spans="1:737">
      <c r="A732" s="16" t="s">
        <v>2730</v>
      </c>
      <c r="ABE732">
        <v>1.92</v>
      </c>
    </row>
    <row r="733" spans="1:737">
      <c r="A733" s="16" t="s">
        <v>2731</v>
      </c>
      <c r="BX733">
        <v>10</v>
      </c>
      <c r="ABF733">
        <v>1.92</v>
      </c>
    </row>
    <row r="734" spans="1:737">
      <c r="A734" s="16" t="s">
        <v>2732</v>
      </c>
      <c r="ABG734">
        <v>1.92</v>
      </c>
    </row>
    <row r="735" spans="1:737">
      <c r="A735" s="16" t="s">
        <v>2733</v>
      </c>
      <c r="ABH735">
        <v>1.92</v>
      </c>
    </row>
    <row r="736" spans="1:737">
      <c r="A736" s="16" t="s">
        <v>2734</v>
      </c>
      <c r="CD736">
        <v>10</v>
      </c>
      <c r="ABI736">
        <v>1.92</v>
      </c>
    </row>
    <row r="737" spans="1:753">
      <c r="A737" s="16" t="s">
        <v>2735</v>
      </c>
      <c r="ABJ737">
        <v>1.92</v>
      </c>
    </row>
    <row r="738" spans="1:753">
      <c r="A738" s="16" t="s">
        <v>2736</v>
      </c>
      <c r="ABK738">
        <v>1.92</v>
      </c>
    </row>
    <row r="739" spans="1:753">
      <c r="A739" s="16" t="s">
        <v>2737</v>
      </c>
      <c r="ABL739">
        <v>1.92</v>
      </c>
    </row>
    <row r="740" spans="1:753">
      <c r="A740" s="16" t="s">
        <v>2738</v>
      </c>
      <c r="ABM740">
        <v>1.92</v>
      </c>
    </row>
    <row r="741" spans="1:753">
      <c r="A741" s="16" t="s">
        <v>2739</v>
      </c>
      <c r="ABN741">
        <v>1.92</v>
      </c>
    </row>
    <row r="742" spans="1:753">
      <c r="A742" s="16" t="s">
        <v>2740</v>
      </c>
      <c r="ABO742">
        <v>1.92</v>
      </c>
    </row>
    <row r="743" spans="1:753">
      <c r="A743" s="16" t="s">
        <v>2741</v>
      </c>
      <c r="ABP743">
        <v>1.92</v>
      </c>
    </row>
    <row r="744" spans="1:753">
      <c r="A744" s="16" t="s">
        <v>2742</v>
      </c>
      <c r="ABQ744">
        <v>1.92</v>
      </c>
    </row>
    <row r="745" spans="1:753">
      <c r="A745" s="16" t="s">
        <v>2743</v>
      </c>
      <c r="ABR745">
        <v>1.92</v>
      </c>
    </row>
    <row r="746" spans="1:753">
      <c r="A746" s="16" t="s">
        <v>2744</v>
      </c>
      <c r="ABS746">
        <v>1.92</v>
      </c>
    </row>
    <row r="747" spans="1:753">
      <c r="A747" s="16" t="s">
        <v>2745</v>
      </c>
      <c r="ABT747">
        <v>1.92</v>
      </c>
    </row>
    <row r="748" spans="1:753">
      <c r="A748" s="16" t="s">
        <v>2746</v>
      </c>
      <c r="ABU748">
        <v>1.92</v>
      </c>
    </row>
    <row r="749" spans="1:753">
      <c r="A749" s="16" t="s">
        <v>2747</v>
      </c>
      <c r="CE749">
        <v>10</v>
      </c>
      <c r="ABV749">
        <v>1.92</v>
      </c>
    </row>
    <row r="750" spans="1:753">
      <c r="A750" s="16" t="s">
        <v>2748</v>
      </c>
      <c r="ABW750">
        <v>1.92</v>
      </c>
    </row>
    <row r="751" spans="1:753">
      <c r="A751" s="16" t="s">
        <v>2749</v>
      </c>
      <c r="ABX751">
        <v>1.92</v>
      </c>
    </row>
    <row r="752" spans="1:753">
      <c r="A752" s="16" t="s">
        <v>2750</v>
      </c>
      <c r="ABY752">
        <v>1.92</v>
      </c>
    </row>
    <row r="753" spans="1:949">
      <c r="A753" s="16" t="s">
        <v>2751</v>
      </c>
      <c r="ABZ753">
        <v>1.92</v>
      </c>
    </row>
    <row r="754" spans="1:949">
      <c r="A754" s="16" t="s">
        <v>2752</v>
      </c>
      <c r="ACA754">
        <v>1.92</v>
      </c>
    </row>
    <row r="755" spans="1:949">
      <c r="A755" s="16" t="s">
        <v>2753</v>
      </c>
    </row>
    <row r="756" spans="1:949">
      <c r="A756" s="16" t="s">
        <v>2754</v>
      </c>
      <c r="ACC756">
        <v>1.82</v>
      </c>
    </row>
    <row r="757" spans="1:949">
      <c r="A757" s="16" t="s">
        <v>2755</v>
      </c>
      <c r="ACD757">
        <v>1.82</v>
      </c>
    </row>
    <row r="758" spans="1:949">
      <c r="A758" s="16" t="s">
        <v>2756</v>
      </c>
      <c r="ACE758">
        <v>1.82</v>
      </c>
    </row>
    <row r="759" spans="1:949">
      <c r="A759" s="16" t="s">
        <v>2757</v>
      </c>
      <c r="ACF759">
        <v>1.82</v>
      </c>
    </row>
    <row r="760" spans="1:949">
      <c r="A760" s="16" t="s">
        <v>2758</v>
      </c>
      <c r="ACG760">
        <v>1.82</v>
      </c>
    </row>
    <row r="761" spans="1:949">
      <c r="A761" s="16" t="s">
        <v>2759</v>
      </c>
      <c r="ACH761">
        <v>1.82</v>
      </c>
    </row>
    <row r="762" spans="1:949">
      <c r="A762" s="16" t="s">
        <v>2760</v>
      </c>
      <c r="ACI762">
        <v>1.82</v>
      </c>
    </row>
    <row r="763" spans="1:949">
      <c r="A763" s="16" t="s">
        <v>2761</v>
      </c>
      <c r="ACJ763">
        <v>1.82</v>
      </c>
    </row>
    <row r="764" spans="1:949">
      <c r="A764" s="16" t="s">
        <v>2762</v>
      </c>
      <c r="ACK764">
        <v>1.82</v>
      </c>
    </row>
    <row r="765" spans="1:949">
      <c r="A765" s="16" t="s">
        <v>2763</v>
      </c>
      <c r="ACL765">
        <v>1.82</v>
      </c>
    </row>
    <row r="766" spans="1:949">
      <c r="A766" s="16" t="s">
        <v>2764</v>
      </c>
      <c r="AJM766">
        <v>10</v>
      </c>
    </row>
    <row r="767" spans="1:949">
      <c r="A767" s="16" t="s">
        <v>2765</v>
      </c>
      <c r="ACN767">
        <v>1.38</v>
      </c>
    </row>
    <row r="768" spans="1:949">
      <c r="A768" s="16" t="s">
        <v>2766</v>
      </c>
      <c r="ACO768">
        <v>1.38</v>
      </c>
    </row>
    <row r="769" spans="1:785">
      <c r="A769" s="16" t="s">
        <v>2767</v>
      </c>
      <c r="ACP769">
        <v>1.38</v>
      </c>
    </row>
    <row r="770" spans="1:785">
      <c r="A770" s="16" t="s">
        <v>2768</v>
      </c>
      <c r="ACQ770">
        <v>1.38</v>
      </c>
    </row>
    <row r="771" spans="1:785">
      <c r="A771" s="16" t="s">
        <v>2769</v>
      </c>
      <c r="ACR771">
        <v>1.38</v>
      </c>
    </row>
    <row r="772" spans="1:785">
      <c r="A772" s="16" t="s">
        <v>2770</v>
      </c>
      <c r="ACS772">
        <v>1.38</v>
      </c>
    </row>
    <row r="773" spans="1:785">
      <c r="A773" s="16" t="s">
        <v>2771</v>
      </c>
      <c r="ACT773">
        <v>1.38</v>
      </c>
    </row>
    <row r="774" spans="1:785">
      <c r="A774" s="16" t="s">
        <v>2772</v>
      </c>
      <c r="ACU774">
        <v>1.38</v>
      </c>
    </row>
    <row r="775" spans="1:785">
      <c r="A775" s="16" t="s">
        <v>2773</v>
      </c>
      <c r="ACV775">
        <v>1.38</v>
      </c>
    </row>
    <row r="776" spans="1:785">
      <c r="A776" s="16" t="s">
        <v>2774</v>
      </c>
      <c r="ACW776">
        <v>1.38</v>
      </c>
    </row>
    <row r="777" spans="1:785">
      <c r="A777" s="16" t="s">
        <v>2775</v>
      </c>
      <c r="ACX777">
        <v>1.38</v>
      </c>
    </row>
    <row r="778" spans="1:785">
      <c r="A778" s="16" t="s">
        <v>2776</v>
      </c>
      <c r="ACY778">
        <v>1.38</v>
      </c>
    </row>
    <row r="779" spans="1:785">
      <c r="A779" s="16" t="s">
        <v>2777</v>
      </c>
      <c r="ACZ779">
        <v>1.38</v>
      </c>
    </row>
    <row r="780" spans="1:785">
      <c r="A780" s="16" t="s">
        <v>2778</v>
      </c>
      <c r="ADA780">
        <v>1.38</v>
      </c>
    </row>
    <row r="781" spans="1:785">
      <c r="A781" s="16" t="s">
        <v>2779</v>
      </c>
      <c r="ADB781">
        <v>1.38</v>
      </c>
    </row>
    <row r="782" spans="1:785">
      <c r="A782" s="16" t="s">
        <v>2780</v>
      </c>
    </row>
    <row r="783" spans="1:785">
      <c r="A783" s="16" t="s">
        <v>2781</v>
      </c>
      <c r="ADD783">
        <v>1.9</v>
      </c>
    </row>
    <row r="784" spans="1:785">
      <c r="A784" s="16" t="s">
        <v>2782</v>
      </c>
      <c r="ADE784">
        <v>1.9</v>
      </c>
    </row>
    <row r="785" spans="1:801">
      <c r="A785" s="16" t="s">
        <v>2783</v>
      </c>
      <c r="ADF785">
        <v>1.9</v>
      </c>
    </row>
    <row r="786" spans="1:801">
      <c r="A786" s="16" t="s">
        <v>2784</v>
      </c>
      <c r="ADG786">
        <v>1.9</v>
      </c>
    </row>
    <row r="787" spans="1:801">
      <c r="A787" s="16" t="s">
        <v>2785</v>
      </c>
      <c r="ADH787">
        <v>1.9</v>
      </c>
    </row>
    <row r="788" spans="1:801">
      <c r="A788" s="16" t="s">
        <v>2786</v>
      </c>
      <c r="ADI788">
        <v>1.9</v>
      </c>
    </row>
    <row r="789" spans="1:801">
      <c r="A789" s="16" t="s">
        <v>2787</v>
      </c>
      <c r="ADJ789">
        <v>1.9</v>
      </c>
    </row>
    <row r="790" spans="1:801">
      <c r="A790" s="16" t="s">
        <v>2788</v>
      </c>
      <c r="ADK790">
        <v>1.9</v>
      </c>
    </row>
    <row r="791" spans="1:801">
      <c r="A791" s="16" t="s">
        <v>2789</v>
      </c>
      <c r="ADL791">
        <v>1.9</v>
      </c>
    </row>
    <row r="792" spans="1:801">
      <c r="A792" s="16" t="s">
        <v>2790</v>
      </c>
      <c r="ADM792">
        <v>1.9</v>
      </c>
    </row>
    <row r="793" spans="1:801">
      <c r="A793" s="16" t="s">
        <v>2791</v>
      </c>
      <c r="ADN793">
        <v>1.9</v>
      </c>
    </row>
    <row r="794" spans="1:801">
      <c r="A794" s="16" t="s">
        <v>2792</v>
      </c>
      <c r="ADO794">
        <v>1.9</v>
      </c>
    </row>
    <row r="795" spans="1:801">
      <c r="A795" s="16" t="s">
        <v>2793</v>
      </c>
      <c r="ADP795">
        <v>1.9</v>
      </c>
    </row>
    <row r="796" spans="1:801">
      <c r="A796" s="16" t="s">
        <v>2794</v>
      </c>
      <c r="ADQ796">
        <v>1.9</v>
      </c>
    </row>
    <row r="797" spans="1:801">
      <c r="A797" s="16" t="s">
        <v>2795</v>
      </c>
      <c r="ADR797">
        <v>1.9</v>
      </c>
    </row>
    <row r="798" spans="1:801">
      <c r="A798" s="16" t="s">
        <v>2796</v>
      </c>
      <c r="ADS798">
        <v>1.9</v>
      </c>
    </row>
    <row r="799" spans="1:801">
      <c r="A799" s="16" t="s">
        <v>2797</v>
      </c>
      <c r="ADT799">
        <v>1.9</v>
      </c>
    </row>
    <row r="800" spans="1:801">
      <c r="A800" s="16" t="s">
        <v>2798</v>
      </c>
      <c r="ADU800">
        <v>1.9</v>
      </c>
    </row>
    <row r="801" spans="1:972">
      <c r="A801" s="16" t="s">
        <v>2799</v>
      </c>
      <c r="ADV801">
        <v>1.9</v>
      </c>
    </row>
    <row r="802" spans="1:972">
      <c r="A802" s="16" t="s">
        <v>2800</v>
      </c>
      <c r="ADW802">
        <v>1.9</v>
      </c>
    </row>
    <row r="803" spans="1:972">
      <c r="A803" s="16" t="s">
        <v>2801</v>
      </c>
      <c r="AKJ803">
        <v>10</v>
      </c>
    </row>
    <row r="804" spans="1:972">
      <c r="A804" s="16" t="s">
        <v>2802</v>
      </c>
      <c r="ADY804">
        <v>1.72</v>
      </c>
    </row>
    <row r="805" spans="1:972">
      <c r="A805" s="16" t="s">
        <v>2803</v>
      </c>
      <c r="ADZ805">
        <v>1.72</v>
      </c>
    </row>
    <row r="806" spans="1:972">
      <c r="A806" s="16" t="s">
        <v>2804</v>
      </c>
      <c r="AEA806">
        <v>1.72</v>
      </c>
    </row>
    <row r="807" spans="1:972">
      <c r="A807" s="16" t="s">
        <v>2805</v>
      </c>
      <c r="AEB807">
        <v>1.72</v>
      </c>
    </row>
    <row r="808" spans="1:972">
      <c r="A808" s="16" t="s">
        <v>2806</v>
      </c>
      <c r="AEC808">
        <v>1.72</v>
      </c>
    </row>
    <row r="809" spans="1:972">
      <c r="A809" s="16" t="s">
        <v>2807</v>
      </c>
      <c r="AED809">
        <v>1.72</v>
      </c>
    </row>
    <row r="810" spans="1:972">
      <c r="A810" s="16" t="s">
        <v>2808</v>
      </c>
      <c r="AEE810">
        <v>1.72</v>
      </c>
    </row>
    <row r="811" spans="1:972">
      <c r="A811" s="16" t="s">
        <v>2809</v>
      </c>
      <c r="AEF811">
        <v>1.72</v>
      </c>
    </row>
    <row r="812" spans="1:972">
      <c r="A812" s="16" t="s">
        <v>2810</v>
      </c>
      <c r="AEG812">
        <v>1.72</v>
      </c>
    </row>
    <row r="813" spans="1:972">
      <c r="A813" s="16" t="s">
        <v>2811</v>
      </c>
      <c r="AEH813">
        <v>1.72</v>
      </c>
    </row>
    <row r="814" spans="1:972">
      <c r="A814" s="16" t="s">
        <v>2812</v>
      </c>
      <c r="AEI814">
        <v>1.72</v>
      </c>
    </row>
    <row r="815" spans="1:972">
      <c r="A815" s="16" t="s">
        <v>2813</v>
      </c>
      <c r="AEJ815">
        <v>1.72</v>
      </c>
    </row>
    <row r="816" spans="1:972">
      <c r="A816" s="16" t="s">
        <v>2814</v>
      </c>
      <c r="AEK816">
        <v>1.72</v>
      </c>
    </row>
    <row r="817" spans="1:847">
      <c r="A817" s="16" t="s">
        <v>2815</v>
      </c>
      <c r="AEL817">
        <v>1.72</v>
      </c>
    </row>
    <row r="818" spans="1:847">
      <c r="A818" s="16" t="s">
        <v>2816</v>
      </c>
      <c r="AEM818">
        <v>1.72</v>
      </c>
    </row>
    <row r="819" spans="1:847">
      <c r="A819" s="16" t="s">
        <v>2817</v>
      </c>
      <c r="AEN819">
        <v>1.72</v>
      </c>
    </row>
    <row r="820" spans="1:847">
      <c r="A820" s="16" t="s">
        <v>2818</v>
      </c>
      <c r="AEO820">
        <v>1.72</v>
      </c>
    </row>
    <row r="821" spans="1:847">
      <c r="A821" s="16" t="s">
        <v>2819</v>
      </c>
    </row>
    <row r="822" spans="1:847">
      <c r="A822" s="16" t="s">
        <v>2820</v>
      </c>
      <c r="AES822">
        <v>2</v>
      </c>
    </row>
    <row r="823" spans="1:847">
      <c r="A823" s="16" t="s">
        <v>2821</v>
      </c>
      <c r="AET823">
        <v>2</v>
      </c>
    </row>
    <row r="824" spans="1:847">
      <c r="A824" s="16" t="s">
        <v>2822</v>
      </c>
      <c r="AEU824">
        <v>2</v>
      </c>
      <c r="AFO824">
        <v>10</v>
      </c>
    </row>
    <row r="825" spans="1:847">
      <c r="A825" s="16" t="s">
        <v>2823</v>
      </c>
      <c r="AEV825">
        <v>2</v>
      </c>
    </row>
    <row r="826" spans="1:847">
      <c r="A826" s="16" t="s">
        <v>2824</v>
      </c>
      <c r="AEU826">
        <v>2</v>
      </c>
      <c r="AEY826">
        <v>2</v>
      </c>
    </row>
    <row r="827" spans="1:847">
      <c r="A827" s="16" t="s">
        <v>2825</v>
      </c>
      <c r="AEV827">
        <v>2</v>
      </c>
    </row>
    <row r="828" spans="1:847">
      <c r="A828" s="16" t="s">
        <v>2826</v>
      </c>
      <c r="AEW828">
        <v>2</v>
      </c>
    </row>
    <row r="829" spans="1:847">
      <c r="A829" s="16" t="s">
        <v>2827</v>
      </c>
      <c r="AEX829">
        <v>2</v>
      </c>
    </row>
    <row r="830" spans="1:847">
      <c r="A830" s="16" t="s">
        <v>2828</v>
      </c>
      <c r="AFI830">
        <v>7</v>
      </c>
    </row>
    <row r="831" spans="1:847">
      <c r="A831" s="16" t="s">
        <v>2829</v>
      </c>
      <c r="AEZ831">
        <v>2</v>
      </c>
    </row>
    <row r="832" spans="1:847">
      <c r="A832" s="16" t="s">
        <v>2830</v>
      </c>
      <c r="AFA832">
        <v>2</v>
      </c>
    </row>
    <row r="833" spans="1:948">
      <c r="A833" s="16" t="s">
        <v>2831</v>
      </c>
      <c r="AFB833">
        <v>2</v>
      </c>
    </row>
    <row r="834" spans="1:948">
      <c r="A834" s="16" t="s">
        <v>2832</v>
      </c>
      <c r="AFC834">
        <v>2</v>
      </c>
    </row>
    <row r="835" spans="1:948">
      <c r="A835" s="16" t="s">
        <v>2833</v>
      </c>
      <c r="AFD835">
        <v>2</v>
      </c>
    </row>
    <row r="836" spans="1:948">
      <c r="A836" s="16" t="s">
        <v>2834</v>
      </c>
      <c r="AFE836">
        <v>2</v>
      </c>
    </row>
    <row r="837" spans="1:948">
      <c r="A837" s="16" t="s">
        <v>2835</v>
      </c>
      <c r="AFF837">
        <v>2</v>
      </c>
      <c r="AFG837">
        <v>7</v>
      </c>
    </row>
    <row r="838" spans="1:948">
      <c r="A838" s="16" t="s">
        <v>2836</v>
      </c>
    </row>
    <row r="839" spans="1:948">
      <c r="A839" s="16" t="s">
        <v>2837</v>
      </c>
      <c r="AFH839">
        <v>2.14</v>
      </c>
    </row>
    <row r="840" spans="1:948">
      <c r="A840" s="16" t="s">
        <v>2838</v>
      </c>
      <c r="AFI840">
        <v>2.14</v>
      </c>
      <c r="AFP840">
        <v>10</v>
      </c>
    </row>
    <row r="841" spans="1:948">
      <c r="A841" s="16" t="s">
        <v>2839</v>
      </c>
      <c r="AFJ841">
        <v>2.14</v>
      </c>
    </row>
    <row r="842" spans="1:948">
      <c r="A842" s="16" t="s">
        <v>2840</v>
      </c>
      <c r="AFK842">
        <v>2.14</v>
      </c>
    </row>
    <row r="843" spans="1:948">
      <c r="A843" s="16" t="s">
        <v>2841</v>
      </c>
      <c r="AFL843">
        <v>2.14</v>
      </c>
    </row>
    <row r="844" spans="1:948">
      <c r="A844" s="16" t="s">
        <v>2842</v>
      </c>
      <c r="AFM844">
        <v>2.14</v>
      </c>
    </row>
    <row r="845" spans="1:948">
      <c r="A845" s="16" t="s">
        <v>2843</v>
      </c>
    </row>
    <row r="846" spans="1:948">
      <c r="A846" s="16" t="s">
        <v>2844</v>
      </c>
      <c r="CJ846">
        <v>10</v>
      </c>
      <c r="AFO846">
        <v>3.15</v>
      </c>
      <c r="AJL846">
        <v>7</v>
      </c>
    </row>
    <row r="847" spans="1:948">
      <c r="A847" s="16" t="s">
        <v>2845</v>
      </c>
      <c r="AFP847">
        <v>3.15</v>
      </c>
    </row>
    <row r="848" spans="1:948">
      <c r="A848" s="16" t="s">
        <v>2846</v>
      </c>
      <c r="AFQ848">
        <v>3.15</v>
      </c>
      <c r="AGE848">
        <v>3.15</v>
      </c>
    </row>
    <row r="849" spans="1:893">
      <c r="A849" s="16" t="s">
        <v>2847</v>
      </c>
      <c r="AFR849">
        <v>3.15</v>
      </c>
    </row>
    <row r="850" spans="1:893">
      <c r="A850" s="16" t="s">
        <v>2848</v>
      </c>
      <c r="AFS850">
        <v>3.15</v>
      </c>
    </row>
    <row r="851" spans="1:893">
      <c r="A851" s="16" t="s">
        <v>2849</v>
      </c>
      <c r="AFT851">
        <v>3.15</v>
      </c>
    </row>
    <row r="852" spans="1:893">
      <c r="A852" s="16" t="s">
        <v>2850</v>
      </c>
      <c r="AFU852">
        <v>3.15</v>
      </c>
    </row>
    <row r="853" spans="1:893">
      <c r="A853" s="16" t="s">
        <v>2851</v>
      </c>
      <c r="AFV853">
        <v>3.15</v>
      </c>
    </row>
    <row r="854" spans="1:893">
      <c r="A854" s="16" t="s">
        <v>2852</v>
      </c>
      <c r="AFW854">
        <v>3.15</v>
      </c>
    </row>
    <row r="855" spans="1:893">
      <c r="A855" s="16" t="s">
        <v>2853</v>
      </c>
      <c r="AFX855">
        <v>3.15</v>
      </c>
      <c r="AGC855">
        <v>3.15</v>
      </c>
    </row>
    <row r="856" spans="1:893">
      <c r="A856" s="16" t="s">
        <v>2854</v>
      </c>
      <c r="AFY856">
        <v>3.15</v>
      </c>
    </row>
    <row r="857" spans="1:893">
      <c r="A857" s="16" t="s">
        <v>2855</v>
      </c>
      <c r="AFZ857">
        <v>3.15</v>
      </c>
    </row>
    <row r="858" spans="1:893">
      <c r="A858" s="16" t="s">
        <v>2856</v>
      </c>
      <c r="AGA858">
        <v>3.15</v>
      </c>
    </row>
    <row r="859" spans="1:893">
      <c r="A859" s="16" t="s">
        <v>2857</v>
      </c>
      <c r="AGB859">
        <v>3.15</v>
      </c>
    </row>
    <row r="860" spans="1:893">
      <c r="A860" s="16" t="s">
        <v>2858</v>
      </c>
    </row>
    <row r="861" spans="1:893">
      <c r="A861" s="16" t="s">
        <v>2859</v>
      </c>
      <c r="AGD861">
        <v>3.15</v>
      </c>
    </row>
    <row r="862" spans="1:893">
      <c r="A862" s="16" t="s">
        <v>2860</v>
      </c>
      <c r="AHI862">
        <v>3.15</v>
      </c>
    </row>
    <row r="863" spans="1:893">
      <c r="A863" s="16" t="s">
        <v>2861</v>
      </c>
      <c r="AGF863">
        <v>3.15</v>
      </c>
    </row>
    <row r="864" spans="1:893">
      <c r="A864" s="16" t="s">
        <v>2862</v>
      </c>
      <c r="AGG864">
        <v>3.15</v>
      </c>
    </row>
    <row r="865" spans="1:929">
      <c r="A865" s="16" t="s">
        <v>2863</v>
      </c>
      <c r="AGH865">
        <v>3.15</v>
      </c>
    </row>
    <row r="866" spans="1:929">
      <c r="A866" s="16" t="s">
        <v>2864</v>
      </c>
      <c r="AGI866">
        <v>3.15</v>
      </c>
      <c r="AGV866">
        <v>3.15</v>
      </c>
      <c r="AIS866">
        <v>7</v>
      </c>
    </row>
    <row r="867" spans="1:929">
      <c r="A867" s="16" t="s">
        <v>2865</v>
      </c>
      <c r="AGJ867">
        <v>3.15</v>
      </c>
    </row>
    <row r="868" spans="1:929">
      <c r="A868" s="16" t="s">
        <v>2866</v>
      </c>
      <c r="AGK868">
        <v>3.15</v>
      </c>
    </row>
    <row r="869" spans="1:929">
      <c r="A869" s="16" t="s">
        <v>2867</v>
      </c>
      <c r="AGL869">
        <v>3.15</v>
      </c>
    </row>
    <row r="870" spans="1:929">
      <c r="A870" s="16" t="s">
        <v>2868</v>
      </c>
      <c r="AGM870">
        <v>3.15</v>
      </c>
    </row>
    <row r="871" spans="1:929">
      <c r="A871" s="16" t="s">
        <v>2869</v>
      </c>
      <c r="AGN871">
        <v>3.15</v>
      </c>
    </row>
    <row r="872" spans="1:929">
      <c r="A872" s="16" t="s">
        <v>2870</v>
      </c>
      <c r="AGO872">
        <v>3.15</v>
      </c>
    </row>
    <row r="873" spans="1:929">
      <c r="A873" s="16" t="s">
        <v>2871</v>
      </c>
      <c r="AGP873">
        <v>3.15</v>
      </c>
    </row>
    <row r="874" spans="1:929">
      <c r="A874" s="16" t="s">
        <v>2872</v>
      </c>
      <c r="AGQ874">
        <v>3.15</v>
      </c>
    </row>
    <row r="875" spans="1:929">
      <c r="A875" s="16" t="s">
        <v>2873</v>
      </c>
      <c r="AGR875">
        <v>3.15</v>
      </c>
    </row>
    <row r="876" spans="1:929">
      <c r="A876" s="16" t="s">
        <v>2874</v>
      </c>
      <c r="AHC876">
        <v>3.15</v>
      </c>
      <c r="AHG876">
        <v>3.15</v>
      </c>
    </row>
    <row r="877" spans="1:929">
      <c r="A877" s="16" t="s">
        <v>2875</v>
      </c>
      <c r="AGT877">
        <v>3.15</v>
      </c>
    </row>
    <row r="878" spans="1:929">
      <c r="A878" s="16" t="s">
        <v>2876</v>
      </c>
      <c r="AGU878">
        <v>3.15</v>
      </c>
    </row>
    <row r="879" spans="1:929">
      <c r="A879" s="16" t="s">
        <v>2877</v>
      </c>
      <c r="AGV879">
        <v>3.15</v>
      </c>
    </row>
    <row r="880" spans="1:929">
      <c r="A880" s="16" t="s">
        <v>2878</v>
      </c>
      <c r="AGW880">
        <v>3.15</v>
      </c>
    </row>
    <row r="881" spans="1:939">
      <c r="A881" s="16" t="s">
        <v>2879</v>
      </c>
      <c r="AGX881">
        <v>3.15</v>
      </c>
    </row>
    <row r="882" spans="1:939">
      <c r="A882" s="16" t="s">
        <v>2880</v>
      </c>
      <c r="AGY882">
        <v>3.15</v>
      </c>
      <c r="AGZ882">
        <v>3.15</v>
      </c>
    </row>
    <row r="883" spans="1:939">
      <c r="A883" s="16" t="s">
        <v>2881</v>
      </c>
      <c r="AIK883">
        <v>7</v>
      </c>
    </row>
    <row r="884" spans="1:939">
      <c r="A884" s="16" t="s">
        <v>2882</v>
      </c>
      <c r="AHA884">
        <v>3.15</v>
      </c>
    </row>
    <row r="885" spans="1:939">
      <c r="A885" s="16" t="s">
        <v>2883</v>
      </c>
      <c r="AHB885">
        <v>3.15</v>
      </c>
    </row>
    <row r="886" spans="1:939">
      <c r="A886" s="16" t="s">
        <v>2884</v>
      </c>
      <c r="AHC886">
        <v>3.15</v>
      </c>
    </row>
    <row r="887" spans="1:939">
      <c r="A887" s="16" t="s">
        <v>2885</v>
      </c>
    </row>
    <row r="888" spans="1:939">
      <c r="A888" s="16" t="s">
        <v>2886</v>
      </c>
      <c r="AHH888">
        <v>3.15</v>
      </c>
    </row>
    <row r="889" spans="1:939">
      <c r="A889" s="16" t="s">
        <v>2887</v>
      </c>
      <c r="AHI889">
        <v>3.15</v>
      </c>
    </row>
    <row r="890" spans="1:939">
      <c r="A890" s="16" t="s">
        <v>2888</v>
      </c>
      <c r="AHG890">
        <v>3.15</v>
      </c>
    </row>
    <row r="891" spans="1:939">
      <c r="A891" s="16" t="s">
        <v>2889</v>
      </c>
      <c r="AHH891">
        <v>3.15</v>
      </c>
    </row>
    <row r="892" spans="1:939">
      <c r="A892" s="16" t="s">
        <v>2890</v>
      </c>
      <c r="AHI892">
        <v>3.15</v>
      </c>
    </row>
    <row r="893" spans="1:939">
      <c r="A893" s="16" t="s">
        <v>2891</v>
      </c>
      <c r="AHJ893">
        <v>3.15</v>
      </c>
    </row>
    <row r="894" spans="1:939">
      <c r="A894" s="16" t="s">
        <v>2892</v>
      </c>
      <c r="AHK894">
        <v>3.15</v>
      </c>
    </row>
    <row r="895" spans="1:939">
      <c r="A895" s="16" t="s">
        <v>2893</v>
      </c>
    </row>
    <row r="896" spans="1:939">
      <c r="A896" s="16" t="s">
        <v>2894</v>
      </c>
      <c r="AHM896">
        <v>4.16</v>
      </c>
      <c r="AJC896">
        <v>4.16</v>
      </c>
    </row>
    <row r="897" spans="1:962">
      <c r="A897" s="16" t="s">
        <v>2895</v>
      </c>
      <c r="CR897">
        <v>4.16</v>
      </c>
      <c r="AHN897">
        <v>4.16</v>
      </c>
    </row>
    <row r="898" spans="1:962">
      <c r="A898" s="16" t="s">
        <v>2896</v>
      </c>
      <c r="AHO898">
        <v>4.16</v>
      </c>
    </row>
    <row r="899" spans="1:962">
      <c r="A899" s="16" t="s">
        <v>2897</v>
      </c>
      <c r="AHP899">
        <v>4.16</v>
      </c>
    </row>
    <row r="900" spans="1:962">
      <c r="A900" s="16" t="s">
        <v>2898</v>
      </c>
      <c r="AHQ900">
        <v>4.16</v>
      </c>
    </row>
    <row r="901" spans="1:962">
      <c r="A901" s="16" t="s">
        <v>2899</v>
      </c>
      <c r="AHR901">
        <v>4.16</v>
      </c>
    </row>
    <row r="902" spans="1:962">
      <c r="A902" s="16" t="s">
        <v>2900</v>
      </c>
      <c r="AHS902">
        <v>4.16</v>
      </c>
    </row>
    <row r="903" spans="1:962">
      <c r="A903" s="16" t="s">
        <v>2901</v>
      </c>
      <c r="AHT903">
        <v>4.16</v>
      </c>
    </row>
    <row r="904" spans="1:962">
      <c r="A904" s="16" t="s">
        <v>2902</v>
      </c>
      <c r="AHU904">
        <v>4.16</v>
      </c>
    </row>
    <row r="905" spans="1:962">
      <c r="A905" s="16" t="s">
        <v>2903</v>
      </c>
      <c r="AHV905">
        <v>4.16</v>
      </c>
    </row>
    <row r="906" spans="1:962">
      <c r="A906" s="16" t="s">
        <v>2904</v>
      </c>
      <c r="AHW906">
        <v>4.16</v>
      </c>
    </row>
    <row r="907" spans="1:962">
      <c r="A907" s="16" t="s">
        <v>2905</v>
      </c>
      <c r="AHX907">
        <v>4.16</v>
      </c>
    </row>
    <row r="908" spans="1:962">
      <c r="A908" s="16" t="s">
        <v>2906</v>
      </c>
      <c r="AHY908">
        <v>4.16</v>
      </c>
    </row>
    <row r="909" spans="1:962">
      <c r="A909" s="16" t="s">
        <v>2907</v>
      </c>
      <c r="AIN909">
        <v>4.16</v>
      </c>
      <c r="AJZ909">
        <v>7</v>
      </c>
    </row>
    <row r="910" spans="1:962">
      <c r="A910" s="16" t="s">
        <v>2908</v>
      </c>
      <c r="AIA910">
        <v>4.16</v>
      </c>
    </row>
    <row r="911" spans="1:962">
      <c r="A911" s="16" t="s">
        <v>2909</v>
      </c>
      <c r="AIB911">
        <v>4.16</v>
      </c>
    </row>
    <row r="912" spans="1:962">
      <c r="A912" s="16" t="s">
        <v>2910</v>
      </c>
      <c r="AIC912">
        <v>4.16</v>
      </c>
    </row>
    <row r="913" spans="1:931">
      <c r="A913" s="16" t="s">
        <v>2911</v>
      </c>
      <c r="AID913">
        <v>4.16</v>
      </c>
    </row>
    <row r="914" spans="1:931">
      <c r="A914" s="16" t="s">
        <v>2912</v>
      </c>
      <c r="AIE914">
        <v>4.16</v>
      </c>
    </row>
    <row r="915" spans="1:931">
      <c r="A915" s="16" t="s">
        <v>2913</v>
      </c>
      <c r="AIF915">
        <v>4.16</v>
      </c>
    </row>
    <row r="916" spans="1:931">
      <c r="A916" s="16" t="s">
        <v>2914</v>
      </c>
      <c r="AIG916">
        <v>4.16</v>
      </c>
    </row>
    <row r="917" spans="1:931">
      <c r="A917" s="16" t="s">
        <v>2915</v>
      </c>
      <c r="AIH917">
        <v>4.16</v>
      </c>
    </row>
    <row r="918" spans="1:931">
      <c r="A918" s="16" t="s">
        <v>2916</v>
      </c>
      <c r="AII918">
        <v>4.16</v>
      </c>
    </row>
    <row r="919" spans="1:931">
      <c r="A919" s="16" t="s">
        <v>2917</v>
      </c>
      <c r="AIJ919">
        <v>4.16</v>
      </c>
    </row>
    <row r="920" spans="1:931">
      <c r="A920" s="16" t="s">
        <v>2918</v>
      </c>
      <c r="AIK920">
        <v>4.16</v>
      </c>
    </row>
    <row r="921" spans="1:931">
      <c r="A921" s="16" t="s">
        <v>2919</v>
      </c>
      <c r="AIL921">
        <v>4.16</v>
      </c>
    </row>
    <row r="922" spans="1:931">
      <c r="A922" s="16" t="s">
        <v>2920</v>
      </c>
      <c r="AIM922">
        <v>4.16</v>
      </c>
    </row>
    <row r="923" spans="1:931">
      <c r="A923" s="16" t="s">
        <v>2921</v>
      </c>
      <c r="AIN923">
        <v>4.16</v>
      </c>
    </row>
    <row r="924" spans="1:931">
      <c r="A924" s="16" t="s">
        <v>2922</v>
      </c>
      <c r="AIO924">
        <v>4.16</v>
      </c>
    </row>
    <row r="925" spans="1:931">
      <c r="A925" s="16" t="s">
        <v>2923</v>
      </c>
      <c r="AIP925">
        <v>4.16</v>
      </c>
    </row>
    <row r="926" spans="1:931">
      <c r="A926" s="16" t="s">
        <v>2924</v>
      </c>
      <c r="AIQ926">
        <v>4.16</v>
      </c>
    </row>
    <row r="927" spans="1:931">
      <c r="A927" s="16" t="s">
        <v>2925</v>
      </c>
      <c r="AIR927">
        <v>4.16</v>
      </c>
    </row>
    <row r="928" spans="1:931">
      <c r="A928" s="16" t="s">
        <v>2926</v>
      </c>
      <c r="AIU928">
        <v>4.16</v>
      </c>
    </row>
    <row r="929" spans="1:993">
      <c r="A929" s="16" t="s">
        <v>2927</v>
      </c>
      <c r="AIT929">
        <v>4.16</v>
      </c>
    </row>
    <row r="930" spans="1:993">
      <c r="A930" s="16" t="s">
        <v>2928</v>
      </c>
      <c r="AIU930">
        <v>4.16</v>
      </c>
    </row>
    <row r="931" spans="1:993">
      <c r="A931" s="16" t="s">
        <v>2929</v>
      </c>
      <c r="AIV931">
        <v>4.16</v>
      </c>
    </row>
    <row r="932" spans="1:993">
      <c r="A932" s="16" t="s">
        <v>2930</v>
      </c>
      <c r="AIW932">
        <v>4.16</v>
      </c>
    </row>
    <row r="933" spans="1:993">
      <c r="A933" s="16" t="s">
        <v>2931</v>
      </c>
      <c r="AIX933">
        <v>4.16</v>
      </c>
    </row>
    <row r="934" spans="1:993">
      <c r="A934" s="16" t="s">
        <v>2932</v>
      </c>
      <c r="AIY934">
        <v>4.16</v>
      </c>
    </row>
    <row r="935" spans="1:993">
      <c r="A935" s="16" t="s">
        <v>2933</v>
      </c>
      <c r="AIZ935">
        <v>4.16</v>
      </c>
      <c r="ALB935">
        <v>7</v>
      </c>
    </row>
    <row r="936" spans="1:993">
      <c r="A936" s="16" t="s">
        <v>2934</v>
      </c>
      <c r="AJK936">
        <v>4.16</v>
      </c>
      <c r="ALE936">
        <v>7</v>
      </c>
    </row>
    <row r="937" spans="1:993">
      <c r="A937" s="16" t="s">
        <v>2935</v>
      </c>
      <c r="AJB937">
        <v>4.16</v>
      </c>
    </row>
    <row r="938" spans="1:993">
      <c r="A938" s="16" t="s">
        <v>2936</v>
      </c>
      <c r="AJC938">
        <v>4.16</v>
      </c>
    </row>
    <row r="939" spans="1:993">
      <c r="A939" s="16" t="s">
        <v>2937</v>
      </c>
    </row>
    <row r="940" spans="1:993">
      <c r="A940" s="16" t="s">
        <v>2938</v>
      </c>
      <c r="AJG940">
        <v>4.16</v>
      </c>
    </row>
    <row r="941" spans="1:993">
      <c r="A941" s="16" t="s">
        <v>2939</v>
      </c>
      <c r="AJH941">
        <v>4.16</v>
      </c>
    </row>
    <row r="942" spans="1:993">
      <c r="A942" s="16" t="s">
        <v>2940</v>
      </c>
      <c r="AJI942">
        <v>4.16</v>
      </c>
    </row>
    <row r="943" spans="1:993">
      <c r="A943" s="16" t="s">
        <v>2941</v>
      </c>
      <c r="AJJ943">
        <v>4.16</v>
      </c>
    </row>
    <row r="944" spans="1:993">
      <c r="A944" s="16" t="s">
        <v>2942</v>
      </c>
      <c r="AJK944">
        <v>4.16</v>
      </c>
    </row>
    <row r="945" spans="1:966">
      <c r="A945" s="16" t="s">
        <v>2943</v>
      </c>
      <c r="AJL945">
        <v>4.16</v>
      </c>
    </row>
    <row r="946" spans="1:966">
      <c r="A946" s="16" t="s">
        <v>2944</v>
      </c>
      <c r="AJM946">
        <v>4.16</v>
      </c>
    </row>
    <row r="947" spans="1:966">
      <c r="A947" s="16" t="s">
        <v>2945</v>
      </c>
      <c r="AKD947">
        <v>7</v>
      </c>
    </row>
    <row r="948" spans="1:966">
      <c r="A948" s="16" t="s">
        <v>2946</v>
      </c>
      <c r="AJM948">
        <v>5.3</v>
      </c>
    </row>
    <row r="949" spans="1:966">
      <c r="A949" s="16" t="s">
        <v>2947</v>
      </c>
      <c r="AJN949">
        <v>5.3</v>
      </c>
    </row>
    <row r="950" spans="1:966">
      <c r="A950" s="16" t="s">
        <v>2948</v>
      </c>
      <c r="AJO950">
        <v>5.3</v>
      </c>
    </row>
    <row r="951" spans="1:966">
      <c r="A951" s="16" t="s">
        <v>2949</v>
      </c>
      <c r="AJP951">
        <v>5.3</v>
      </c>
    </row>
    <row r="952" spans="1:966">
      <c r="A952" s="16" t="s">
        <v>2950</v>
      </c>
      <c r="AJQ952">
        <v>5.3</v>
      </c>
    </row>
    <row r="953" spans="1:966">
      <c r="A953" s="16" t="s">
        <v>2951</v>
      </c>
      <c r="AJR953">
        <v>5.3</v>
      </c>
    </row>
    <row r="954" spans="1:966">
      <c r="A954" s="16" t="s">
        <v>2952</v>
      </c>
      <c r="AJS954">
        <v>5.3</v>
      </c>
    </row>
    <row r="955" spans="1:966">
      <c r="A955" s="16" t="s">
        <v>2953</v>
      </c>
      <c r="AJT955">
        <v>5.3</v>
      </c>
    </row>
    <row r="956" spans="1:966">
      <c r="A956" s="16" t="s">
        <v>2954</v>
      </c>
      <c r="AJU956">
        <v>5.3</v>
      </c>
    </row>
    <row r="957" spans="1:966">
      <c r="A957" s="16" t="s">
        <v>2955</v>
      </c>
    </row>
    <row r="958" spans="1:966">
      <c r="A958" s="16" t="s">
        <v>2956</v>
      </c>
      <c r="AJW958">
        <v>3.21</v>
      </c>
    </row>
    <row r="959" spans="1:966">
      <c r="A959" s="16" t="s">
        <v>2957</v>
      </c>
      <c r="AJX959">
        <v>3.21</v>
      </c>
    </row>
    <row r="960" spans="1:966">
      <c r="A960" s="16" t="s">
        <v>2958</v>
      </c>
      <c r="AJY960">
        <v>3.21</v>
      </c>
    </row>
    <row r="961" spans="1:995">
      <c r="A961" s="16" t="s">
        <v>2959</v>
      </c>
      <c r="AJZ961">
        <v>3.21</v>
      </c>
    </row>
    <row r="962" spans="1:995">
      <c r="A962" s="16" t="s">
        <v>2960</v>
      </c>
      <c r="AKA962">
        <v>3.21</v>
      </c>
    </row>
    <row r="963" spans="1:995">
      <c r="A963" s="16" t="s">
        <v>2961</v>
      </c>
      <c r="AKB963">
        <v>3.21</v>
      </c>
    </row>
    <row r="964" spans="1:995">
      <c r="A964" s="16" t="s">
        <v>2962</v>
      </c>
      <c r="AKC964">
        <v>3.21</v>
      </c>
    </row>
    <row r="965" spans="1:995">
      <c r="A965" s="16" t="s">
        <v>2963</v>
      </c>
      <c r="AKD965">
        <v>3.21</v>
      </c>
    </row>
    <row r="966" spans="1:995">
      <c r="A966" s="16" t="s">
        <v>2964</v>
      </c>
      <c r="AKE966">
        <v>3.21</v>
      </c>
    </row>
    <row r="967" spans="1:995">
      <c r="A967" s="16" t="s">
        <v>2965</v>
      </c>
      <c r="AKF967">
        <v>3.21</v>
      </c>
    </row>
    <row r="968" spans="1:995">
      <c r="A968" s="16" t="s">
        <v>2966</v>
      </c>
      <c r="AKG968">
        <v>3.21</v>
      </c>
    </row>
    <row r="969" spans="1:995">
      <c r="A969" s="16" t="s">
        <v>2967</v>
      </c>
      <c r="ALA969">
        <v>3.21</v>
      </c>
    </row>
    <row r="970" spans="1:995">
      <c r="A970" s="16" t="s">
        <v>2968</v>
      </c>
      <c r="AKI970">
        <v>3.21</v>
      </c>
    </row>
    <row r="971" spans="1:995">
      <c r="A971" s="16" t="s">
        <v>2969</v>
      </c>
      <c r="AKJ971">
        <v>3.21</v>
      </c>
    </row>
    <row r="972" spans="1:995">
      <c r="A972" s="16" t="s">
        <v>2970</v>
      </c>
      <c r="AKK972">
        <v>3.21</v>
      </c>
    </row>
    <row r="973" spans="1:995">
      <c r="A973" s="16" t="s">
        <v>2971</v>
      </c>
      <c r="AKL973">
        <v>3.21</v>
      </c>
    </row>
    <row r="974" spans="1:995">
      <c r="A974" s="16" t="s">
        <v>2972</v>
      </c>
      <c r="AKU974">
        <v>3.21</v>
      </c>
    </row>
    <row r="975" spans="1:995">
      <c r="A975" s="16" t="s">
        <v>2973</v>
      </c>
      <c r="AKM975">
        <v>7</v>
      </c>
      <c r="AKN975">
        <v>3.21</v>
      </c>
      <c r="ALF975">
        <v>3.21</v>
      </c>
      <c r="ALG975">
        <v>3.21</v>
      </c>
    </row>
    <row r="976" spans="1:995">
      <c r="A976" s="16" t="s">
        <v>2974</v>
      </c>
      <c r="AKO976">
        <v>3.21</v>
      </c>
    </row>
    <row r="977" spans="1:993">
      <c r="A977" s="16" t="s">
        <v>2975</v>
      </c>
      <c r="AKP977">
        <v>3.21</v>
      </c>
    </row>
    <row r="978" spans="1:993">
      <c r="A978" s="16" t="s">
        <v>2976</v>
      </c>
      <c r="AKQ978">
        <v>3.21</v>
      </c>
    </row>
    <row r="979" spans="1:993">
      <c r="A979" s="16" t="s">
        <v>2977</v>
      </c>
      <c r="AKR979">
        <v>3.21</v>
      </c>
    </row>
    <row r="980" spans="1:993">
      <c r="A980" s="16" t="s">
        <v>2978</v>
      </c>
      <c r="AKS980">
        <v>3.21</v>
      </c>
    </row>
    <row r="981" spans="1:993">
      <c r="A981" s="16" t="s">
        <v>2979</v>
      </c>
      <c r="AKT981">
        <v>3.21</v>
      </c>
    </row>
    <row r="982" spans="1:993">
      <c r="A982" s="16" t="s">
        <v>2980</v>
      </c>
      <c r="AKU982">
        <v>3.21</v>
      </c>
    </row>
    <row r="983" spans="1:993">
      <c r="A983" s="16" t="s">
        <v>2981</v>
      </c>
      <c r="AKV983">
        <v>3.21</v>
      </c>
    </row>
    <row r="984" spans="1:993">
      <c r="A984" s="16" t="s">
        <v>2982</v>
      </c>
      <c r="AKW984">
        <v>3.21</v>
      </c>
    </row>
    <row r="985" spans="1:993">
      <c r="A985" s="16" t="s">
        <v>2983</v>
      </c>
      <c r="AKX985">
        <v>3.21</v>
      </c>
    </row>
    <row r="986" spans="1:993">
      <c r="A986" s="16" t="s">
        <v>2984</v>
      </c>
      <c r="AKY986">
        <v>3.21</v>
      </c>
    </row>
    <row r="987" spans="1:993">
      <c r="A987" s="16" t="s">
        <v>2985</v>
      </c>
      <c r="AKZ987">
        <v>3.21</v>
      </c>
    </row>
    <row r="988" spans="1:993">
      <c r="A988" s="16" t="s">
        <v>2986</v>
      </c>
      <c r="ALA988">
        <v>3.21</v>
      </c>
    </row>
    <row r="989" spans="1:993">
      <c r="A989" s="16" t="s">
        <v>2987</v>
      </c>
      <c r="ALB989">
        <v>3.21</v>
      </c>
    </row>
    <row r="990" spans="1:993">
      <c r="A990" s="16" t="s">
        <v>2988</v>
      </c>
      <c r="ALC990">
        <v>3.21</v>
      </c>
    </row>
    <row r="991" spans="1:993">
      <c r="A991" s="16" t="s">
        <v>2989</v>
      </c>
      <c r="ALD991">
        <v>3.21</v>
      </c>
    </row>
    <row r="992" spans="1:993">
      <c r="A992" s="16" t="s">
        <v>2990</v>
      </c>
      <c r="ALE992">
        <v>3.21</v>
      </c>
    </row>
    <row r="993" spans="1:1009 1026:1106">
      <c r="A993" s="16" t="s">
        <v>2991</v>
      </c>
    </row>
    <row r="994" spans="1:1009 1026:1106">
      <c r="A994" s="16" t="s">
        <v>2992</v>
      </c>
    </row>
    <row r="995" spans="1:1009 1026:1106">
      <c r="A995" s="16" t="s">
        <v>2993</v>
      </c>
      <c r="ALH995">
        <v>3.21</v>
      </c>
    </row>
    <row r="996" spans="1:1009 1026:1106">
      <c r="A996" s="16" t="s">
        <v>2994</v>
      </c>
      <c r="ALI996">
        <v>3.21</v>
      </c>
    </row>
    <row r="997" spans="1:1009 1026:1106">
      <c r="A997" s="16" t="s">
        <v>2995</v>
      </c>
    </row>
    <row r="998" spans="1:1009 1026:1106">
      <c r="A998" s="16" t="s">
        <v>2996</v>
      </c>
      <c r="ALK998">
        <v>4.76</v>
      </c>
    </row>
    <row r="999" spans="1:1009 1026:1106">
      <c r="A999" s="16" t="s">
        <v>2997</v>
      </c>
      <c r="ALL999">
        <v>4.76</v>
      </c>
    </row>
    <row r="1000" spans="1:1009 1026:1106">
      <c r="A1000" s="16" t="s">
        <v>2998</v>
      </c>
      <c r="ALM1000">
        <v>4.76</v>
      </c>
    </row>
    <row r="1001" spans="1:1009 1026:1106">
      <c r="A1001" s="16" t="s">
        <v>2999</v>
      </c>
    </row>
    <row r="1002" spans="1:1009 1026:1106">
      <c r="A1002" s="16" t="s">
        <v>3000</v>
      </c>
      <c r="ALM1002">
        <v>4.76</v>
      </c>
      <c r="ALO1002">
        <v>4.76</v>
      </c>
    </row>
    <row r="1003" spans="1:1009 1026:1106">
      <c r="A1003" s="16" t="s">
        <v>3001</v>
      </c>
      <c r="ALP1003">
        <v>4.76</v>
      </c>
    </row>
    <row r="1004" spans="1:1009 1026:1106">
      <c r="A1004" s="16" t="s">
        <v>3002</v>
      </c>
      <c r="ALQ1004">
        <v>4.76</v>
      </c>
    </row>
    <row r="1005" spans="1:1009 1026:1106">
      <c r="A1005" s="16" t="s">
        <v>3003</v>
      </c>
      <c r="SK1005">
        <v>10</v>
      </c>
      <c r="ADV1005">
        <v>10</v>
      </c>
      <c r="ALR1005">
        <v>4.76</v>
      </c>
    </row>
    <row r="1006" spans="1:1009 1026:1106">
      <c r="A1006" s="16" t="s">
        <v>3004</v>
      </c>
      <c r="SH1006">
        <v>10</v>
      </c>
      <c r="ALS1006">
        <v>4.76</v>
      </c>
      <c r="APN1006">
        <v>7</v>
      </c>
    </row>
    <row r="1007" spans="1:1009 1026:1106">
      <c r="A1007" s="16" t="s">
        <v>3005</v>
      </c>
      <c r="SG1007">
        <v>10</v>
      </c>
      <c r="ALT1007">
        <v>4.76</v>
      </c>
      <c r="AML1007">
        <v>4.76</v>
      </c>
      <c r="APM1007">
        <v>7</v>
      </c>
    </row>
    <row r="1008" spans="1:1009 1026:1106">
      <c r="A1008" s="16" t="s">
        <v>3006</v>
      </c>
      <c r="ALU1008">
        <v>4.76</v>
      </c>
    </row>
    <row r="1009" spans="1:1025">
      <c r="A1009" s="16" t="s">
        <v>3007</v>
      </c>
      <c r="ALV1009">
        <v>4.76</v>
      </c>
    </row>
    <row r="1010" spans="1:1025">
      <c r="A1010" s="16" t="s">
        <v>3008</v>
      </c>
      <c r="ALW1010">
        <v>4.76</v>
      </c>
    </row>
    <row r="1011" spans="1:1025">
      <c r="A1011" s="16" t="s">
        <v>3009</v>
      </c>
      <c r="ALX1011">
        <v>4.76</v>
      </c>
      <c r="AMF1011">
        <v>4.76</v>
      </c>
    </row>
    <row r="1012" spans="1:1025">
      <c r="A1012" s="16" t="s">
        <v>3010</v>
      </c>
      <c r="ALY1012">
        <v>4.76</v>
      </c>
    </row>
    <row r="1013" spans="1:1025">
      <c r="A1013" s="16" t="s">
        <v>3011</v>
      </c>
      <c r="ALZ1013">
        <v>4.76</v>
      </c>
    </row>
    <row r="1014" spans="1:1025">
      <c r="A1014" s="16" t="s">
        <v>3012</v>
      </c>
      <c r="AMA1014">
        <v>4.76</v>
      </c>
    </row>
    <row r="1015" spans="1:1025">
      <c r="A1015" s="16" t="s">
        <v>3013</v>
      </c>
      <c r="AMB1015">
        <v>4.76</v>
      </c>
    </row>
    <row r="1016" spans="1:1025">
      <c r="A1016" s="16" t="s">
        <v>3014</v>
      </c>
      <c r="AMC1016">
        <v>4.76</v>
      </c>
    </row>
    <row r="1017" spans="1:1025">
      <c r="A1017" s="16" t="s">
        <v>3015</v>
      </c>
      <c r="AMD1017">
        <v>4.76</v>
      </c>
    </row>
    <row r="1018" spans="1:1025">
      <c r="A1018" s="16" t="s">
        <v>3016</v>
      </c>
      <c r="AME1018">
        <v>4.76</v>
      </c>
    </row>
    <row r="1019" spans="1:1025">
      <c r="A1019" s="16" t="s">
        <v>3017</v>
      </c>
    </row>
    <row r="1020" spans="1:1025">
      <c r="A1020" s="16" t="s">
        <v>3018</v>
      </c>
      <c r="AMG1020">
        <v>4.76</v>
      </c>
    </row>
    <row r="1021" spans="1:1025">
      <c r="A1021" s="16" t="s">
        <v>3019</v>
      </c>
      <c r="AMH1021">
        <v>4.76</v>
      </c>
    </row>
    <row r="1022" spans="1:1025">
      <c r="A1022" s="16" t="s">
        <v>3020</v>
      </c>
      <c r="AMI1022">
        <v>4.76</v>
      </c>
    </row>
    <row r="1023" spans="1:1025">
      <c r="A1023" s="16" t="s">
        <v>3021</v>
      </c>
      <c r="AMJ1023">
        <v>4.76</v>
      </c>
    </row>
    <row r="1024" spans="1:1025">
      <c r="A1024" s="16" t="s">
        <v>3022</v>
      </c>
      <c r="AJD1024">
        <v>7</v>
      </c>
      <c r="AMK1024">
        <v>4.76</v>
      </c>
    </row>
    <row r="1025" spans="1:896 1027:1104">
      <c r="A1025" s="16" t="s">
        <v>3023</v>
      </c>
      <c r="AHL1025">
        <v>7</v>
      </c>
    </row>
    <row r="1026" spans="1:896 1027:1104">
      <c r="A1026" s="16" t="s">
        <v>3024</v>
      </c>
      <c r="SF1026">
        <v>10</v>
      </c>
      <c r="AMM1026">
        <v>4.76</v>
      </c>
      <c r="APL1026">
        <v>7</v>
      </c>
    </row>
    <row r="1027" spans="1:896 1027:1104">
      <c r="A1027" s="16" t="s">
        <v>3025</v>
      </c>
      <c r="AMN1027">
        <v>4.76</v>
      </c>
      <c r="APK1027">
        <v>7</v>
      </c>
    </row>
    <row r="1028" spans="1:896 1027:1104">
      <c r="A1028" s="16" t="s">
        <v>3026</v>
      </c>
      <c r="AMO1028">
        <v>4.76</v>
      </c>
      <c r="APJ1028">
        <v>7</v>
      </c>
    </row>
    <row r="1029" spans="1:896 1027:1104">
      <c r="A1029" s="16" t="s">
        <v>3027</v>
      </c>
      <c r="AMP1029">
        <v>4.76</v>
      </c>
    </row>
    <row r="1030" spans="1:896 1027:1104">
      <c r="A1030" s="16" t="s">
        <v>3028</v>
      </c>
      <c r="AMQ1030">
        <v>4.76</v>
      </c>
    </row>
    <row r="1031" spans="1:896 1027:1104">
      <c r="A1031" s="16" t="s">
        <v>3029</v>
      </c>
      <c r="AMR1031">
        <v>4.76</v>
      </c>
    </row>
    <row r="1032" spans="1:896 1027:1104">
      <c r="A1032" s="16" t="s">
        <v>3030</v>
      </c>
    </row>
    <row r="1033" spans="1:896 1027:1104">
      <c r="A1033" s="16" t="s">
        <v>3031</v>
      </c>
      <c r="CK1033">
        <v>10</v>
      </c>
      <c r="DP1033">
        <v>10</v>
      </c>
      <c r="FM1033">
        <v>10</v>
      </c>
      <c r="FN1033">
        <v>10</v>
      </c>
      <c r="WZ1033">
        <v>10</v>
      </c>
      <c r="AMT1033">
        <v>8.7799999999999994</v>
      </c>
      <c r="ANO1033">
        <v>8.7799999999999994</v>
      </c>
      <c r="AOD1033">
        <v>8.7799999999999994</v>
      </c>
    </row>
    <row r="1034" spans="1:896 1027:1104">
      <c r="A1034" s="16" t="s">
        <v>3032</v>
      </c>
      <c r="XH1034">
        <v>10</v>
      </c>
      <c r="AMU1034">
        <v>8.7799999999999994</v>
      </c>
    </row>
    <row r="1035" spans="1:896 1027:1104">
      <c r="A1035" s="16" t="s">
        <v>3033</v>
      </c>
      <c r="AMV1035">
        <v>8.7799999999999994</v>
      </c>
    </row>
    <row r="1036" spans="1:896 1027:1104">
      <c r="A1036" s="16" t="s">
        <v>3034</v>
      </c>
      <c r="AMW1036">
        <v>8.7799999999999994</v>
      </c>
    </row>
    <row r="1037" spans="1:896 1027:1104">
      <c r="A1037" s="16" t="s">
        <v>3035</v>
      </c>
      <c r="DB1037">
        <v>8.7799999999999994</v>
      </c>
      <c r="AMX1037">
        <v>8.7799999999999994</v>
      </c>
    </row>
    <row r="1038" spans="1:896 1027:1104">
      <c r="A1038" s="16" t="s">
        <v>3036</v>
      </c>
      <c r="AMY1038">
        <v>8.7799999999999994</v>
      </c>
    </row>
    <row r="1039" spans="1:896 1027:1104">
      <c r="A1039" s="16" t="s">
        <v>3037</v>
      </c>
      <c r="AMZ1039">
        <v>8.7799999999999994</v>
      </c>
    </row>
    <row r="1040" spans="1:896 1027:1104">
      <c r="A1040" s="16" t="s">
        <v>3038</v>
      </c>
      <c r="ANA1040">
        <v>8.7799999999999994</v>
      </c>
    </row>
    <row r="1041" spans="1:644 1043:1057">
      <c r="A1041" s="16" t="s">
        <v>3039</v>
      </c>
    </row>
    <row r="1042" spans="1:644 1043:1057">
      <c r="A1042" s="16" t="s">
        <v>3040</v>
      </c>
      <c r="ANC1042">
        <v>8.7799999999999994</v>
      </c>
    </row>
    <row r="1043" spans="1:644 1043:1057">
      <c r="A1043" s="16" t="s">
        <v>3041</v>
      </c>
      <c r="AND1043">
        <v>8.7799999999999994</v>
      </c>
      <c r="ANJ1043">
        <v>8.7799999999999994</v>
      </c>
    </row>
    <row r="1044" spans="1:644 1043:1057">
      <c r="A1044" s="16" t="s">
        <v>3042</v>
      </c>
      <c r="ANE1044">
        <v>8.7799999999999994</v>
      </c>
    </row>
    <row r="1045" spans="1:644 1043:1057">
      <c r="A1045" s="16" t="s">
        <v>3043</v>
      </c>
      <c r="ANF1045">
        <v>8.7799999999999994</v>
      </c>
    </row>
    <row r="1046" spans="1:644 1043:1057">
      <c r="A1046" s="16" t="s">
        <v>3044</v>
      </c>
      <c r="ANG1046">
        <v>8.7799999999999994</v>
      </c>
    </row>
    <row r="1047" spans="1:644 1043:1057">
      <c r="A1047" s="16" t="s">
        <v>3045</v>
      </c>
      <c r="ANH1047">
        <v>8.7799999999999994</v>
      </c>
    </row>
    <row r="1048" spans="1:644 1043:1057">
      <c r="A1048" s="16" t="s">
        <v>3046</v>
      </c>
      <c r="ANI1048">
        <v>8.7799999999999994</v>
      </c>
    </row>
    <row r="1049" spans="1:644 1043:1057">
      <c r="A1049" s="16" t="s">
        <v>3047</v>
      </c>
    </row>
    <row r="1050" spans="1:644 1043:1057">
      <c r="A1050" s="16" t="s">
        <v>3048</v>
      </c>
      <c r="ANK1050">
        <v>8.7799999999999994</v>
      </c>
    </row>
    <row r="1051" spans="1:644 1043:1057">
      <c r="A1051" s="16" t="s">
        <v>3049</v>
      </c>
      <c r="ANL1051">
        <v>8.7799999999999994</v>
      </c>
    </row>
    <row r="1052" spans="1:644 1043:1057">
      <c r="A1052" s="16" t="s">
        <v>3050</v>
      </c>
      <c r="ANM1052">
        <v>8.7799999999999994</v>
      </c>
    </row>
    <row r="1053" spans="1:644 1043:1057">
      <c r="A1053" s="16" t="s">
        <v>3051</v>
      </c>
      <c r="ANN1053">
        <v>8.7799999999999994</v>
      </c>
    </row>
    <row r="1054" spans="1:644 1043:1057">
      <c r="A1054" s="16" t="s">
        <v>3052</v>
      </c>
    </row>
    <row r="1055" spans="1:644 1043:1057">
      <c r="A1055" s="16" t="s">
        <v>3053</v>
      </c>
      <c r="XT1055">
        <v>10</v>
      </c>
      <c r="ANP1055">
        <v>8.7799999999999994</v>
      </c>
    </row>
    <row r="1056" spans="1:644 1043:1057">
      <c r="A1056" s="16" t="s">
        <v>3054</v>
      </c>
      <c r="ANQ1056">
        <v>8.7799999999999994</v>
      </c>
    </row>
    <row r="1057" spans="1:1 1058:1073">
      <c r="A1057" s="16" t="s">
        <v>3055</v>
      </c>
      <c r="ANR1057">
        <v>8.7799999999999994</v>
      </c>
    </row>
    <row r="1058" spans="1:1 1058:1073">
      <c r="A1058" s="16" t="s">
        <v>3056</v>
      </c>
      <c r="ANS1058">
        <v>8.7799999999999994</v>
      </c>
    </row>
    <row r="1059" spans="1:1 1058:1073">
      <c r="A1059" s="16" t="s">
        <v>3057</v>
      </c>
      <c r="ANT1059">
        <v>8.7799999999999994</v>
      </c>
    </row>
    <row r="1060" spans="1:1 1058:1073">
      <c r="A1060" s="16" t="s">
        <v>3058</v>
      </c>
      <c r="ANU1060">
        <v>8.7799999999999994</v>
      </c>
    </row>
    <row r="1061" spans="1:1 1058:1073">
      <c r="A1061" s="16" t="s">
        <v>3059</v>
      </c>
      <c r="ANV1061">
        <v>8.7799999999999994</v>
      </c>
    </row>
    <row r="1062" spans="1:1 1058:1073">
      <c r="A1062" s="16" t="s">
        <v>3060</v>
      </c>
      <c r="ANW1062">
        <v>8.7799999999999994</v>
      </c>
    </row>
    <row r="1063" spans="1:1 1058:1073">
      <c r="A1063" s="16" t="s">
        <v>3061</v>
      </c>
      <c r="ANX1063">
        <v>8.7799999999999994</v>
      </c>
    </row>
    <row r="1064" spans="1:1 1058:1073">
      <c r="A1064" s="16" t="s">
        <v>3062</v>
      </c>
      <c r="ANY1064">
        <v>8.7799999999999994</v>
      </c>
    </row>
    <row r="1065" spans="1:1 1058:1073">
      <c r="A1065" s="16" t="s">
        <v>3063</v>
      </c>
      <c r="ANZ1065">
        <v>8.7799999999999994</v>
      </c>
    </row>
    <row r="1066" spans="1:1 1058:1073">
      <c r="A1066" s="16" t="s">
        <v>3064</v>
      </c>
      <c r="AOA1066">
        <v>8.7799999999999994</v>
      </c>
    </row>
    <row r="1067" spans="1:1 1058:1073">
      <c r="A1067" s="16" t="s">
        <v>3065</v>
      </c>
      <c r="AOB1067">
        <v>8.7799999999999994</v>
      </c>
    </row>
    <row r="1068" spans="1:1 1058:1073">
      <c r="A1068" s="16" t="s">
        <v>3066</v>
      </c>
      <c r="AOC1068">
        <v>8.7799999999999994</v>
      </c>
    </row>
    <row r="1069" spans="1:1 1058:1073">
      <c r="A1069" s="16" t="s">
        <v>3067</v>
      </c>
    </row>
    <row r="1070" spans="1:1 1058:1073">
      <c r="A1070" s="16" t="s">
        <v>3068</v>
      </c>
      <c r="AOE1070">
        <v>8.7799999999999994</v>
      </c>
    </row>
    <row r="1071" spans="1:1 1058:1073">
      <c r="A1071" s="16" t="s">
        <v>3069</v>
      </c>
      <c r="AOF1071">
        <v>8.7799999999999994</v>
      </c>
    </row>
    <row r="1072" spans="1:1 1058:1073">
      <c r="A1072" s="16" t="s">
        <v>3070</v>
      </c>
      <c r="AOG1072">
        <v>8.7799999999999994</v>
      </c>
    </row>
    <row r="1073" spans="1:613 1074:1101">
      <c r="A1073" s="16" t="s">
        <v>3071</v>
      </c>
      <c r="AOH1073">
        <v>8.7799999999999994</v>
      </c>
    </row>
    <row r="1074" spans="1:613 1074:1101">
      <c r="A1074" s="16" t="s">
        <v>3072</v>
      </c>
      <c r="AOI1074">
        <v>8.7799999999999994</v>
      </c>
    </row>
    <row r="1075" spans="1:613 1074:1101">
      <c r="A1075" s="16" t="s">
        <v>3073</v>
      </c>
      <c r="AOJ1075">
        <v>8.7799999999999994</v>
      </c>
    </row>
    <row r="1076" spans="1:613 1074:1101">
      <c r="A1076" s="16" t="s">
        <v>3074</v>
      </c>
    </row>
    <row r="1077" spans="1:613 1074:1101">
      <c r="A1077" s="16" t="s">
        <v>3075</v>
      </c>
      <c r="T1077">
        <v>10</v>
      </c>
      <c r="NR1077">
        <v>10</v>
      </c>
      <c r="OT1077">
        <v>10</v>
      </c>
      <c r="VG1077">
        <v>10</v>
      </c>
      <c r="AOL1077">
        <v>8.56</v>
      </c>
    </row>
    <row r="1078" spans="1:613 1074:1101">
      <c r="A1078" s="16" t="s">
        <v>3076</v>
      </c>
      <c r="WO1078">
        <v>10</v>
      </c>
      <c r="AOM1078">
        <v>8.56</v>
      </c>
      <c r="APB1078">
        <v>8.56</v>
      </c>
    </row>
    <row r="1079" spans="1:613 1074:1101">
      <c r="A1079" s="16" t="s">
        <v>3077</v>
      </c>
      <c r="AON1079">
        <v>8.56</v>
      </c>
    </row>
    <row r="1080" spans="1:613 1074:1101">
      <c r="A1080" s="16" t="s">
        <v>3078</v>
      </c>
      <c r="AOO1080">
        <v>8.56</v>
      </c>
    </row>
    <row r="1081" spans="1:613 1074:1101">
      <c r="A1081" s="16" t="s">
        <v>3079</v>
      </c>
      <c r="AOP1081">
        <v>8.56</v>
      </c>
    </row>
    <row r="1082" spans="1:613 1074:1101">
      <c r="A1082" s="16" t="s">
        <v>3080</v>
      </c>
      <c r="AOQ1082">
        <v>8.56</v>
      </c>
    </row>
    <row r="1083" spans="1:613 1074:1101">
      <c r="A1083" s="16" t="s">
        <v>3081</v>
      </c>
      <c r="AOR1083">
        <v>8.56</v>
      </c>
      <c r="AOT1083">
        <v>8.56</v>
      </c>
    </row>
    <row r="1084" spans="1:613 1074:1101">
      <c r="A1084" s="16" t="s">
        <v>3082</v>
      </c>
      <c r="AOS1084">
        <v>8.56</v>
      </c>
    </row>
    <row r="1085" spans="1:613 1074:1101">
      <c r="A1085" s="16" t="s">
        <v>3083</v>
      </c>
      <c r="API1085">
        <v>8.56</v>
      </c>
    </row>
    <row r="1086" spans="1:613 1074:1101">
      <c r="A1086" s="16" t="s">
        <v>3084</v>
      </c>
      <c r="AOU1086">
        <v>8.56</v>
      </c>
    </row>
    <row r="1087" spans="1:613 1074:1101">
      <c r="A1087" s="16" t="s">
        <v>3085</v>
      </c>
      <c r="AOV1087">
        <v>8.56</v>
      </c>
    </row>
    <row r="1088" spans="1:613 1074:1101">
      <c r="A1088" s="16" t="s">
        <v>3086</v>
      </c>
      <c r="AOW1088">
        <v>8.56</v>
      </c>
    </row>
    <row r="1089" spans="1:500 1090:1105">
      <c r="A1089" s="16" t="s">
        <v>3087</v>
      </c>
      <c r="AOX1089">
        <v>8.56</v>
      </c>
    </row>
    <row r="1090" spans="1:500 1090:1105">
      <c r="A1090" s="16" t="s">
        <v>3088</v>
      </c>
      <c r="AOY1090">
        <v>8.56</v>
      </c>
    </row>
    <row r="1091" spans="1:500 1090:1105">
      <c r="A1091" s="16" t="s">
        <v>3089</v>
      </c>
      <c r="AOZ1091">
        <v>8.56</v>
      </c>
    </row>
    <row r="1092" spans="1:500 1090:1105">
      <c r="A1092" s="16" t="s">
        <v>3090</v>
      </c>
      <c r="APA1092">
        <v>8.56</v>
      </c>
    </row>
    <row r="1093" spans="1:500 1090:1105">
      <c r="A1093" s="16" t="s">
        <v>3091</v>
      </c>
    </row>
    <row r="1094" spans="1:500 1090:1105">
      <c r="A1094" s="16" t="s">
        <v>3092</v>
      </c>
      <c r="APC1094">
        <v>8.56</v>
      </c>
    </row>
    <row r="1095" spans="1:500 1090:1105">
      <c r="A1095" s="16" t="s">
        <v>3093</v>
      </c>
      <c r="APD1095">
        <v>8.56</v>
      </c>
    </row>
    <row r="1096" spans="1:500 1090:1105">
      <c r="A1096" s="16" t="s">
        <v>3094</v>
      </c>
      <c r="APE1096">
        <v>8.56</v>
      </c>
    </row>
    <row r="1097" spans="1:500 1090:1105">
      <c r="A1097" s="16" t="s">
        <v>3095</v>
      </c>
      <c r="APF1097">
        <v>8.56</v>
      </c>
    </row>
    <row r="1098" spans="1:500 1090:1105">
      <c r="A1098" s="16" t="s">
        <v>3096</v>
      </c>
      <c r="APG1098">
        <v>8.56</v>
      </c>
    </row>
    <row r="1099" spans="1:500 1090:1105">
      <c r="A1099" s="16" t="s">
        <v>3097</v>
      </c>
      <c r="APH1099">
        <v>8.56</v>
      </c>
    </row>
    <row r="1100" spans="1:500 1090:1105">
      <c r="A1100" s="16" t="s">
        <v>3098</v>
      </c>
      <c r="API1100">
        <v>8.56</v>
      </c>
    </row>
    <row r="1101" spans="1:500 1090:1105">
      <c r="A1101" s="16" t="s">
        <v>3099</v>
      </c>
    </row>
    <row r="1102" spans="1:500 1090:1105">
      <c r="A1102" s="16" t="s">
        <v>3100</v>
      </c>
      <c r="APK1102">
        <v>3.91</v>
      </c>
    </row>
    <row r="1103" spans="1:500 1090:1105">
      <c r="A1103" s="16" t="s">
        <v>3101</v>
      </c>
      <c r="APL1103">
        <v>3.91</v>
      </c>
    </row>
    <row r="1104" spans="1:500 1090:1105">
      <c r="A1104" s="16" t="s">
        <v>3102</v>
      </c>
      <c r="SF1104">
        <v>10</v>
      </c>
      <c r="APM1104">
        <v>3.91</v>
      </c>
    </row>
    <row r="1105" spans="1:987 1106:1112">
      <c r="A1105" s="16" t="s">
        <v>3103</v>
      </c>
      <c r="SG1105">
        <v>10</v>
      </c>
      <c r="APN1105">
        <v>3.91</v>
      </c>
    </row>
    <row r="1106" spans="1:987 1106:1112">
      <c r="A1106" s="16" t="s">
        <v>3104</v>
      </c>
      <c r="SH1106">
        <v>10</v>
      </c>
      <c r="APO1106">
        <v>3.91</v>
      </c>
    </row>
    <row r="1107" spans="1:987 1106:1112">
      <c r="A1107" s="16" t="s">
        <v>3105</v>
      </c>
      <c r="AKK1107">
        <v>7</v>
      </c>
      <c r="APP1107">
        <v>3.91</v>
      </c>
    </row>
    <row r="1108" spans="1:987 1106:1112">
      <c r="A1108" s="16" t="s">
        <v>3106</v>
      </c>
      <c r="AKL1108">
        <v>7</v>
      </c>
      <c r="APQ1108">
        <v>3.91</v>
      </c>
    </row>
    <row r="1109" spans="1:987 1106:1112">
      <c r="A1109" s="16" t="s">
        <v>3107</v>
      </c>
      <c r="ZQ1109">
        <v>10</v>
      </c>
      <c r="AKU1109">
        <v>7</v>
      </c>
      <c r="APR1109">
        <v>3.91</v>
      </c>
    </row>
    <row r="1110" spans="1:987 1106:1112">
      <c r="A1110" s="16" t="s">
        <v>3108</v>
      </c>
      <c r="ZO1110">
        <v>10</v>
      </c>
      <c r="AKW1110">
        <v>7</v>
      </c>
      <c r="APS1110">
        <v>3.91</v>
      </c>
    </row>
    <row r="1111" spans="1:987 1106:1112">
      <c r="A1111" s="16" t="s">
        <v>3109</v>
      </c>
      <c r="ZM1111">
        <v>10</v>
      </c>
      <c r="AKX1111">
        <v>7</v>
      </c>
      <c r="APT1111">
        <v>3.91</v>
      </c>
    </row>
    <row r="1112" spans="1:987 1106:1112">
      <c r="A1112" s="16" t="s">
        <v>3110</v>
      </c>
      <c r="OP1112">
        <v>10</v>
      </c>
      <c r="ZL1112">
        <v>10</v>
      </c>
      <c r="AKY1112">
        <v>7</v>
      </c>
    </row>
    <row r="1113" spans="1:987 1106:1112">
      <c r="A1113" s="16" t="s">
        <v>3111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F91"/>
  <sheetViews>
    <sheetView topLeftCell="A61" zoomScale="130" zoomScaleNormal="130" workbookViewId="0">
      <selection activeCell="C75" sqref="C75"/>
    </sheetView>
  </sheetViews>
  <sheetFormatPr baseColWidth="10" defaultRowHeight="13"/>
  <cols>
    <col min="1" max="1" width="20.83203125" bestFit="1" customWidth="1"/>
    <col min="2" max="2" width="17.1640625" bestFit="1" customWidth="1"/>
  </cols>
  <sheetData>
    <row r="1" spans="1:6">
      <c r="A1" s="19" t="s">
        <v>1524</v>
      </c>
      <c r="B1" s="19"/>
      <c r="C1" s="19"/>
      <c r="D1" s="19"/>
      <c r="E1" s="19"/>
      <c r="F1" s="19"/>
    </row>
    <row r="2" spans="1:6">
      <c r="A2" s="16" t="s">
        <v>1513</v>
      </c>
      <c r="B2" s="16" t="s">
        <v>1514</v>
      </c>
      <c r="C2" s="16" t="s">
        <v>1511</v>
      </c>
      <c r="D2" s="16" t="s">
        <v>1512</v>
      </c>
      <c r="E2" s="16" t="s">
        <v>1518</v>
      </c>
      <c r="F2" s="16" t="s">
        <v>1519</v>
      </c>
    </row>
    <row r="3" spans="1:6">
      <c r="A3" t="s">
        <v>1515</v>
      </c>
      <c r="B3" t="s">
        <v>1436</v>
      </c>
      <c r="C3">
        <v>11</v>
      </c>
      <c r="D3">
        <v>31</v>
      </c>
      <c r="E3">
        <f>D3/C3</f>
        <v>2.8181818181818183</v>
      </c>
      <c r="F3" t="s">
        <v>1520</v>
      </c>
    </row>
    <row r="4" spans="1:6">
      <c r="A4" t="s">
        <v>1516</v>
      </c>
      <c r="B4" t="s">
        <v>1523</v>
      </c>
      <c r="C4">
        <v>7</v>
      </c>
      <c r="D4">
        <v>18</v>
      </c>
      <c r="E4">
        <f>D4/C4</f>
        <v>2.5714285714285716</v>
      </c>
      <c r="F4" t="s">
        <v>1520</v>
      </c>
    </row>
    <row r="5" spans="1:6">
      <c r="A5" t="s">
        <v>1516</v>
      </c>
      <c r="B5" t="s">
        <v>1517</v>
      </c>
      <c r="C5">
        <v>5</v>
      </c>
      <c r="D5">
        <v>17</v>
      </c>
      <c r="E5">
        <f>D5/C5</f>
        <v>3.4</v>
      </c>
      <c r="F5" t="s">
        <v>1520</v>
      </c>
    </row>
    <row r="6" spans="1:6">
      <c r="A6" t="s">
        <v>1436</v>
      </c>
      <c r="B6" t="s">
        <v>1522</v>
      </c>
      <c r="C6">
        <v>6</v>
      </c>
      <c r="D6">
        <v>18</v>
      </c>
      <c r="E6">
        <f>D6/C6</f>
        <v>3</v>
      </c>
      <c r="F6" t="s">
        <v>1521</v>
      </c>
    </row>
    <row r="7" spans="1:6">
      <c r="E7">
        <f>SUMPRODUCT(C3:C6,E3:E6)/SUM(C3:C6)</f>
        <v>2.896551724137931</v>
      </c>
    </row>
    <row r="9" spans="1:6">
      <c r="A9" s="19" t="s">
        <v>1525</v>
      </c>
      <c r="B9" s="19"/>
      <c r="C9" s="19"/>
      <c r="D9" s="19"/>
      <c r="E9" s="19"/>
      <c r="F9" s="19"/>
    </row>
    <row r="10" spans="1:6">
      <c r="A10" s="16" t="s">
        <v>1513</v>
      </c>
      <c r="B10" s="16" t="s">
        <v>1514</v>
      </c>
      <c r="C10" s="16" t="s">
        <v>1511</v>
      </c>
      <c r="D10" s="16" t="s">
        <v>1512</v>
      </c>
      <c r="E10" s="16" t="s">
        <v>1518</v>
      </c>
      <c r="F10" s="16" t="s">
        <v>1519</v>
      </c>
    </row>
    <row r="11" spans="1:6">
      <c r="A11" t="s">
        <v>1526</v>
      </c>
      <c r="B11" t="s">
        <v>560</v>
      </c>
      <c r="C11">
        <v>12</v>
      </c>
      <c r="D11">
        <v>29</v>
      </c>
      <c r="E11">
        <f>D11/C11</f>
        <v>2.4166666666666665</v>
      </c>
      <c r="F11" t="s">
        <v>1520</v>
      </c>
    </row>
    <row r="12" spans="1:6">
      <c r="A12" t="s">
        <v>1527</v>
      </c>
      <c r="B12" t="s">
        <v>1267</v>
      </c>
      <c r="C12">
        <v>5</v>
      </c>
      <c r="D12">
        <v>9</v>
      </c>
      <c r="E12">
        <f>D12/C12</f>
        <v>1.8</v>
      </c>
      <c r="F12" t="s">
        <v>1520</v>
      </c>
    </row>
    <row r="13" spans="1:6">
      <c r="A13" t="s">
        <v>1267</v>
      </c>
      <c r="B13" t="s">
        <v>1528</v>
      </c>
      <c r="C13">
        <v>7</v>
      </c>
      <c r="D13">
        <v>19</v>
      </c>
      <c r="E13">
        <f>D13/C13</f>
        <v>2.7142857142857144</v>
      </c>
      <c r="F13" t="s">
        <v>1521</v>
      </c>
    </row>
    <row r="14" spans="1:6">
      <c r="A14" t="s">
        <v>1528</v>
      </c>
      <c r="B14" t="s">
        <v>1529</v>
      </c>
      <c r="C14">
        <v>5</v>
      </c>
      <c r="D14">
        <v>12</v>
      </c>
      <c r="E14">
        <f>D14/C14</f>
        <v>2.4</v>
      </c>
      <c r="F14" t="s">
        <v>1520</v>
      </c>
    </row>
    <row r="15" spans="1:6">
      <c r="A15" t="s">
        <v>1530</v>
      </c>
      <c r="B15" t="s">
        <v>1531</v>
      </c>
      <c r="C15">
        <v>4</v>
      </c>
      <c r="D15">
        <v>13</v>
      </c>
      <c r="E15">
        <f>D15/C15</f>
        <v>3.25</v>
      </c>
      <c r="F15" t="s">
        <v>1520</v>
      </c>
    </row>
    <row r="16" spans="1:6">
      <c r="E16">
        <f>SUMPRODUCT(E11:E15,C11:C15)/SUM(C11:C15)</f>
        <v>2.4848484848484849</v>
      </c>
    </row>
    <row r="18" spans="1:6">
      <c r="A18" s="19" t="s">
        <v>1532</v>
      </c>
      <c r="B18" s="19"/>
      <c r="C18" s="19"/>
      <c r="D18" s="19"/>
      <c r="E18" s="19"/>
      <c r="F18" s="19"/>
    </row>
    <row r="19" spans="1:6">
      <c r="A19" s="16" t="s">
        <v>1513</v>
      </c>
      <c r="B19" s="16" t="s">
        <v>1514</v>
      </c>
      <c r="C19" s="16" t="s">
        <v>1511</v>
      </c>
      <c r="D19" s="16" t="s">
        <v>1512</v>
      </c>
      <c r="E19" s="16" t="s">
        <v>1518</v>
      </c>
      <c r="F19" s="16" t="s">
        <v>1519</v>
      </c>
    </row>
    <row r="20" spans="1:6">
      <c r="A20" t="s">
        <v>572</v>
      </c>
      <c r="B20" t="s">
        <v>498</v>
      </c>
      <c r="C20">
        <v>13</v>
      </c>
      <c r="D20">
        <v>40</v>
      </c>
      <c r="E20">
        <f>D20/C20</f>
        <v>3.0769230769230771</v>
      </c>
      <c r="F20" t="s">
        <v>1520</v>
      </c>
    </row>
    <row r="21" spans="1:6">
      <c r="A21" t="s">
        <v>498</v>
      </c>
      <c r="B21" t="s">
        <v>1533</v>
      </c>
      <c r="C21">
        <v>13</v>
      </c>
      <c r="D21">
        <v>38</v>
      </c>
      <c r="E21">
        <f>D21/C21</f>
        <v>2.9230769230769229</v>
      </c>
      <c r="F21" t="s">
        <v>1521</v>
      </c>
    </row>
    <row r="22" spans="1:6">
      <c r="A22" t="s">
        <v>1534</v>
      </c>
      <c r="B22" t="s">
        <v>1535</v>
      </c>
      <c r="C22">
        <v>13</v>
      </c>
      <c r="D22">
        <v>45</v>
      </c>
      <c r="E22">
        <f>D22/C22</f>
        <v>3.4615384615384617</v>
      </c>
      <c r="F22" t="s">
        <v>1520</v>
      </c>
    </row>
    <row r="23" spans="1:6">
      <c r="A23" t="s">
        <v>1537</v>
      </c>
      <c r="B23" t="s">
        <v>1536</v>
      </c>
      <c r="C23">
        <v>13</v>
      </c>
      <c r="D23">
        <v>48</v>
      </c>
      <c r="E23">
        <f>D23/C23</f>
        <v>3.6923076923076925</v>
      </c>
      <c r="F23" t="s">
        <v>1520</v>
      </c>
    </row>
    <row r="24" spans="1:6">
      <c r="E24">
        <f>SUMPRODUCT(E20:E23,C20:C23)/SUM(C20:C23)</f>
        <v>3.2884615384615383</v>
      </c>
    </row>
    <row r="26" spans="1:6">
      <c r="A26" s="19" t="s">
        <v>1538</v>
      </c>
      <c r="B26" s="19"/>
      <c r="C26" s="19"/>
      <c r="D26" s="19"/>
      <c r="E26" s="19"/>
      <c r="F26" s="19"/>
    </row>
    <row r="27" spans="1:6">
      <c r="A27" s="16" t="s">
        <v>1513</v>
      </c>
      <c r="B27" s="16" t="s">
        <v>1514</v>
      </c>
      <c r="C27" s="16" t="s">
        <v>1511</v>
      </c>
      <c r="D27" s="16" t="s">
        <v>1512</v>
      </c>
      <c r="E27" s="16" t="s">
        <v>1518</v>
      </c>
      <c r="F27" s="16" t="s">
        <v>1519</v>
      </c>
    </row>
    <row r="28" spans="1:6">
      <c r="A28" t="s">
        <v>667</v>
      </c>
      <c r="B28" t="s">
        <v>1539</v>
      </c>
      <c r="C28">
        <v>12</v>
      </c>
      <c r="D28">
        <v>50</v>
      </c>
      <c r="E28">
        <f t="shared" ref="E28:E33" si="0">D28/C28</f>
        <v>4.166666666666667</v>
      </c>
      <c r="F28" t="s">
        <v>1520</v>
      </c>
    </row>
    <row r="29" spans="1:6">
      <c r="A29" t="s">
        <v>1539</v>
      </c>
      <c r="B29" t="s">
        <v>1540</v>
      </c>
      <c r="C29">
        <v>4</v>
      </c>
      <c r="D29">
        <v>21</v>
      </c>
      <c r="E29">
        <f t="shared" si="0"/>
        <v>5.25</v>
      </c>
      <c r="F29" t="s">
        <v>1521</v>
      </c>
    </row>
    <row r="30" spans="1:6">
      <c r="A30" t="s">
        <v>1540</v>
      </c>
      <c r="B30" t="s">
        <v>704</v>
      </c>
      <c r="C30">
        <v>12</v>
      </c>
      <c r="D30">
        <v>40</v>
      </c>
      <c r="E30">
        <f t="shared" si="0"/>
        <v>3.3333333333333335</v>
      </c>
      <c r="F30" t="s">
        <v>1520</v>
      </c>
    </row>
    <row r="31" spans="1:6">
      <c r="A31" t="s">
        <v>1540</v>
      </c>
      <c r="B31" t="s">
        <v>712</v>
      </c>
      <c r="C31">
        <v>12</v>
      </c>
      <c r="D31">
        <v>48</v>
      </c>
      <c r="E31">
        <f t="shared" si="0"/>
        <v>4</v>
      </c>
      <c r="F31" t="s">
        <v>1520</v>
      </c>
    </row>
    <row r="32" spans="1:6">
      <c r="A32" t="s">
        <v>712</v>
      </c>
      <c r="B32" t="s">
        <v>704</v>
      </c>
      <c r="C32">
        <v>9</v>
      </c>
      <c r="D32">
        <v>30</v>
      </c>
      <c r="E32">
        <f t="shared" si="0"/>
        <v>3.3333333333333335</v>
      </c>
      <c r="F32" t="s">
        <v>1520</v>
      </c>
    </row>
    <row r="33" spans="1:6">
      <c r="A33" t="s">
        <v>704</v>
      </c>
      <c r="B33" t="s">
        <v>122</v>
      </c>
      <c r="C33">
        <v>9</v>
      </c>
      <c r="D33">
        <v>43</v>
      </c>
      <c r="E33">
        <f t="shared" si="0"/>
        <v>4.7777777777777777</v>
      </c>
      <c r="F33" t="s">
        <v>1520</v>
      </c>
    </row>
    <row r="34" spans="1:6">
      <c r="E34">
        <f>SUMPRODUCT(E28:E33,C28:C33)/SUM(C28:C33)</f>
        <v>4</v>
      </c>
    </row>
    <row r="36" spans="1:6">
      <c r="A36" s="19" t="s">
        <v>1541</v>
      </c>
      <c r="B36" s="19"/>
      <c r="C36" s="19"/>
      <c r="D36" s="19"/>
      <c r="E36" s="19"/>
      <c r="F36" s="19"/>
    </row>
    <row r="37" spans="1:6">
      <c r="A37" s="16" t="s">
        <v>1513</v>
      </c>
      <c r="B37" s="16" t="s">
        <v>1514</v>
      </c>
      <c r="C37" s="16" t="s">
        <v>1511</v>
      </c>
      <c r="D37" s="16" t="s">
        <v>1512</v>
      </c>
      <c r="E37" s="16" t="s">
        <v>1518</v>
      </c>
      <c r="F37" s="16" t="s">
        <v>1519</v>
      </c>
    </row>
    <row r="38" spans="1:6">
      <c r="A38" t="s">
        <v>1542</v>
      </c>
      <c r="B38" t="s">
        <v>1543</v>
      </c>
      <c r="C38">
        <v>9</v>
      </c>
      <c r="D38">
        <v>29</v>
      </c>
      <c r="E38">
        <f>D38/C38</f>
        <v>3.2222222222222223</v>
      </c>
      <c r="F38" t="s">
        <v>1520</v>
      </c>
    </row>
    <row r="39" spans="1:6">
      <c r="A39" t="s">
        <v>1542</v>
      </c>
      <c r="B39" t="s">
        <v>744</v>
      </c>
      <c r="C39">
        <v>12</v>
      </c>
      <c r="D39">
        <v>52</v>
      </c>
      <c r="E39">
        <f>D39/C39</f>
        <v>4.333333333333333</v>
      </c>
      <c r="F39" t="s">
        <v>1520</v>
      </c>
    </row>
    <row r="40" spans="1:6">
      <c r="E40">
        <f>SUMPRODUCT(E38:E39,C38:C39)/SUM(C38:C39)</f>
        <v>3.8571428571428572</v>
      </c>
    </row>
    <row r="42" spans="1:6">
      <c r="A42" s="19" t="s">
        <v>519</v>
      </c>
      <c r="B42" s="19"/>
      <c r="C42" s="19"/>
      <c r="D42" s="19"/>
      <c r="E42" s="19"/>
      <c r="F42" s="19"/>
    </row>
    <row r="43" spans="1:6">
      <c r="A43" s="16" t="s">
        <v>1513</v>
      </c>
      <c r="B43" s="16" t="s">
        <v>1514</v>
      </c>
      <c r="C43" s="16" t="s">
        <v>1511</v>
      </c>
      <c r="D43" s="16" t="s">
        <v>1512</v>
      </c>
      <c r="E43" s="16" t="s">
        <v>1518</v>
      </c>
      <c r="F43" s="16" t="s">
        <v>1519</v>
      </c>
    </row>
    <row r="44" spans="1:6">
      <c r="A44" t="s">
        <v>1545</v>
      </c>
      <c r="B44" t="s">
        <v>1546</v>
      </c>
      <c r="C44">
        <v>8</v>
      </c>
      <c r="D44">
        <v>16</v>
      </c>
      <c r="E44">
        <f>D44/C44</f>
        <v>2</v>
      </c>
      <c r="F44" t="s">
        <v>1520</v>
      </c>
    </row>
    <row r="45" spans="1:6">
      <c r="A45" t="s">
        <v>1545</v>
      </c>
      <c r="B45" t="s">
        <v>1547</v>
      </c>
      <c r="C45">
        <v>12</v>
      </c>
      <c r="D45">
        <v>24</v>
      </c>
      <c r="E45">
        <f>D45/C45</f>
        <v>2</v>
      </c>
      <c r="F45" t="s">
        <v>1520</v>
      </c>
    </row>
    <row r="46" spans="1:6">
      <c r="E46">
        <f>SUMPRODUCT(E44:E45,C44:C45)/SUM(C44:C45)</f>
        <v>2</v>
      </c>
    </row>
    <row r="48" spans="1:6">
      <c r="A48" s="19" t="s">
        <v>653</v>
      </c>
      <c r="B48" s="19"/>
      <c r="C48" s="19"/>
      <c r="D48" s="19"/>
      <c r="E48" s="19"/>
      <c r="F48" s="19"/>
    </row>
    <row r="49" spans="1:6">
      <c r="A49" s="16" t="s">
        <v>1513</v>
      </c>
      <c r="B49" s="16" t="s">
        <v>1514</v>
      </c>
      <c r="C49" s="16" t="s">
        <v>1511</v>
      </c>
      <c r="D49" s="16" t="s">
        <v>1512</v>
      </c>
      <c r="E49" s="16" t="s">
        <v>1518</v>
      </c>
      <c r="F49" s="16" t="s">
        <v>1519</v>
      </c>
    </row>
    <row r="50" spans="1:6">
      <c r="A50" t="s">
        <v>1548</v>
      </c>
      <c r="B50" t="s">
        <v>1549</v>
      </c>
      <c r="C50">
        <v>9</v>
      </c>
      <c r="D50">
        <v>31</v>
      </c>
      <c r="E50">
        <f>D50/C50</f>
        <v>3.4444444444444446</v>
      </c>
      <c r="F50" t="s">
        <v>1520</v>
      </c>
    </row>
    <row r="51" spans="1:6">
      <c r="A51" t="s">
        <v>1549</v>
      </c>
      <c r="B51" t="s">
        <v>1006</v>
      </c>
      <c r="C51">
        <v>5</v>
      </c>
      <c r="D51">
        <v>16</v>
      </c>
      <c r="E51">
        <f>D51/C51</f>
        <v>3.2</v>
      </c>
      <c r="F51" t="s">
        <v>1520</v>
      </c>
    </row>
    <row r="52" spans="1:6">
      <c r="A52" t="s">
        <v>1549</v>
      </c>
      <c r="B52" t="s">
        <v>667</v>
      </c>
      <c r="C52">
        <v>9</v>
      </c>
      <c r="D52">
        <v>31</v>
      </c>
      <c r="E52">
        <f t="shared" ref="E52:E53" si="1">D52/C52</f>
        <v>3.4444444444444446</v>
      </c>
    </row>
    <row r="53" spans="1:6">
      <c r="A53" t="s">
        <v>1550</v>
      </c>
      <c r="B53" t="s">
        <v>1551</v>
      </c>
      <c r="C53">
        <v>10</v>
      </c>
      <c r="D53">
        <v>26</v>
      </c>
      <c r="E53">
        <f t="shared" si="1"/>
        <v>2.6</v>
      </c>
    </row>
    <row r="54" spans="1:6">
      <c r="E54">
        <f>SUMPRODUCT(E50:E53,C50:C53)/SUM(C50:C53)</f>
        <v>3.1515151515151514</v>
      </c>
    </row>
    <row r="56" spans="1:6">
      <c r="A56" s="19" t="s">
        <v>547</v>
      </c>
      <c r="B56" s="19"/>
      <c r="C56" s="19"/>
      <c r="D56" s="19"/>
      <c r="E56" s="19"/>
      <c r="F56" s="19"/>
    </row>
    <row r="57" spans="1:6">
      <c r="A57" s="16" t="s">
        <v>1513</v>
      </c>
      <c r="B57" s="16" t="s">
        <v>1514</v>
      </c>
      <c r="C57" s="16" t="s">
        <v>1511</v>
      </c>
      <c r="D57" s="16" t="s">
        <v>1512</v>
      </c>
      <c r="E57" s="16" t="s">
        <v>1518</v>
      </c>
      <c r="F57" s="16" t="s">
        <v>1519</v>
      </c>
    </row>
    <row r="58" spans="1:6">
      <c r="A58" t="s">
        <v>1050</v>
      </c>
      <c r="B58" t="s">
        <v>1552</v>
      </c>
      <c r="C58">
        <v>14</v>
      </c>
      <c r="D58">
        <v>57</v>
      </c>
      <c r="E58">
        <f>D58/C58</f>
        <v>4.0714285714285712</v>
      </c>
      <c r="F58" t="s">
        <v>1520</v>
      </c>
    </row>
    <row r="59" spans="1:6">
      <c r="A59" t="s">
        <v>1552</v>
      </c>
      <c r="B59" t="s">
        <v>1067</v>
      </c>
      <c r="C59">
        <v>5</v>
      </c>
      <c r="D59">
        <v>19</v>
      </c>
      <c r="E59">
        <f>D59/C59</f>
        <v>3.8</v>
      </c>
      <c r="F59" t="s">
        <v>1520</v>
      </c>
    </row>
    <row r="60" spans="1:6">
      <c r="A60" t="s">
        <v>1553</v>
      </c>
      <c r="B60" t="s">
        <v>1554</v>
      </c>
      <c r="C60">
        <v>10</v>
      </c>
      <c r="D60">
        <v>56</v>
      </c>
      <c r="E60">
        <f>D60/C60</f>
        <v>5.6</v>
      </c>
      <c r="F60" t="s">
        <v>1520</v>
      </c>
    </row>
    <row r="61" spans="1:6">
      <c r="A61" t="s">
        <v>1552</v>
      </c>
      <c r="B61" t="s">
        <v>1554</v>
      </c>
      <c r="C61">
        <v>14</v>
      </c>
      <c r="D61">
        <v>47</v>
      </c>
      <c r="E61">
        <f>D61/C61</f>
        <v>3.3571428571428572</v>
      </c>
      <c r="F61" t="s">
        <v>1520</v>
      </c>
    </row>
    <row r="62" spans="1:6">
      <c r="E62">
        <f>SUMPRODUCT(E58:E61,C58:C61)/SUM(C58:C61)</f>
        <v>4.1627906976744189</v>
      </c>
    </row>
    <row r="64" spans="1:6">
      <c r="A64" s="19" t="s">
        <v>545</v>
      </c>
      <c r="B64" s="19"/>
      <c r="C64" s="19"/>
      <c r="D64" s="19"/>
      <c r="E64" s="19"/>
      <c r="F64" s="19"/>
    </row>
    <row r="65" spans="1:6">
      <c r="A65" s="16" t="s">
        <v>1513</v>
      </c>
      <c r="B65" s="16" t="s">
        <v>1514</v>
      </c>
      <c r="C65" s="16" t="s">
        <v>1511</v>
      </c>
      <c r="D65" s="16" t="s">
        <v>1512</v>
      </c>
      <c r="E65" s="16" t="s">
        <v>1518</v>
      </c>
      <c r="F65" s="16" t="s">
        <v>1519</v>
      </c>
    </row>
    <row r="66" spans="1:6">
      <c r="A66" t="s">
        <v>1523</v>
      </c>
      <c r="B66" t="s">
        <v>1555</v>
      </c>
      <c r="C66">
        <v>4</v>
      </c>
      <c r="D66">
        <v>13</v>
      </c>
      <c r="E66">
        <f>D66/C66</f>
        <v>3.25</v>
      </c>
      <c r="F66" t="s">
        <v>1520</v>
      </c>
    </row>
    <row r="67" spans="1:6">
      <c r="A67" t="s">
        <v>1556</v>
      </c>
      <c r="B67" t="s">
        <v>1553</v>
      </c>
      <c r="C67">
        <v>14</v>
      </c>
      <c r="D67">
        <v>43</v>
      </c>
      <c r="E67">
        <f>D67/C67</f>
        <v>3.0714285714285716</v>
      </c>
      <c r="F67" t="s">
        <v>1520</v>
      </c>
    </row>
    <row r="68" spans="1:6">
      <c r="A68" t="s">
        <v>1553</v>
      </c>
      <c r="B68" t="s">
        <v>1557</v>
      </c>
      <c r="C68">
        <v>16</v>
      </c>
      <c r="D68">
        <v>53</v>
      </c>
      <c r="E68">
        <f>D68/C68</f>
        <v>3.3125</v>
      </c>
      <c r="F68" t="s">
        <v>1520</v>
      </c>
    </row>
    <row r="69" spans="1:6">
      <c r="E69">
        <f>SUMPRODUCT(E66:E68,C66:C68)/SUM(C66:C68)</f>
        <v>3.2058823529411766</v>
      </c>
    </row>
    <row r="71" spans="1:6">
      <c r="A71" s="19" t="s">
        <v>246</v>
      </c>
      <c r="B71" s="19"/>
      <c r="C71" s="19"/>
      <c r="D71" s="19"/>
      <c r="E71" s="19"/>
      <c r="F71" s="19"/>
    </row>
    <row r="72" spans="1:6">
      <c r="A72" s="16" t="s">
        <v>1513</v>
      </c>
      <c r="B72" s="16" t="s">
        <v>1514</v>
      </c>
      <c r="C72" s="16" t="s">
        <v>1511</v>
      </c>
      <c r="D72" s="16" t="s">
        <v>1512</v>
      </c>
      <c r="E72" s="16" t="s">
        <v>1518</v>
      </c>
      <c r="F72" s="16" t="s">
        <v>1519</v>
      </c>
    </row>
    <row r="73" spans="1:6">
      <c r="A73" t="s">
        <v>1554</v>
      </c>
      <c r="B73" t="s">
        <v>1558</v>
      </c>
      <c r="C73">
        <v>19</v>
      </c>
      <c r="D73">
        <v>76</v>
      </c>
      <c r="E73">
        <f>D73/C73</f>
        <v>4</v>
      </c>
      <c r="F73" t="s">
        <v>1520</v>
      </c>
    </row>
    <row r="74" spans="1:6">
      <c r="A74" t="s">
        <v>1148</v>
      </c>
      <c r="B74" t="s">
        <v>1558</v>
      </c>
      <c r="C74">
        <v>10</v>
      </c>
      <c r="D74">
        <v>71</v>
      </c>
      <c r="E74">
        <f>D74/C74</f>
        <v>7.1</v>
      </c>
      <c r="F74" t="s">
        <v>1520</v>
      </c>
    </row>
    <row r="75" spans="1:6">
      <c r="A75" t="s">
        <v>1158</v>
      </c>
      <c r="B75" t="s">
        <v>1558</v>
      </c>
      <c r="C75">
        <v>16</v>
      </c>
      <c r="D75">
        <v>67</v>
      </c>
      <c r="E75">
        <f>D75/C75</f>
        <v>4.1875</v>
      </c>
      <c r="F75" t="s">
        <v>1520</v>
      </c>
    </row>
    <row r="76" spans="1:6">
      <c r="E76">
        <f>SUMPRODUCT(E73:E75,C73:C75)/SUM(C73:C75)</f>
        <v>4.7555555555555555</v>
      </c>
    </row>
    <row r="78" spans="1:6">
      <c r="A78" s="19" t="s">
        <v>746</v>
      </c>
      <c r="B78" s="19"/>
      <c r="C78" s="19"/>
      <c r="D78" s="19"/>
      <c r="E78" s="19"/>
      <c r="F78" s="19"/>
    </row>
    <row r="79" spans="1:6">
      <c r="A79" s="16" t="s">
        <v>1513</v>
      </c>
      <c r="B79" s="16" t="s">
        <v>1514</v>
      </c>
      <c r="C79" s="16" t="s">
        <v>1511</v>
      </c>
      <c r="D79" s="16" t="s">
        <v>1512</v>
      </c>
      <c r="E79" s="16" t="s">
        <v>1518</v>
      </c>
      <c r="F79" s="16" t="s">
        <v>1519</v>
      </c>
    </row>
    <row r="80" spans="1:6">
      <c r="A80" t="s">
        <v>1559</v>
      </c>
      <c r="B80" t="s">
        <v>1560</v>
      </c>
      <c r="C80">
        <v>5</v>
      </c>
      <c r="D80">
        <v>26</v>
      </c>
      <c r="E80">
        <f>D80/C80</f>
        <v>5.2</v>
      </c>
      <c r="F80" t="s">
        <v>1520</v>
      </c>
    </row>
    <row r="81" spans="1:6">
      <c r="A81" t="s">
        <v>1559</v>
      </c>
      <c r="B81" t="s">
        <v>1561</v>
      </c>
      <c r="C81">
        <v>8</v>
      </c>
      <c r="D81">
        <v>65</v>
      </c>
      <c r="E81">
        <f>D81/C81</f>
        <v>8.125</v>
      </c>
      <c r="F81" t="s">
        <v>1520</v>
      </c>
    </row>
    <row r="82" spans="1:6">
      <c r="A82" t="s">
        <v>1559</v>
      </c>
      <c r="B82" t="s">
        <v>1202</v>
      </c>
      <c r="C82">
        <v>7</v>
      </c>
      <c r="D82">
        <v>84</v>
      </c>
      <c r="E82">
        <f>D82/C82</f>
        <v>12</v>
      </c>
      <c r="F82" t="s">
        <v>1520</v>
      </c>
    </row>
    <row r="83" spans="1:6">
      <c r="A83" t="s">
        <v>1559</v>
      </c>
      <c r="B83" t="s">
        <v>1562</v>
      </c>
      <c r="C83">
        <v>7</v>
      </c>
      <c r="D83">
        <v>62</v>
      </c>
      <c r="E83">
        <f>D83/C83</f>
        <v>8.8571428571428577</v>
      </c>
      <c r="F83" t="s">
        <v>1520</v>
      </c>
    </row>
    <row r="84" spans="1:6">
      <c r="E84">
        <f>SUMPRODUCT(E80:E83,C80:C83)/SUM(C80:C83)</f>
        <v>8.7777777777777786</v>
      </c>
    </row>
    <row r="86" spans="1:6">
      <c r="A86" s="19" t="s">
        <v>722</v>
      </c>
      <c r="B86" s="19"/>
      <c r="C86" s="19"/>
      <c r="D86" s="19"/>
      <c r="E86" s="19"/>
      <c r="F86" s="19"/>
    </row>
    <row r="87" spans="1:6">
      <c r="A87" s="16" t="s">
        <v>1513</v>
      </c>
      <c r="B87" s="16" t="s">
        <v>1514</v>
      </c>
      <c r="C87" s="16" t="s">
        <v>1511</v>
      </c>
      <c r="D87" s="16" t="s">
        <v>1512</v>
      </c>
      <c r="E87" s="16" t="s">
        <v>1518</v>
      </c>
      <c r="F87" s="16" t="s">
        <v>1519</v>
      </c>
    </row>
    <row r="88" spans="1:6">
      <c r="A88" t="s">
        <v>53</v>
      </c>
      <c r="B88" t="s">
        <v>1209</v>
      </c>
      <c r="C88">
        <v>6</v>
      </c>
      <c r="D88">
        <v>57</v>
      </c>
      <c r="E88">
        <f>D88/C88</f>
        <v>9.5</v>
      </c>
      <c r="F88" t="s">
        <v>1520</v>
      </c>
    </row>
    <row r="89" spans="1:6">
      <c r="A89" t="s">
        <v>1563</v>
      </c>
      <c r="B89" t="s">
        <v>1217</v>
      </c>
      <c r="C89">
        <v>8</v>
      </c>
      <c r="D89">
        <v>51</v>
      </c>
      <c r="E89">
        <f t="shared" ref="E89:E90" si="2">D89/C89</f>
        <v>6.375</v>
      </c>
      <c r="F89" t="s">
        <v>1520</v>
      </c>
    </row>
    <row r="90" spans="1:6">
      <c r="A90" t="s">
        <v>1563</v>
      </c>
      <c r="B90" t="s">
        <v>53</v>
      </c>
      <c r="C90">
        <v>4</v>
      </c>
      <c r="D90">
        <v>46</v>
      </c>
      <c r="E90">
        <f t="shared" si="2"/>
        <v>11.5</v>
      </c>
      <c r="F90" t="s">
        <v>1520</v>
      </c>
    </row>
    <row r="91" spans="1:6">
      <c r="E91">
        <f>SUMPRODUCT(E88:E90,C88:C90)/SUM(C88:C90)</f>
        <v>8.5555555555555554</v>
      </c>
    </row>
  </sheetData>
  <mergeCells count="12">
    <mergeCell ref="A86:F86"/>
    <mergeCell ref="A1:F1"/>
    <mergeCell ref="A9:F9"/>
    <mergeCell ref="A18:F18"/>
    <mergeCell ref="A26:F26"/>
    <mergeCell ref="A36:F36"/>
    <mergeCell ref="A42:F42"/>
    <mergeCell ref="A48:F48"/>
    <mergeCell ref="A56:F56"/>
    <mergeCell ref="A64:F64"/>
    <mergeCell ref="A71:F71"/>
    <mergeCell ref="A78:F78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58E0-DEAA-6848-BF61-5A1ADADD260E}">
  <dimension ref="A1:D1111"/>
  <sheetViews>
    <sheetView tabSelected="1" topLeftCell="A1069" workbookViewId="0">
      <selection activeCell="E1105" sqref="E1105"/>
    </sheetView>
  </sheetViews>
  <sheetFormatPr baseColWidth="10" defaultRowHeight="13"/>
  <cols>
    <col min="1" max="1" width="15.5" style="11" customWidth="1"/>
    <col min="2" max="2" width="38.6640625" style="9" customWidth="1"/>
  </cols>
  <sheetData>
    <row r="1" spans="1:4">
      <c r="A1" s="13">
        <v>0</v>
      </c>
      <c r="B1" s="14" t="s">
        <v>68</v>
      </c>
      <c r="C1">
        <v>48.891944444444441</v>
      </c>
      <c r="D1">
        <v>2.2377777777777776</v>
      </c>
    </row>
    <row r="2" spans="1:4">
      <c r="A2" s="13">
        <v>1</v>
      </c>
      <c r="B2" s="14" t="s">
        <v>762</v>
      </c>
      <c r="C2">
        <v>48.887777777777778</v>
      </c>
      <c r="D2">
        <v>2.2505555555555556</v>
      </c>
    </row>
    <row r="3" spans="1:4">
      <c r="A3" s="13">
        <v>2</v>
      </c>
      <c r="B3" s="14" t="s">
        <v>25</v>
      </c>
      <c r="C3">
        <v>48.884444444444441</v>
      </c>
      <c r="D3">
        <v>2.2599999999999998</v>
      </c>
    </row>
    <row r="4" spans="1:4">
      <c r="A4" s="13">
        <v>3</v>
      </c>
      <c r="B4" s="14" t="s">
        <v>323</v>
      </c>
      <c r="C4">
        <v>48.880833333333335</v>
      </c>
      <c r="D4">
        <v>2.2725</v>
      </c>
    </row>
    <row r="5" spans="1:4">
      <c r="A5" s="13">
        <v>4</v>
      </c>
      <c r="B5" s="14" t="s">
        <v>324</v>
      </c>
      <c r="C5">
        <v>48.878055555555555</v>
      </c>
      <c r="D5">
        <v>2.2819444444444446</v>
      </c>
    </row>
    <row r="6" spans="1:4">
      <c r="A6" s="13">
        <v>5</v>
      </c>
      <c r="B6" s="14" t="s">
        <v>29</v>
      </c>
      <c r="C6">
        <v>48.875555555555557</v>
      </c>
      <c r="D6">
        <v>2.2894444444444444</v>
      </c>
    </row>
    <row r="7" spans="1:4">
      <c r="A7" s="13">
        <v>6</v>
      </c>
      <c r="B7" s="14" t="s">
        <v>31</v>
      </c>
      <c r="C7">
        <v>48.874444444444443</v>
      </c>
      <c r="D7">
        <v>2.2958333333333334</v>
      </c>
    </row>
    <row r="8" spans="1:4">
      <c r="A8" s="13">
        <v>7</v>
      </c>
      <c r="B8" s="14" t="s">
        <v>33</v>
      </c>
      <c r="C8">
        <v>48.871944444444445</v>
      </c>
      <c r="D8">
        <v>2.3005555555555555</v>
      </c>
    </row>
    <row r="9" spans="1:4">
      <c r="A9" s="13">
        <v>8</v>
      </c>
      <c r="B9" s="14" t="s">
        <v>35</v>
      </c>
      <c r="C9">
        <v>48.869166666666665</v>
      </c>
      <c r="D9">
        <v>2.3083333333333331</v>
      </c>
    </row>
    <row r="10" spans="1:4">
      <c r="A10" s="13">
        <v>9</v>
      </c>
      <c r="B10" s="14" t="s">
        <v>507</v>
      </c>
      <c r="C10">
        <v>48.8675</v>
      </c>
      <c r="D10">
        <v>2.3138888888888887</v>
      </c>
    </row>
    <row r="11" spans="1:4">
      <c r="A11" s="13">
        <v>10</v>
      </c>
      <c r="B11" s="14" t="s">
        <v>38</v>
      </c>
      <c r="C11">
        <v>48.86611111111111</v>
      </c>
      <c r="D11">
        <v>2.3224999999999998</v>
      </c>
    </row>
    <row r="12" spans="1:4">
      <c r="A12" s="13">
        <v>11</v>
      </c>
      <c r="B12" s="14" t="s">
        <v>40</v>
      </c>
      <c r="C12">
        <v>48.864444444444445</v>
      </c>
      <c r="D12">
        <v>2.3302777777777774</v>
      </c>
    </row>
    <row r="13" spans="1:4">
      <c r="A13" s="13">
        <v>12</v>
      </c>
      <c r="B13" s="14" t="s">
        <v>42</v>
      </c>
      <c r="C13">
        <v>48.862777777777779</v>
      </c>
      <c r="D13">
        <v>2.3358333333333334</v>
      </c>
    </row>
    <row r="14" spans="1:4">
      <c r="A14" s="13">
        <v>13</v>
      </c>
      <c r="B14" s="14" t="s">
        <v>44</v>
      </c>
      <c r="C14">
        <v>48.861111111111114</v>
      </c>
      <c r="D14">
        <v>2.3402777777777781</v>
      </c>
    </row>
    <row r="15" spans="1:4">
      <c r="A15" s="13">
        <v>14</v>
      </c>
      <c r="B15" s="14" t="s">
        <v>46</v>
      </c>
      <c r="C15">
        <v>48.858611111111109</v>
      </c>
      <c r="D15">
        <v>2.3472222222222223</v>
      </c>
    </row>
    <row r="16" spans="1:4">
      <c r="A16" s="13">
        <v>15</v>
      </c>
      <c r="B16" s="14" t="s">
        <v>48</v>
      </c>
      <c r="C16">
        <v>48.856666666666669</v>
      </c>
      <c r="D16">
        <v>2.3513888888888892</v>
      </c>
    </row>
    <row r="17" spans="1:4">
      <c r="A17" s="13">
        <v>16</v>
      </c>
      <c r="B17" s="14" t="s">
        <v>325</v>
      </c>
      <c r="C17">
        <v>48.855277777777779</v>
      </c>
      <c r="D17">
        <v>2.3605555555555555</v>
      </c>
    </row>
    <row r="18" spans="1:4">
      <c r="A18" s="13">
        <v>17</v>
      </c>
      <c r="B18" s="14" t="s">
        <v>51</v>
      </c>
      <c r="C18">
        <v>48.853055555555557</v>
      </c>
      <c r="D18">
        <v>2.3691666666666666</v>
      </c>
    </row>
    <row r="19" spans="1:4">
      <c r="A19" s="13">
        <v>18</v>
      </c>
      <c r="B19" s="14" t="s">
        <v>53</v>
      </c>
      <c r="C19">
        <v>48.844722222222224</v>
      </c>
      <c r="D19">
        <v>2.3741666666666665</v>
      </c>
    </row>
    <row r="20" spans="1:4">
      <c r="A20" s="13">
        <v>19</v>
      </c>
      <c r="B20" s="14" t="s">
        <v>55</v>
      </c>
      <c r="C20">
        <v>48.847222222222221</v>
      </c>
      <c r="D20">
        <v>2.3866666666666667</v>
      </c>
    </row>
    <row r="21" spans="1:4">
      <c r="A21" s="13">
        <v>20</v>
      </c>
      <c r="B21" s="14" t="s">
        <v>57</v>
      </c>
      <c r="C21">
        <v>48.848333333333336</v>
      </c>
      <c r="D21">
        <v>2.3958333333333335</v>
      </c>
    </row>
    <row r="22" spans="1:4">
      <c r="A22" s="13">
        <v>21</v>
      </c>
      <c r="B22" s="14" t="s">
        <v>59</v>
      </c>
      <c r="C22">
        <v>48.847222222222221</v>
      </c>
      <c r="D22">
        <v>2.4088888888888889</v>
      </c>
    </row>
    <row r="23" spans="1:4">
      <c r="A23" s="13">
        <v>22</v>
      </c>
      <c r="B23" s="14" t="s">
        <v>61</v>
      </c>
      <c r="C23">
        <v>48.846388888888889</v>
      </c>
      <c r="D23">
        <v>2.4186111111111108</v>
      </c>
    </row>
    <row r="24" spans="1:4">
      <c r="A24" s="13">
        <v>23</v>
      </c>
      <c r="B24" s="14" t="s">
        <v>63</v>
      </c>
      <c r="C24">
        <v>48.845277777777781</v>
      </c>
      <c r="D24">
        <v>2.4291666666666667</v>
      </c>
    </row>
    <row r="25" spans="1:4">
      <c r="A25" s="13">
        <v>24</v>
      </c>
      <c r="B25" s="14" t="s">
        <v>65</v>
      </c>
      <c r="C25">
        <v>48.844444444444449</v>
      </c>
      <c r="D25">
        <v>2.4394444444444447</v>
      </c>
    </row>
    <row r="26" spans="1:4">
      <c r="A26" s="13">
        <v>25</v>
      </c>
      <c r="B26" s="14" t="s">
        <v>83</v>
      </c>
      <c r="C26">
        <v>48.871466578099998</v>
      </c>
      <c r="D26">
        <v>2.2770830170499998</v>
      </c>
    </row>
    <row r="27" spans="1:4">
      <c r="A27" s="13">
        <v>26</v>
      </c>
      <c r="B27" s="14" t="s">
        <v>84</v>
      </c>
      <c r="C27">
        <v>48.869798556500001</v>
      </c>
      <c r="D27">
        <v>2.2853350946900002</v>
      </c>
    </row>
    <row r="28" spans="1:4">
      <c r="A28" s="13">
        <v>27</v>
      </c>
      <c r="B28" s="14" t="s">
        <v>31</v>
      </c>
      <c r="C28">
        <v>48.874238476599999</v>
      </c>
      <c r="D28">
        <v>2.2944905914699998</v>
      </c>
    </row>
    <row r="29" spans="1:4">
      <c r="A29" s="13">
        <v>28</v>
      </c>
      <c r="B29" s="14" t="s">
        <v>85</v>
      </c>
      <c r="C29">
        <v>48.877972701399997</v>
      </c>
      <c r="D29">
        <v>2.2983103751199998</v>
      </c>
    </row>
    <row r="30" spans="1:4">
      <c r="A30" s="13">
        <v>29</v>
      </c>
      <c r="B30" s="14" t="s">
        <v>86</v>
      </c>
      <c r="C30">
        <v>48.879214134199998</v>
      </c>
      <c r="D30">
        <v>2.3035287253700001</v>
      </c>
    </row>
    <row r="31" spans="1:4">
      <c r="A31" s="13">
        <v>30</v>
      </c>
      <c r="B31" s="14" t="s">
        <v>87</v>
      </c>
      <c r="C31">
        <v>48.880449456100003</v>
      </c>
      <c r="D31">
        <v>2.3094511679899998</v>
      </c>
    </row>
    <row r="32" spans="1:4">
      <c r="A32" s="13">
        <v>31</v>
      </c>
      <c r="B32" s="14" t="s">
        <v>88</v>
      </c>
      <c r="C32">
        <v>48.881150028500002</v>
      </c>
      <c r="D32">
        <v>2.31517662622</v>
      </c>
    </row>
    <row r="33" spans="1:4">
      <c r="A33" s="13">
        <v>32</v>
      </c>
      <c r="B33" s="14" t="s">
        <v>89</v>
      </c>
      <c r="C33">
        <v>48.882226900799999</v>
      </c>
      <c r="D33">
        <v>2.3212749267700001</v>
      </c>
    </row>
    <row r="34" spans="1:4">
      <c r="A34" s="13">
        <v>33</v>
      </c>
      <c r="B34" s="14" t="s">
        <v>90</v>
      </c>
      <c r="C34">
        <v>48.883430013800002</v>
      </c>
      <c r="D34">
        <v>2.3272283357200001</v>
      </c>
    </row>
    <row r="35" spans="1:4">
      <c r="A35" s="13">
        <v>34</v>
      </c>
      <c r="B35" s="14" t="s">
        <v>91</v>
      </c>
      <c r="C35">
        <v>48.883958572600001</v>
      </c>
      <c r="D35">
        <v>2.3319265895300001</v>
      </c>
    </row>
    <row r="36" spans="1:4">
      <c r="A36" s="13">
        <v>35</v>
      </c>
      <c r="B36" s="14" t="s">
        <v>92</v>
      </c>
      <c r="C36">
        <v>48.8824426909</v>
      </c>
      <c r="D36">
        <v>2.3370851364999998</v>
      </c>
    </row>
    <row r="37" spans="1:4">
      <c r="A37" s="13">
        <v>36</v>
      </c>
      <c r="B37" s="14" t="s">
        <v>93</v>
      </c>
      <c r="C37">
        <v>48.882868647599999</v>
      </c>
      <c r="D37">
        <v>2.3441306337199999</v>
      </c>
    </row>
    <row r="38" spans="1:4">
      <c r="A38" s="31">
        <v>37</v>
      </c>
      <c r="B38" s="30" t="s">
        <v>94</v>
      </c>
      <c r="C38">
        <v>0</v>
      </c>
      <c r="D38">
        <v>0</v>
      </c>
    </row>
    <row r="39" spans="1:4">
      <c r="A39" s="13">
        <v>38</v>
      </c>
      <c r="B39" s="14" t="s">
        <v>95</v>
      </c>
      <c r="C39">
        <v>48.883734465700002</v>
      </c>
      <c r="D39">
        <v>2.3496361482700001</v>
      </c>
    </row>
    <row r="40" spans="1:4">
      <c r="A40" s="13">
        <v>39</v>
      </c>
      <c r="B40" s="14" t="s">
        <v>96</v>
      </c>
      <c r="C40">
        <v>48.884398795199999</v>
      </c>
      <c r="D40">
        <v>2.3604913185299998</v>
      </c>
    </row>
    <row r="41" spans="1:4">
      <c r="A41" s="13">
        <v>40</v>
      </c>
      <c r="B41" s="14" t="s">
        <v>97</v>
      </c>
      <c r="C41">
        <v>48.883995220499997</v>
      </c>
      <c r="D41">
        <v>2.3689127033099999</v>
      </c>
    </row>
    <row r="42" spans="1:4">
      <c r="A42" s="13">
        <v>41</v>
      </c>
      <c r="B42" s="14" t="s">
        <v>98</v>
      </c>
      <c r="C42">
        <v>48.8827381328</v>
      </c>
      <c r="D42">
        <v>2.3701223122799999</v>
      </c>
    </row>
    <row r="43" spans="1:4">
      <c r="A43" s="13">
        <v>42</v>
      </c>
      <c r="B43" s="14" t="s">
        <v>99</v>
      </c>
      <c r="C43">
        <v>48.877610187400002</v>
      </c>
      <c r="D43">
        <v>2.3708113953100001</v>
      </c>
    </row>
    <row r="44" spans="1:4">
      <c r="A44" s="13">
        <v>43</v>
      </c>
      <c r="B44" s="14" t="s">
        <v>100</v>
      </c>
      <c r="C44">
        <v>48.8719936918</v>
      </c>
      <c r="D44">
        <v>2.3770297767000002</v>
      </c>
    </row>
    <row r="45" spans="1:4">
      <c r="A45" s="13">
        <v>44</v>
      </c>
      <c r="B45" s="14" t="s">
        <v>101</v>
      </c>
      <c r="C45">
        <v>48.869091162899998</v>
      </c>
      <c r="D45">
        <v>2.3805425859899998</v>
      </c>
    </row>
    <row r="46" spans="1:4">
      <c r="A46" s="13">
        <v>45</v>
      </c>
      <c r="B46" s="14" t="s">
        <v>102</v>
      </c>
      <c r="C46">
        <v>48.866800035099999</v>
      </c>
      <c r="D46">
        <v>2.3833832504600001</v>
      </c>
    </row>
    <row r="47" spans="1:4">
      <c r="A47" s="13">
        <v>46</v>
      </c>
      <c r="B47" s="14" t="s">
        <v>103</v>
      </c>
      <c r="C47">
        <v>48.862949833000002</v>
      </c>
      <c r="D47">
        <v>2.3874349509999999</v>
      </c>
    </row>
    <row r="48" spans="1:4">
      <c r="A48" s="13">
        <v>47</v>
      </c>
      <c r="B48" s="14" t="s">
        <v>104</v>
      </c>
      <c r="C48">
        <v>48.858466549399999</v>
      </c>
      <c r="D48">
        <v>2.3897298523499999</v>
      </c>
    </row>
    <row r="49" spans="1:4">
      <c r="A49" s="13">
        <v>48</v>
      </c>
      <c r="B49" s="14" t="s">
        <v>105</v>
      </c>
      <c r="C49">
        <v>48.856377357200003</v>
      </c>
      <c r="D49">
        <v>2.3945619445599999</v>
      </c>
    </row>
    <row r="50" spans="1:4">
      <c r="A50" s="13">
        <v>49</v>
      </c>
      <c r="B50" s="14" t="s">
        <v>106</v>
      </c>
      <c r="C50">
        <v>48.851510278200003</v>
      </c>
      <c r="D50">
        <v>2.3983023442700002</v>
      </c>
    </row>
    <row r="51" spans="1:4">
      <c r="A51" s="13">
        <v>50</v>
      </c>
      <c r="B51" s="14" t="s">
        <v>57</v>
      </c>
      <c r="C51">
        <v>48.848237110399999</v>
      </c>
      <c r="D51">
        <v>2.3958235888299999</v>
      </c>
    </row>
    <row r="52" spans="1:4">
      <c r="A52" s="13">
        <v>51</v>
      </c>
      <c r="B52" s="14" t="s">
        <v>117</v>
      </c>
      <c r="C52">
        <v>48.897821067099997</v>
      </c>
      <c r="D52">
        <v>2.2798095866899999</v>
      </c>
    </row>
    <row r="53" spans="1:4">
      <c r="A53" s="13">
        <v>52</v>
      </c>
      <c r="B53" s="14" t="s">
        <v>118</v>
      </c>
      <c r="C53">
        <v>48.892082786000003</v>
      </c>
      <c r="D53">
        <v>2.2850095027499999</v>
      </c>
    </row>
    <row r="54" spans="1:4">
      <c r="A54" s="13">
        <v>53</v>
      </c>
      <c r="B54" s="14" t="s">
        <v>119</v>
      </c>
      <c r="C54">
        <v>48.888706019799997</v>
      </c>
      <c r="D54">
        <v>2.2880836330499998</v>
      </c>
    </row>
    <row r="55" spans="1:4">
      <c r="A55" s="13">
        <v>54</v>
      </c>
      <c r="B55" s="14" t="s">
        <v>120</v>
      </c>
      <c r="C55">
        <v>48.885793105200001</v>
      </c>
      <c r="D55">
        <v>2.2925823141000001</v>
      </c>
    </row>
    <row r="56" spans="1:4">
      <c r="A56" s="13">
        <v>55</v>
      </c>
      <c r="B56" s="14" t="s">
        <v>326</v>
      </c>
      <c r="C56">
        <v>48.885028422200001</v>
      </c>
      <c r="D56">
        <v>2.2973623007200001</v>
      </c>
    </row>
    <row r="57" spans="1:4">
      <c r="A57" s="13">
        <v>56</v>
      </c>
      <c r="B57" s="14" t="s">
        <v>121</v>
      </c>
      <c r="C57">
        <v>48.883809201200002</v>
      </c>
      <c r="D57">
        <v>2.3046744405299999</v>
      </c>
    </row>
    <row r="58" spans="1:4">
      <c r="A58" s="13">
        <v>57</v>
      </c>
      <c r="B58" s="14" t="s">
        <v>122</v>
      </c>
      <c r="C58">
        <v>48.882891917499997</v>
      </c>
      <c r="D58">
        <v>2.30905226455</v>
      </c>
    </row>
    <row r="59" spans="1:4">
      <c r="A59" s="13">
        <v>58</v>
      </c>
      <c r="B59" s="14" t="s">
        <v>88</v>
      </c>
      <c r="C59">
        <v>48.881150028500002</v>
      </c>
      <c r="D59">
        <v>2.31517662622</v>
      </c>
    </row>
    <row r="60" spans="1:4">
      <c r="A60" s="13">
        <v>59</v>
      </c>
      <c r="B60" s="14" t="s">
        <v>327</v>
      </c>
      <c r="C60">
        <v>48.8787703685</v>
      </c>
      <c r="D60">
        <v>2.3222652131200001</v>
      </c>
    </row>
    <row r="61" spans="1:4">
      <c r="A61" s="13">
        <v>60</v>
      </c>
      <c r="B61" s="14" t="s">
        <v>123</v>
      </c>
      <c r="C61">
        <v>48.875933152400002</v>
      </c>
      <c r="D61">
        <v>2.3257279613900002</v>
      </c>
    </row>
    <row r="62" spans="1:4">
      <c r="A62" s="13">
        <v>61</v>
      </c>
      <c r="B62" s="14" t="s">
        <v>124</v>
      </c>
      <c r="C62">
        <v>48.873806733899997</v>
      </c>
      <c r="D62">
        <v>2.3269998588799998</v>
      </c>
    </row>
    <row r="63" spans="1:4">
      <c r="A63" s="13">
        <v>62</v>
      </c>
      <c r="B63" s="14" t="s">
        <v>125</v>
      </c>
      <c r="C63">
        <v>48.870677681799997</v>
      </c>
      <c r="D63">
        <v>2.3323546392600001</v>
      </c>
    </row>
    <row r="64" spans="1:4">
      <c r="A64" s="13">
        <v>63</v>
      </c>
      <c r="B64" s="14" t="s">
        <v>126</v>
      </c>
      <c r="C64">
        <v>48.869585243499998</v>
      </c>
      <c r="D64">
        <v>2.3362188475200001</v>
      </c>
    </row>
    <row r="65" spans="1:4">
      <c r="A65" s="13">
        <v>64</v>
      </c>
      <c r="B65" s="14" t="s">
        <v>127</v>
      </c>
      <c r="C65">
        <v>48.868695977800002</v>
      </c>
      <c r="D65">
        <v>2.3407207236700001</v>
      </c>
    </row>
    <row r="66" spans="1:4">
      <c r="A66" s="13">
        <v>65</v>
      </c>
      <c r="B66" s="14" t="s">
        <v>128</v>
      </c>
      <c r="C66">
        <v>48.867309474999999</v>
      </c>
      <c r="D66">
        <v>2.34751621328</v>
      </c>
    </row>
    <row r="67" spans="1:4">
      <c r="A67" s="13">
        <v>66</v>
      </c>
      <c r="B67" s="14" t="s">
        <v>129</v>
      </c>
      <c r="C67">
        <v>48.866235133000004</v>
      </c>
      <c r="D67">
        <v>2.3525493044000001</v>
      </c>
    </row>
    <row r="68" spans="1:4">
      <c r="A68" s="13">
        <v>67</v>
      </c>
      <c r="B68" s="14" t="s">
        <v>130</v>
      </c>
      <c r="C68">
        <v>48.865586477599997</v>
      </c>
      <c r="D68">
        <v>2.3567367568100002</v>
      </c>
    </row>
    <row r="69" spans="1:4">
      <c r="A69" s="13">
        <v>68</v>
      </c>
      <c r="B69" s="14" t="s">
        <v>131</v>
      </c>
      <c r="C69">
        <v>48.8666826802</v>
      </c>
      <c r="D69">
        <v>2.3615415320699999</v>
      </c>
    </row>
    <row r="70" spans="1:4">
      <c r="A70" s="13">
        <v>69</v>
      </c>
      <c r="B70" s="14" t="s">
        <v>132</v>
      </c>
      <c r="C70">
        <v>48.867503423800002</v>
      </c>
      <c r="D70">
        <v>2.3638261439799999</v>
      </c>
    </row>
    <row r="71" spans="1:4">
      <c r="A71" s="13">
        <v>70</v>
      </c>
      <c r="B71" s="14" t="s">
        <v>133</v>
      </c>
      <c r="C71">
        <v>48.865253786099998</v>
      </c>
      <c r="D71">
        <v>2.3745819699999999</v>
      </c>
    </row>
    <row r="72" spans="1:4">
      <c r="A72" s="13">
        <v>71</v>
      </c>
      <c r="B72" s="14" t="s">
        <v>134</v>
      </c>
      <c r="C72">
        <v>48.864086574799998</v>
      </c>
      <c r="D72">
        <v>2.3807979861800002</v>
      </c>
    </row>
    <row r="73" spans="1:4">
      <c r="A73" s="13">
        <v>72</v>
      </c>
      <c r="B73" s="14" t="s">
        <v>103</v>
      </c>
      <c r="C73">
        <v>48.862949833000002</v>
      </c>
      <c r="D73">
        <v>2.3874349509999999</v>
      </c>
    </row>
    <row r="74" spans="1:4">
      <c r="A74" s="13">
        <v>73</v>
      </c>
      <c r="B74" s="14" t="s">
        <v>135</v>
      </c>
      <c r="C74">
        <v>48.864916685099999</v>
      </c>
      <c r="D74">
        <v>2.39898444025</v>
      </c>
    </row>
    <row r="75" spans="1:4">
      <c r="A75" s="13">
        <v>74</v>
      </c>
      <c r="B75" s="14" t="s">
        <v>136</v>
      </c>
      <c r="C75">
        <v>48.864585191099998</v>
      </c>
      <c r="D75">
        <v>2.4087599484200002</v>
      </c>
    </row>
    <row r="76" spans="1:4">
      <c r="A76" s="13">
        <v>75</v>
      </c>
      <c r="B76" s="14" t="s">
        <v>137</v>
      </c>
      <c r="C76">
        <v>48.865335317300001</v>
      </c>
      <c r="D76">
        <v>2.41669727286</v>
      </c>
    </row>
    <row r="77" spans="1:4">
      <c r="A77" s="31">
        <v>76</v>
      </c>
      <c r="B77" s="30" t="s">
        <v>138</v>
      </c>
      <c r="C77">
        <v>0</v>
      </c>
      <c r="D77">
        <v>0</v>
      </c>
    </row>
    <row r="78" spans="1:4">
      <c r="A78" s="13">
        <v>77</v>
      </c>
      <c r="B78" s="14" t="s">
        <v>135</v>
      </c>
      <c r="C78">
        <v>48.865000000000002</v>
      </c>
      <c r="D78">
        <v>2.3983333333333334</v>
      </c>
    </row>
    <row r="79" spans="1:4">
      <c r="A79" s="13">
        <v>78</v>
      </c>
      <c r="B79" s="14" t="s">
        <v>331</v>
      </c>
      <c r="C79">
        <v>48.868611111111115</v>
      </c>
      <c r="D79">
        <v>2.4016666666666664</v>
      </c>
    </row>
    <row r="80" spans="1:4">
      <c r="A80" s="13">
        <v>79</v>
      </c>
      <c r="B80" s="14" t="s">
        <v>333</v>
      </c>
      <c r="C80">
        <v>48.871944444444445</v>
      </c>
      <c r="D80">
        <v>2.4044444444444442</v>
      </c>
    </row>
    <row r="81" spans="1:4">
      <c r="A81" s="13">
        <v>80</v>
      </c>
      <c r="B81" s="14" t="s">
        <v>335</v>
      </c>
      <c r="C81">
        <v>48.877222222222223</v>
      </c>
      <c r="D81">
        <v>2.4066666666666667</v>
      </c>
    </row>
    <row r="82" spans="1:4">
      <c r="A82" s="13">
        <v>81</v>
      </c>
      <c r="B82" s="14" t="s">
        <v>145</v>
      </c>
      <c r="C82">
        <v>48.897222222222219</v>
      </c>
      <c r="D82">
        <v>2.3447222222222224</v>
      </c>
    </row>
    <row r="83" spans="1:4">
      <c r="A83" s="13">
        <v>82</v>
      </c>
      <c r="B83" s="14" t="s">
        <v>147</v>
      </c>
      <c r="C83">
        <v>48.894722222222221</v>
      </c>
      <c r="D83">
        <v>2.3472222222222223</v>
      </c>
    </row>
    <row r="84" spans="1:4">
      <c r="A84" s="13">
        <v>83</v>
      </c>
      <c r="B84" s="14" t="s">
        <v>149</v>
      </c>
      <c r="C84">
        <v>48.891388888888891</v>
      </c>
      <c r="D84">
        <v>2.3497222222222223</v>
      </c>
    </row>
    <row r="85" spans="1:4">
      <c r="A85" s="13">
        <v>84</v>
      </c>
      <c r="B85" s="14" t="s">
        <v>151</v>
      </c>
      <c r="C85">
        <v>48.887222222222221</v>
      </c>
      <c r="D85">
        <v>2.3494444444444444</v>
      </c>
    </row>
    <row r="86" spans="1:4">
      <c r="A86" s="13">
        <v>85</v>
      </c>
      <c r="B86" s="14" t="s">
        <v>95</v>
      </c>
      <c r="C86">
        <v>48.883611111111108</v>
      </c>
      <c r="D86">
        <v>2.3505555555555557</v>
      </c>
    </row>
    <row r="87" spans="1:4">
      <c r="A87" s="13">
        <v>86</v>
      </c>
      <c r="B87" s="14" t="s">
        <v>154</v>
      </c>
      <c r="C87">
        <v>48.880277777777778</v>
      </c>
      <c r="D87">
        <v>2.355</v>
      </c>
    </row>
    <row r="88" spans="1:4">
      <c r="A88" s="13">
        <v>87</v>
      </c>
      <c r="B88" s="14" t="s">
        <v>156</v>
      </c>
      <c r="C88">
        <v>48.876111111111115</v>
      </c>
      <c r="D88">
        <v>2.3580555555555556</v>
      </c>
    </row>
    <row r="89" spans="1:4">
      <c r="A89" s="13">
        <v>88</v>
      </c>
      <c r="B89" s="14" t="s">
        <v>158</v>
      </c>
      <c r="C89">
        <v>48.872500000000002</v>
      </c>
      <c r="D89">
        <v>2.3558333333333334</v>
      </c>
    </row>
    <row r="90" spans="1:4">
      <c r="A90" s="13">
        <v>89</v>
      </c>
      <c r="B90" s="14" t="s">
        <v>160</v>
      </c>
      <c r="C90">
        <v>48.869444444444447</v>
      </c>
      <c r="D90">
        <v>2.354166666666667</v>
      </c>
    </row>
    <row r="91" spans="1:4">
      <c r="A91" s="13">
        <v>90</v>
      </c>
      <c r="B91" s="14" t="s">
        <v>129</v>
      </c>
      <c r="C91">
        <v>48.866388888888892</v>
      </c>
      <c r="D91">
        <v>2.3525</v>
      </c>
    </row>
    <row r="92" spans="1:4">
      <c r="A92" s="13">
        <v>91</v>
      </c>
      <c r="B92" s="14" t="s">
        <v>163</v>
      </c>
      <c r="C92">
        <v>48.863888888888887</v>
      </c>
      <c r="D92">
        <v>2.3491666666666666</v>
      </c>
    </row>
    <row r="93" spans="1:4">
      <c r="A93" s="13">
        <v>92</v>
      </c>
      <c r="B93" s="14" t="s">
        <v>165</v>
      </c>
      <c r="C93">
        <v>48.862500000000004</v>
      </c>
      <c r="D93">
        <v>2.3461111111111115</v>
      </c>
    </row>
    <row r="94" spans="1:4">
      <c r="A94" s="13">
        <v>93</v>
      </c>
      <c r="B94" s="14" t="s">
        <v>46</v>
      </c>
      <c r="C94">
        <v>48.858611111111109</v>
      </c>
      <c r="D94">
        <v>2.3472222222222223</v>
      </c>
    </row>
    <row r="95" spans="1:4">
      <c r="A95" s="13">
        <v>94</v>
      </c>
      <c r="B95" s="14" t="s">
        <v>167</v>
      </c>
      <c r="C95">
        <v>48.855833333333337</v>
      </c>
      <c r="D95">
        <v>2.3461111111111115</v>
      </c>
    </row>
    <row r="96" spans="1:4">
      <c r="A96" s="13">
        <v>95</v>
      </c>
      <c r="B96" s="14" t="s">
        <v>169</v>
      </c>
      <c r="C96">
        <v>48.853611111111114</v>
      </c>
      <c r="D96">
        <v>2.3438888888888889</v>
      </c>
    </row>
    <row r="97" spans="1:4">
      <c r="A97" s="13">
        <v>96</v>
      </c>
      <c r="B97" s="14" t="s">
        <v>171</v>
      </c>
      <c r="C97">
        <v>48.852222222222224</v>
      </c>
      <c r="D97">
        <v>2.338888888888889</v>
      </c>
    </row>
    <row r="98" spans="1:4">
      <c r="A98" s="13">
        <v>97</v>
      </c>
      <c r="B98" s="14" t="s">
        <v>173</v>
      </c>
      <c r="C98">
        <v>48.853888888888889</v>
      </c>
      <c r="D98">
        <v>2.3333333333333335</v>
      </c>
    </row>
    <row r="99" spans="1:4">
      <c r="A99" s="13">
        <v>98</v>
      </c>
      <c r="B99" s="14" t="s">
        <v>175</v>
      </c>
      <c r="C99">
        <v>48.851388888888891</v>
      </c>
      <c r="D99">
        <v>2.3311111111111109</v>
      </c>
    </row>
    <row r="100" spans="1:4">
      <c r="A100" s="13">
        <v>99</v>
      </c>
      <c r="B100" s="14" t="s">
        <v>177</v>
      </c>
      <c r="C100">
        <v>48.846944444444446</v>
      </c>
      <c r="D100">
        <v>2.326944444444444</v>
      </c>
    </row>
    <row r="101" spans="1:4">
      <c r="A101" s="13">
        <v>100</v>
      </c>
      <c r="B101" s="14" t="s">
        <v>179</v>
      </c>
      <c r="C101">
        <v>48.843333333333334</v>
      </c>
      <c r="D101">
        <v>2.3230555555555554</v>
      </c>
    </row>
    <row r="102" spans="1:4">
      <c r="A102" s="13">
        <v>101</v>
      </c>
      <c r="B102" s="14" t="s">
        <v>181</v>
      </c>
      <c r="C102">
        <v>48.842222222222226</v>
      </c>
      <c r="D102">
        <v>2.3294444444444444</v>
      </c>
    </row>
    <row r="103" spans="1:4">
      <c r="A103" s="13">
        <v>102</v>
      </c>
      <c r="B103" s="14" t="s">
        <v>183</v>
      </c>
      <c r="C103">
        <v>48.838888888888889</v>
      </c>
      <c r="D103">
        <v>2.3308333333333331</v>
      </c>
    </row>
    <row r="104" spans="1:4">
      <c r="A104" s="13">
        <v>103</v>
      </c>
      <c r="B104" s="14" t="s">
        <v>185</v>
      </c>
      <c r="C104">
        <v>48.833888888888893</v>
      </c>
      <c r="D104">
        <v>2.3324999999999996</v>
      </c>
    </row>
    <row r="105" spans="1:4">
      <c r="A105" s="13">
        <v>104</v>
      </c>
      <c r="B105" s="14" t="s">
        <v>187</v>
      </c>
      <c r="C105">
        <v>48.832222222222228</v>
      </c>
      <c r="D105">
        <v>2.3302777777777774</v>
      </c>
    </row>
    <row r="106" spans="1:4">
      <c r="A106" s="13">
        <v>105</v>
      </c>
      <c r="B106" s="14" t="s">
        <v>189</v>
      </c>
      <c r="C106">
        <v>48.828333333333333</v>
      </c>
      <c r="D106">
        <v>2.326944444444444</v>
      </c>
    </row>
    <row r="107" spans="1:4">
      <c r="A107" s="13">
        <v>106</v>
      </c>
      <c r="B107" s="14" t="s">
        <v>763</v>
      </c>
      <c r="C107">
        <v>48.823055555555555</v>
      </c>
      <c r="D107">
        <v>2.3258333333333332</v>
      </c>
    </row>
    <row r="108" spans="1:4">
      <c r="A108" s="13">
        <v>107</v>
      </c>
      <c r="B108" s="14" t="s">
        <v>764</v>
      </c>
      <c r="C108">
        <v>48.818333333333335</v>
      </c>
      <c r="D108">
        <v>2.3194444444444442</v>
      </c>
    </row>
    <row r="109" spans="1:4">
      <c r="A109" s="13">
        <v>108</v>
      </c>
      <c r="B109" s="14" t="s">
        <v>328</v>
      </c>
      <c r="C109">
        <v>48.906374770299998</v>
      </c>
      <c r="D109">
        <v>2.4491899044899998</v>
      </c>
    </row>
    <row r="110" spans="1:4">
      <c r="A110" s="13">
        <v>109</v>
      </c>
      <c r="B110" s="14" t="s">
        <v>199</v>
      </c>
      <c r="C110">
        <v>48.895454673099998</v>
      </c>
      <c r="D110">
        <v>2.4253268915300001</v>
      </c>
    </row>
    <row r="111" spans="1:4">
      <c r="A111" s="13">
        <v>110</v>
      </c>
      <c r="B111" s="14" t="s">
        <v>200</v>
      </c>
      <c r="C111">
        <v>48.893257589999997</v>
      </c>
      <c r="D111">
        <v>2.41331313951</v>
      </c>
    </row>
    <row r="112" spans="1:4">
      <c r="A112" s="13">
        <v>111</v>
      </c>
      <c r="B112" s="14" t="s">
        <v>201</v>
      </c>
      <c r="C112">
        <v>48.891228594099999</v>
      </c>
      <c r="D112">
        <v>2.4023521466200002</v>
      </c>
    </row>
    <row r="113" spans="1:4">
      <c r="A113" s="13">
        <v>112</v>
      </c>
      <c r="B113" s="14" t="s">
        <v>329</v>
      </c>
      <c r="C113">
        <v>48.889472657699997</v>
      </c>
      <c r="D113">
        <v>2.3957953281600002</v>
      </c>
    </row>
    <row r="114" spans="1:4">
      <c r="A114" s="13">
        <v>113</v>
      </c>
      <c r="B114" s="14" t="s">
        <v>202</v>
      </c>
      <c r="C114">
        <v>48.887134869100002</v>
      </c>
      <c r="D114">
        <v>2.3869600171399998</v>
      </c>
    </row>
    <row r="115" spans="1:4">
      <c r="A115" s="13">
        <v>114</v>
      </c>
      <c r="B115" s="14" t="s">
        <v>203</v>
      </c>
      <c r="C115">
        <v>48.885216182999997</v>
      </c>
      <c r="D115">
        <v>2.3796630815599999</v>
      </c>
    </row>
    <row r="116" spans="1:4">
      <c r="A116" s="13">
        <v>115</v>
      </c>
      <c r="B116" s="14" t="s">
        <v>98</v>
      </c>
      <c r="C116">
        <v>48.8827381328</v>
      </c>
      <c r="D116">
        <v>2.3701223122799999</v>
      </c>
    </row>
    <row r="117" spans="1:4">
      <c r="A117" s="13">
        <v>116</v>
      </c>
      <c r="B117" s="14" t="s">
        <v>97</v>
      </c>
      <c r="C117">
        <v>48.883995220499997</v>
      </c>
      <c r="D117">
        <v>2.3689127033099999</v>
      </c>
    </row>
    <row r="118" spans="1:4">
      <c r="A118" s="13">
        <v>117</v>
      </c>
      <c r="B118" s="14" t="s">
        <v>154</v>
      </c>
      <c r="C118">
        <v>48.880922007599999</v>
      </c>
      <c r="D118">
        <v>2.3563285436600001</v>
      </c>
    </row>
    <row r="119" spans="1:4">
      <c r="A119" s="13">
        <v>118</v>
      </c>
      <c r="B119" s="14" t="s">
        <v>156</v>
      </c>
      <c r="C119">
        <v>48.8773756199</v>
      </c>
      <c r="D119">
        <v>2.3594566169400002</v>
      </c>
    </row>
    <row r="120" spans="1:4">
      <c r="A120" s="13">
        <v>119</v>
      </c>
      <c r="B120" s="14" t="s">
        <v>204</v>
      </c>
      <c r="C120">
        <v>48.870809983599997</v>
      </c>
      <c r="D120">
        <v>2.3610274627800001</v>
      </c>
    </row>
    <row r="121" spans="1:4">
      <c r="A121" s="13">
        <v>120</v>
      </c>
      <c r="B121" s="14" t="s">
        <v>132</v>
      </c>
      <c r="C121">
        <v>48.867503423800002</v>
      </c>
      <c r="D121">
        <v>2.3638261439799999</v>
      </c>
    </row>
    <row r="122" spans="1:4">
      <c r="A122" s="13">
        <v>121</v>
      </c>
      <c r="B122" s="14" t="s">
        <v>205</v>
      </c>
      <c r="C122">
        <v>48.864727620700002</v>
      </c>
      <c r="D122">
        <v>2.36849638711</v>
      </c>
    </row>
    <row r="123" spans="1:4">
      <c r="A123" s="13">
        <v>122</v>
      </c>
      <c r="B123" s="14" t="s">
        <v>206</v>
      </c>
      <c r="C123">
        <v>48.859873621699997</v>
      </c>
      <c r="D123">
        <v>2.3719139787599999</v>
      </c>
    </row>
    <row r="124" spans="1:4">
      <c r="A124" s="13">
        <v>123</v>
      </c>
      <c r="B124" s="14" t="s">
        <v>207</v>
      </c>
      <c r="C124">
        <v>48.856140713000002</v>
      </c>
      <c r="D124">
        <v>2.3702093410999998</v>
      </c>
    </row>
    <row r="125" spans="1:4">
      <c r="A125" s="13">
        <v>124</v>
      </c>
      <c r="B125" s="14" t="s">
        <v>51</v>
      </c>
      <c r="C125">
        <v>48.853436962300002</v>
      </c>
      <c r="D125">
        <v>2.36873657263</v>
      </c>
    </row>
    <row r="126" spans="1:4">
      <c r="A126" s="13">
        <v>125</v>
      </c>
      <c r="B126" s="14" t="s">
        <v>208</v>
      </c>
      <c r="C126">
        <v>48.846515406899996</v>
      </c>
      <c r="D126">
        <v>2.3658734666500001</v>
      </c>
    </row>
    <row r="127" spans="1:4">
      <c r="A127" s="13">
        <v>126</v>
      </c>
      <c r="B127" s="14" t="s">
        <v>209</v>
      </c>
      <c r="C127">
        <v>48.842360082500001</v>
      </c>
      <c r="D127">
        <v>2.3655817041099998</v>
      </c>
    </row>
    <row r="128" spans="1:4">
      <c r="A128" s="13">
        <v>127</v>
      </c>
      <c r="B128" s="14" t="s">
        <v>210</v>
      </c>
      <c r="C128">
        <v>48.838427296100001</v>
      </c>
      <c r="D128">
        <v>2.36096716635</v>
      </c>
    </row>
    <row r="129" spans="1:4">
      <c r="A129" s="13">
        <v>128</v>
      </c>
      <c r="B129" s="14" t="s">
        <v>211</v>
      </c>
      <c r="C129">
        <v>48.835495357200003</v>
      </c>
      <c r="D129">
        <v>2.3588234904399998</v>
      </c>
    </row>
    <row r="130" spans="1:4">
      <c r="A130" s="13">
        <v>129</v>
      </c>
      <c r="B130" s="14" t="s">
        <v>212</v>
      </c>
      <c r="C130">
        <v>48.8309953013</v>
      </c>
      <c r="D130">
        <v>2.3558348979699999</v>
      </c>
    </row>
    <row r="131" spans="1:4">
      <c r="A131" s="13">
        <v>130</v>
      </c>
      <c r="B131" s="14" t="s">
        <v>31</v>
      </c>
      <c r="C131">
        <v>48.874238476599999</v>
      </c>
      <c r="D131">
        <v>2.2944905914699998</v>
      </c>
    </row>
    <row r="132" spans="1:4">
      <c r="A132" s="13">
        <v>131</v>
      </c>
      <c r="B132" s="14" t="s">
        <v>222</v>
      </c>
      <c r="C132">
        <v>48.871649769100003</v>
      </c>
      <c r="D132">
        <v>2.2935242903400002</v>
      </c>
    </row>
    <row r="133" spans="1:4">
      <c r="A133" s="13">
        <v>132</v>
      </c>
      <c r="B133" s="14" t="s">
        <v>223</v>
      </c>
      <c r="C133">
        <v>48.866983109400003</v>
      </c>
      <c r="D133">
        <v>2.2900588335799998</v>
      </c>
    </row>
    <row r="134" spans="1:4">
      <c r="A134" s="13">
        <v>133</v>
      </c>
      <c r="B134" s="14" t="s">
        <v>224</v>
      </c>
      <c r="C134">
        <v>48.863073782199997</v>
      </c>
      <c r="D134">
        <v>2.2871668755000001</v>
      </c>
    </row>
    <row r="135" spans="1:4">
      <c r="A135" s="13">
        <v>134</v>
      </c>
      <c r="B135" s="14" t="s">
        <v>225</v>
      </c>
      <c r="C135">
        <v>48.857448691000002</v>
      </c>
      <c r="D135">
        <v>2.2858124441299998</v>
      </c>
    </row>
    <row r="136" spans="1:4">
      <c r="A136" s="13">
        <v>135</v>
      </c>
      <c r="B136" s="14" t="s">
        <v>244</v>
      </c>
      <c r="C136">
        <v>48.8539426062</v>
      </c>
      <c r="D136">
        <v>2.2893345327799999</v>
      </c>
    </row>
    <row r="137" spans="1:4">
      <c r="A137" s="13">
        <v>136</v>
      </c>
      <c r="B137" s="14" t="s">
        <v>226</v>
      </c>
      <c r="C137">
        <v>48.850434550800003</v>
      </c>
      <c r="D137">
        <v>2.29361243444</v>
      </c>
    </row>
    <row r="138" spans="1:4">
      <c r="A138" s="13">
        <v>137</v>
      </c>
      <c r="B138" s="14" t="s">
        <v>227</v>
      </c>
      <c r="C138">
        <v>48.849064563500001</v>
      </c>
      <c r="D138">
        <v>2.29791659184</v>
      </c>
    </row>
    <row r="139" spans="1:4">
      <c r="A139" s="13">
        <v>138</v>
      </c>
      <c r="B139" s="14" t="s">
        <v>228</v>
      </c>
      <c r="C139">
        <v>48.847507082</v>
      </c>
      <c r="D139">
        <v>2.30296829645</v>
      </c>
    </row>
    <row r="140" spans="1:4">
      <c r="A140" s="13">
        <v>139</v>
      </c>
      <c r="B140" s="14" t="s">
        <v>229</v>
      </c>
      <c r="C140">
        <v>48.845626966799998</v>
      </c>
      <c r="D140">
        <v>2.3095314928200001</v>
      </c>
    </row>
    <row r="141" spans="1:4">
      <c r="A141" s="13">
        <v>140</v>
      </c>
      <c r="B141" s="14" t="s">
        <v>230</v>
      </c>
      <c r="C141">
        <v>48.842920619099999</v>
      </c>
      <c r="D141">
        <v>2.31260704965</v>
      </c>
    </row>
    <row r="142" spans="1:4">
      <c r="A142" s="13">
        <v>141</v>
      </c>
      <c r="B142" s="14" t="s">
        <v>179</v>
      </c>
      <c r="C142">
        <v>48.841186921099997</v>
      </c>
      <c r="D142">
        <v>2.3205092275300001</v>
      </c>
    </row>
    <row r="143" spans="1:4">
      <c r="A143" s="13">
        <v>142</v>
      </c>
      <c r="B143" s="14" t="s">
        <v>231</v>
      </c>
      <c r="C143">
        <v>48.840663229299999</v>
      </c>
      <c r="D143">
        <v>2.3263846107899999</v>
      </c>
    </row>
    <row r="144" spans="1:4">
      <c r="A144" s="13">
        <v>143</v>
      </c>
      <c r="B144" s="14" t="s">
        <v>183</v>
      </c>
      <c r="C144">
        <v>48.838964280699997</v>
      </c>
      <c r="D144">
        <v>2.3307541920900001</v>
      </c>
    </row>
    <row r="145" spans="1:4">
      <c r="A145" s="13">
        <v>144</v>
      </c>
      <c r="B145" s="14" t="s">
        <v>185</v>
      </c>
      <c r="C145">
        <v>48.834292980500003</v>
      </c>
      <c r="D145">
        <v>2.3328523099599998</v>
      </c>
    </row>
    <row r="146" spans="1:4">
      <c r="A146" s="13">
        <v>145</v>
      </c>
      <c r="B146" s="14" t="s">
        <v>232</v>
      </c>
      <c r="C146">
        <v>48.8329008157</v>
      </c>
      <c r="D146">
        <v>2.3371351947100001</v>
      </c>
    </row>
    <row r="147" spans="1:4">
      <c r="A147" s="13">
        <v>146</v>
      </c>
      <c r="B147" s="14" t="s">
        <v>233</v>
      </c>
      <c r="C147">
        <v>48.831129548</v>
      </c>
      <c r="D147">
        <v>2.3435116577500001</v>
      </c>
    </row>
    <row r="148" spans="1:4">
      <c r="A148" s="13">
        <v>147</v>
      </c>
      <c r="B148" s="14" t="s">
        <v>234</v>
      </c>
      <c r="C148">
        <v>48.829790513699997</v>
      </c>
      <c r="D148">
        <v>2.3504148706499999</v>
      </c>
    </row>
    <row r="149" spans="1:4">
      <c r="A149" s="13">
        <v>148</v>
      </c>
      <c r="B149" s="14" t="s">
        <v>212</v>
      </c>
      <c r="C149">
        <v>48.8309953013</v>
      </c>
      <c r="D149">
        <v>2.3558348979699999</v>
      </c>
    </row>
    <row r="150" spans="1:4">
      <c r="A150" s="13">
        <v>149</v>
      </c>
      <c r="B150" s="14" t="s">
        <v>235</v>
      </c>
      <c r="C150">
        <v>48.833216719699998</v>
      </c>
      <c r="D150">
        <v>2.36285639952</v>
      </c>
    </row>
    <row r="151" spans="1:4">
      <c r="A151" s="13">
        <v>150</v>
      </c>
      <c r="B151" s="14" t="s">
        <v>236</v>
      </c>
      <c r="C151">
        <v>48.834947722300001</v>
      </c>
      <c r="D151">
        <v>2.3681263290599999</v>
      </c>
    </row>
    <row r="152" spans="1:4">
      <c r="A152" s="13">
        <v>151</v>
      </c>
      <c r="B152" s="14" t="s">
        <v>237</v>
      </c>
      <c r="C152">
        <v>48.837045120200003</v>
      </c>
      <c r="D152">
        <v>2.3728257245400002</v>
      </c>
    </row>
    <row r="153" spans="1:4">
      <c r="A153" s="13">
        <v>152</v>
      </c>
      <c r="B153" s="14" t="s">
        <v>238</v>
      </c>
      <c r="C153">
        <v>48.840302093399998</v>
      </c>
      <c r="D153">
        <v>2.3791217764399999</v>
      </c>
    </row>
    <row r="154" spans="1:4">
      <c r="A154" s="13">
        <v>153</v>
      </c>
      <c r="B154" s="14" t="s">
        <v>239</v>
      </c>
      <c r="C154">
        <v>48.839041143700001</v>
      </c>
      <c r="D154">
        <v>2.3896200154199998</v>
      </c>
    </row>
    <row r="155" spans="1:4">
      <c r="A155" s="13">
        <v>154</v>
      </c>
      <c r="B155" s="14" t="s">
        <v>240</v>
      </c>
      <c r="C155">
        <v>48.839567198300003</v>
      </c>
      <c r="D155">
        <v>2.3959529265900001</v>
      </c>
    </row>
    <row r="156" spans="1:4">
      <c r="A156" s="13">
        <v>155</v>
      </c>
      <c r="B156" s="14" t="s">
        <v>241</v>
      </c>
      <c r="C156">
        <v>48.841338247300001</v>
      </c>
      <c r="D156">
        <v>2.4009185367999999</v>
      </c>
    </row>
    <row r="157" spans="1:4">
      <c r="A157" s="13">
        <v>156</v>
      </c>
      <c r="B157" s="14" t="s">
        <v>242</v>
      </c>
      <c r="C157">
        <v>48.845061579899998</v>
      </c>
      <c r="D157">
        <v>2.4012890198300001</v>
      </c>
    </row>
    <row r="158" spans="1:4">
      <c r="A158" s="13">
        <v>157</v>
      </c>
      <c r="B158" s="14" t="s">
        <v>57</v>
      </c>
      <c r="C158">
        <v>48.848237110399999</v>
      </c>
      <c r="D158">
        <v>2.3958235888299999</v>
      </c>
    </row>
    <row r="159" spans="1:4">
      <c r="A159" s="13">
        <v>158</v>
      </c>
      <c r="B159" s="14" t="s">
        <v>250</v>
      </c>
      <c r="C159">
        <v>48.920833333333334</v>
      </c>
      <c r="D159">
        <v>2.4105555555555553</v>
      </c>
    </row>
    <row r="160" spans="1:4">
      <c r="A160" s="13">
        <v>159</v>
      </c>
      <c r="B160" s="14" t="s">
        <v>252</v>
      </c>
      <c r="C160">
        <v>48.914166666666667</v>
      </c>
      <c r="D160">
        <v>2.4041666666666668</v>
      </c>
    </row>
    <row r="161" spans="1:4">
      <c r="A161" s="13">
        <v>160</v>
      </c>
      <c r="B161" s="14" t="s">
        <v>254</v>
      </c>
      <c r="C161">
        <v>48.903888888888886</v>
      </c>
      <c r="D161">
        <v>2.3925000000000001</v>
      </c>
    </row>
    <row r="162" spans="1:4">
      <c r="A162" s="13">
        <v>161</v>
      </c>
      <c r="B162" s="14" t="s">
        <v>322</v>
      </c>
      <c r="C162">
        <v>48.896944444444443</v>
      </c>
      <c r="D162">
        <v>2.3858333333333333</v>
      </c>
    </row>
    <row r="163" spans="1:4">
      <c r="A163" s="13">
        <v>162</v>
      </c>
      <c r="B163" s="14" t="s">
        <v>257</v>
      </c>
      <c r="C163">
        <v>48.894722222222221</v>
      </c>
      <c r="D163">
        <v>2.3824999999999998</v>
      </c>
    </row>
    <row r="164" spans="1:4">
      <c r="A164" s="13">
        <v>163</v>
      </c>
      <c r="B164" s="14" t="s">
        <v>259</v>
      </c>
      <c r="C164">
        <v>48.891388888888891</v>
      </c>
      <c r="D164">
        <v>2.3772222222222221</v>
      </c>
    </row>
    <row r="165" spans="1:4">
      <c r="A165" s="13">
        <v>164</v>
      </c>
      <c r="B165" s="14" t="s">
        <v>261</v>
      </c>
      <c r="C165">
        <v>48.888333333333335</v>
      </c>
      <c r="D165">
        <v>2.3741666666666665</v>
      </c>
    </row>
    <row r="166" spans="1:4">
      <c r="A166" s="13">
        <v>165</v>
      </c>
      <c r="B166" s="14" t="s">
        <v>97</v>
      </c>
      <c r="C166">
        <v>48.884166666666665</v>
      </c>
      <c r="D166">
        <v>2.368611111111111</v>
      </c>
    </row>
    <row r="167" spans="1:4">
      <c r="A167" s="13">
        <v>166</v>
      </c>
      <c r="B167" s="14" t="s">
        <v>264</v>
      </c>
      <c r="C167">
        <v>48.881388888888893</v>
      </c>
      <c r="D167">
        <v>2.365277777777778</v>
      </c>
    </row>
    <row r="168" spans="1:4">
      <c r="A168" s="13">
        <v>167</v>
      </c>
      <c r="B168" s="14" t="s">
        <v>266</v>
      </c>
      <c r="C168">
        <v>48.878611111111113</v>
      </c>
      <c r="D168">
        <v>2.3619444444444446</v>
      </c>
    </row>
    <row r="169" spans="1:4">
      <c r="A169" s="13">
        <v>168</v>
      </c>
      <c r="B169" s="14" t="s">
        <v>156</v>
      </c>
      <c r="C169">
        <v>48.876111111111115</v>
      </c>
      <c r="D169">
        <v>2.3580555555555556</v>
      </c>
    </row>
    <row r="170" spans="1:4">
      <c r="A170" s="13">
        <v>169</v>
      </c>
      <c r="B170" s="14" t="s">
        <v>268</v>
      </c>
      <c r="C170">
        <v>48.876944444444447</v>
      </c>
      <c r="D170">
        <v>2.3491666666666666</v>
      </c>
    </row>
    <row r="171" spans="1:4">
      <c r="A171" s="13">
        <v>170</v>
      </c>
      <c r="B171" s="14" t="s">
        <v>270</v>
      </c>
      <c r="C171">
        <v>48.875833333333333</v>
      </c>
      <c r="D171">
        <v>2.3430555555555559</v>
      </c>
    </row>
    <row r="172" spans="1:4">
      <c r="A172" s="13">
        <v>171</v>
      </c>
      <c r="B172" s="14" t="s">
        <v>272</v>
      </c>
      <c r="C172">
        <v>48.875</v>
      </c>
      <c r="D172">
        <v>2.3405555555555555</v>
      </c>
    </row>
    <row r="173" spans="1:4">
      <c r="A173" s="13">
        <v>172</v>
      </c>
      <c r="B173" s="14" t="s">
        <v>274</v>
      </c>
      <c r="C173">
        <v>48.872777777777777</v>
      </c>
      <c r="D173">
        <v>2.3333333333333335</v>
      </c>
    </row>
    <row r="174" spans="1:4">
      <c r="A174" s="13">
        <v>173</v>
      </c>
      <c r="B174" s="14" t="s">
        <v>125</v>
      </c>
      <c r="C174">
        <v>48.870555555555555</v>
      </c>
      <c r="D174">
        <v>2.3327777777777774</v>
      </c>
    </row>
    <row r="175" spans="1:4">
      <c r="A175" s="13">
        <v>174</v>
      </c>
      <c r="B175" s="14" t="s">
        <v>277</v>
      </c>
      <c r="C175">
        <v>48.866388888888892</v>
      </c>
      <c r="D175">
        <v>2.3338888888888891</v>
      </c>
    </row>
    <row r="176" spans="1:4">
      <c r="A176" s="13">
        <v>175</v>
      </c>
      <c r="B176" s="14" t="s">
        <v>42</v>
      </c>
      <c r="C176">
        <v>48.862777777777779</v>
      </c>
      <c r="D176">
        <v>2.3361111111111112</v>
      </c>
    </row>
    <row r="177" spans="1:4">
      <c r="A177" s="13">
        <v>176</v>
      </c>
      <c r="B177" s="14" t="s">
        <v>280</v>
      </c>
      <c r="C177">
        <v>48.858611111111109</v>
      </c>
      <c r="D177">
        <v>2.3422222222222224</v>
      </c>
    </row>
    <row r="178" spans="1:4">
      <c r="A178" s="13">
        <v>177</v>
      </c>
      <c r="B178" s="14" t="s">
        <v>46</v>
      </c>
      <c r="C178">
        <v>48.858611111111109</v>
      </c>
      <c r="D178">
        <v>2.3472222222222223</v>
      </c>
    </row>
    <row r="179" spans="1:4">
      <c r="A179" s="13">
        <v>178</v>
      </c>
      <c r="B179" s="14" t="s">
        <v>318</v>
      </c>
      <c r="C179">
        <v>48.853611111111114</v>
      </c>
      <c r="D179">
        <v>2.3572222222222221</v>
      </c>
    </row>
    <row r="180" spans="1:4">
      <c r="A180" s="13">
        <v>179</v>
      </c>
      <c r="B180" s="14" t="s">
        <v>283</v>
      </c>
      <c r="C180">
        <v>48.851111111111109</v>
      </c>
      <c r="D180">
        <v>2.3625000000000003</v>
      </c>
    </row>
    <row r="181" spans="1:4">
      <c r="A181" s="13">
        <v>180</v>
      </c>
      <c r="B181" s="14" t="s">
        <v>285</v>
      </c>
      <c r="C181">
        <v>48.845833333333339</v>
      </c>
      <c r="D181">
        <v>2.3547222222222222</v>
      </c>
    </row>
    <row r="182" spans="1:4">
      <c r="A182" s="13">
        <v>181</v>
      </c>
      <c r="B182" s="14" t="s">
        <v>319</v>
      </c>
      <c r="C182">
        <v>48.843333333333334</v>
      </c>
      <c r="D182">
        <v>2.3525</v>
      </c>
    </row>
    <row r="183" spans="1:4">
      <c r="A183" s="13">
        <v>182</v>
      </c>
      <c r="B183" s="14" t="s">
        <v>288</v>
      </c>
      <c r="C183">
        <v>48.840555555555561</v>
      </c>
      <c r="D183">
        <v>2.3516666666666666</v>
      </c>
    </row>
    <row r="184" spans="1:4">
      <c r="A184" s="13">
        <v>183</v>
      </c>
      <c r="B184" s="14" t="s">
        <v>290</v>
      </c>
      <c r="C184">
        <v>48.836666666666666</v>
      </c>
      <c r="D184">
        <v>2.3519444444444444</v>
      </c>
    </row>
    <row r="185" spans="1:4">
      <c r="A185" s="13">
        <v>184</v>
      </c>
      <c r="B185" s="14" t="s">
        <v>212</v>
      </c>
      <c r="C185">
        <v>48.831388888888895</v>
      </c>
      <c r="D185">
        <v>2.3558333333333334</v>
      </c>
    </row>
    <row r="186" spans="1:4">
      <c r="A186" s="13">
        <v>185</v>
      </c>
      <c r="B186" s="14" t="s">
        <v>293</v>
      </c>
      <c r="C186">
        <v>48.826111111111118</v>
      </c>
      <c r="D186">
        <v>2.3569444444444447</v>
      </c>
    </row>
    <row r="187" spans="1:4">
      <c r="A187" s="13">
        <v>186</v>
      </c>
      <c r="B187" s="14" t="s">
        <v>295</v>
      </c>
      <c r="C187">
        <v>48.822222222222223</v>
      </c>
      <c r="D187">
        <v>2.3586111111111112</v>
      </c>
    </row>
    <row r="188" spans="1:4">
      <c r="A188" s="13">
        <v>187</v>
      </c>
      <c r="B188" s="14" t="s">
        <v>297</v>
      </c>
      <c r="C188">
        <v>48.810277777777777</v>
      </c>
      <c r="D188">
        <v>2.3619444444444446</v>
      </c>
    </row>
    <row r="189" spans="1:4">
      <c r="A189" s="13">
        <v>188</v>
      </c>
      <c r="B189" s="14" t="s">
        <v>299</v>
      </c>
      <c r="C189">
        <v>48.804722222222217</v>
      </c>
      <c r="D189">
        <v>2.3636111111111111</v>
      </c>
    </row>
    <row r="190" spans="1:4">
      <c r="A190" s="13">
        <v>189</v>
      </c>
      <c r="B190" s="14" t="s">
        <v>320</v>
      </c>
      <c r="C190">
        <v>48.796388888888885</v>
      </c>
      <c r="D190">
        <v>2.3680555555555558</v>
      </c>
    </row>
    <row r="191" spans="1:4">
      <c r="A191" s="13">
        <v>190</v>
      </c>
      <c r="B191" s="14" t="s">
        <v>302</v>
      </c>
      <c r="C191">
        <v>48.786944444444444</v>
      </c>
      <c r="D191">
        <v>2.3672222222222223</v>
      </c>
    </row>
    <row r="192" spans="1:4">
      <c r="A192" s="13">
        <v>191</v>
      </c>
      <c r="B192" s="14" t="s">
        <v>304</v>
      </c>
      <c r="C192">
        <v>48.819166666666668</v>
      </c>
      <c r="D192">
        <v>2.3594444444444447</v>
      </c>
    </row>
    <row r="193" spans="1:4">
      <c r="A193" s="13">
        <v>192</v>
      </c>
      <c r="B193" s="14" t="s">
        <v>306</v>
      </c>
      <c r="C193">
        <v>48.82</v>
      </c>
      <c r="D193">
        <v>2.3644444444444446</v>
      </c>
    </row>
    <row r="194" spans="1:4">
      <c r="A194" s="13">
        <v>193</v>
      </c>
      <c r="B194" s="14" t="s">
        <v>308</v>
      </c>
      <c r="C194">
        <v>48.821666666666673</v>
      </c>
      <c r="D194">
        <v>2.3691666666666666</v>
      </c>
    </row>
    <row r="195" spans="1:4">
      <c r="A195" s="13">
        <v>194</v>
      </c>
      <c r="B195" s="14" t="s">
        <v>310</v>
      </c>
      <c r="C195">
        <v>48.81583333333333</v>
      </c>
      <c r="D195">
        <v>2.3774999999999999</v>
      </c>
    </row>
    <row r="196" spans="1:4">
      <c r="A196" s="13">
        <v>195</v>
      </c>
      <c r="B196" s="14" t="s">
        <v>312</v>
      </c>
      <c r="C196">
        <v>48.81111111111111</v>
      </c>
      <c r="D196">
        <v>2.3827777777777777</v>
      </c>
    </row>
    <row r="197" spans="1:4">
      <c r="A197" s="13">
        <v>196</v>
      </c>
      <c r="B197" s="14" t="s">
        <v>264</v>
      </c>
      <c r="C197">
        <v>48.881584251</v>
      </c>
      <c r="D197">
        <v>2.3659210371000001</v>
      </c>
    </row>
    <row r="198" spans="1:4">
      <c r="A198" s="13">
        <v>197</v>
      </c>
      <c r="B198" s="14" t="s">
        <v>98</v>
      </c>
      <c r="C198">
        <v>48.8827381328</v>
      </c>
      <c r="D198">
        <v>2.3701223122799999</v>
      </c>
    </row>
    <row r="199" spans="1:4">
      <c r="A199" s="13">
        <v>198</v>
      </c>
      <c r="B199" s="14" t="s">
        <v>338</v>
      </c>
      <c r="C199">
        <v>48.880821261400001</v>
      </c>
      <c r="D199">
        <v>2.3741471538400001</v>
      </c>
    </row>
    <row r="200" spans="1:4">
      <c r="A200" s="13">
        <v>199</v>
      </c>
      <c r="B200" s="14" t="s">
        <v>339</v>
      </c>
      <c r="C200">
        <v>48.878514113999998</v>
      </c>
      <c r="D200">
        <v>2.3816145132900002</v>
      </c>
    </row>
    <row r="201" spans="1:4">
      <c r="A201" s="13">
        <v>200</v>
      </c>
      <c r="B201" s="14" t="s">
        <v>340</v>
      </c>
      <c r="C201">
        <v>48.879481771899997</v>
      </c>
      <c r="D201">
        <v>2.3891158073800001</v>
      </c>
    </row>
    <row r="202" spans="1:4">
      <c r="A202" s="13">
        <v>201</v>
      </c>
      <c r="B202" s="14" t="s">
        <v>341</v>
      </c>
      <c r="C202">
        <v>48.881931999599999</v>
      </c>
      <c r="D202">
        <v>2.39344545239</v>
      </c>
    </row>
    <row r="203" spans="1:4">
      <c r="A203" s="13">
        <v>202</v>
      </c>
      <c r="B203" s="14" t="s">
        <v>342</v>
      </c>
      <c r="C203">
        <v>48.876806389199999</v>
      </c>
      <c r="D203">
        <v>2.3930560933199998</v>
      </c>
    </row>
    <row r="204" spans="1:4">
      <c r="A204" s="13">
        <v>203</v>
      </c>
      <c r="B204" s="14" t="s">
        <v>343</v>
      </c>
      <c r="C204">
        <v>48.879995794400003</v>
      </c>
      <c r="D204">
        <v>2.3989466624600002</v>
      </c>
    </row>
    <row r="205" spans="1:4">
      <c r="A205" s="13">
        <v>204</v>
      </c>
      <c r="B205" s="14" t="s">
        <v>345</v>
      </c>
      <c r="C205">
        <v>48.8360967841</v>
      </c>
      <c r="D205">
        <v>2.27823795192</v>
      </c>
    </row>
    <row r="206" spans="1:4">
      <c r="A206" s="13">
        <v>205</v>
      </c>
      <c r="B206" s="14" t="s">
        <v>346</v>
      </c>
      <c r="C206">
        <v>48.838960939400003</v>
      </c>
      <c r="D206">
        <v>2.2827000272400002</v>
      </c>
    </row>
    <row r="207" spans="1:4">
      <c r="A207" s="13">
        <v>206</v>
      </c>
      <c r="B207" s="14" t="s">
        <v>347</v>
      </c>
      <c r="C207">
        <v>48.841094056300001</v>
      </c>
      <c r="D207">
        <v>2.2879457665</v>
      </c>
    </row>
    <row r="208" spans="1:4">
      <c r="A208" s="13">
        <v>207</v>
      </c>
      <c r="B208" s="14" t="s">
        <v>348</v>
      </c>
      <c r="C208">
        <v>48.842746779800002</v>
      </c>
      <c r="D208">
        <v>2.29191241332</v>
      </c>
    </row>
    <row r="209" spans="1:4">
      <c r="A209" s="13">
        <v>208</v>
      </c>
      <c r="B209" s="14" t="s">
        <v>349</v>
      </c>
      <c r="C209">
        <v>48.844794764600003</v>
      </c>
      <c r="D209">
        <v>2.2939519636400001</v>
      </c>
    </row>
    <row r="210" spans="1:4">
      <c r="A210" s="13">
        <v>209</v>
      </c>
      <c r="B210" s="14" t="s">
        <v>227</v>
      </c>
      <c r="C210">
        <v>48.849064563500001</v>
      </c>
      <c r="D210">
        <v>2.29791659184</v>
      </c>
    </row>
    <row r="211" spans="1:4">
      <c r="A211" s="13">
        <v>210</v>
      </c>
      <c r="B211" s="14" t="s">
        <v>350</v>
      </c>
      <c r="C211">
        <v>48.854682156899997</v>
      </c>
      <c r="D211">
        <v>2.3060974036999999</v>
      </c>
    </row>
    <row r="212" spans="1:4">
      <c r="A212" s="13">
        <v>211</v>
      </c>
      <c r="B212" s="14" t="s">
        <v>351</v>
      </c>
      <c r="C212">
        <v>48.857725412900002</v>
      </c>
      <c r="D212">
        <v>2.31056596095</v>
      </c>
    </row>
    <row r="213" spans="1:4">
      <c r="A213" s="13">
        <v>212</v>
      </c>
      <c r="B213" s="14" t="s">
        <v>352</v>
      </c>
      <c r="C213">
        <v>48.862901844200003</v>
      </c>
      <c r="D213">
        <v>2.31390890638</v>
      </c>
    </row>
    <row r="214" spans="1:4">
      <c r="A214" s="13">
        <v>213</v>
      </c>
      <c r="B214" s="14" t="s">
        <v>38</v>
      </c>
      <c r="C214">
        <v>48.866285804599997</v>
      </c>
      <c r="D214">
        <v>2.3229434122399999</v>
      </c>
    </row>
    <row r="215" spans="1:4">
      <c r="A215" s="13">
        <v>214</v>
      </c>
      <c r="B215" s="14" t="s">
        <v>353</v>
      </c>
      <c r="C215">
        <v>48.8700997328</v>
      </c>
      <c r="D215">
        <v>2.3251641095400002</v>
      </c>
    </row>
    <row r="216" spans="1:4">
      <c r="A216" s="13">
        <v>215</v>
      </c>
      <c r="B216" s="14" t="s">
        <v>125</v>
      </c>
      <c r="C216">
        <v>48.870677681799997</v>
      </c>
      <c r="D216">
        <v>2.3323546392600001</v>
      </c>
    </row>
    <row r="217" spans="1:4">
      <c r="A217" s="13">
        <v>216</v>
      </c>
      <c r="B217" s="14" t="s">
        <v>354</v>
      </c>
      <c r="C217">
        <v>48.872013463800002</v>
      </c>
      <c r="D217">
        <v>2.3400517857400001</v>
      </c>
    </row>
    <row r="218" spans="1:4">
      <c r="A218" s="13">
        <v>217</v>
      </c>
      <c r="B218" s="14" t="s">
        <v>355</v>
      </c>
      <c r="C218">
        <v>48.871497739399999</v>
      </c>
      <c r="D218">
        <v>2.3431547730800002</v>
      </c>
    </row>
    <row r="219" spans="1:4">
      <c r="A219" s="13">
        <v>218</v>
      </c>
      <c r="B219" s="14" t="s">
        <v>356</v>
      </c>
      <c r="C219">
        <v>48.8701642009</v>
      </c>
      <c r="D219">
        <v>2.3504979718599999</v>
      </c>
    </row>
    <row r="220" spans="1:4">
      <c r="A220" s="13">
        <v>219</v>
      </c>
      <c r="B220" s="14" t="s">
        <v>160</v>
      </c>
      <c r="C220">
        <v>48.869294007699999</v>
      </c>
      <c r="D220">
        <v>2.3542808790800001</v>
      </c>
    </row>
    <row r="221" spans="1:4">
      <c r="A221" s="13">
        <v>220</v>
      </c>
      <c r="B221" s="14" t="s">
        <v>132</v>
      </c>
      <c r="C221">
        <v>48.867503423800002</v>
      </c>
      <c r="D221">
        <v>2.3638261439799999</v>
      </c>
    </row>
    <row r="222" spans="1:4">
      <c r="A222" s="13">
        <v>221</v>
      </c>
      <c r="B222" s="14" t="s">
        <v>357</v>
      </c>
      <c r="C222">
        <v>48.863257945000001</v>
      </c>
      <c r="D222">
        <v>2.36666109472</v>
      </c>
    </row>
    <row r="223" spans="1:4">
      <c r="A223" s="13">
        <v>222</v>
      </c>
      <c r="B223" s="14" t="s">
        <v>358</v>
      </c>
      <c r="C223">
        <v>48.861168865499998</v>
      </c>
      <c r="D223">
        <v>2.3672108664099998</v>
      </c>
    </row>
    <row r="224" spans="1:4">
      <c r="A224" s="13">
        <v>223</v>
      </c>
      <c r="B224" s="14" t="s">
        <v>359</v>
      </c>
      <c r="C224">
        <v>48.857420037499999</v>
      </c>
      <c r="D224">
        <v>2.3681082907</v>
      </c>
    </row>
    <row r="225" spans="1:4">
      <c r="A225" s="13">
        <v>224</v>
      </c>
      <c r="B225" s="14" t="s">
        <v>51</v>
      </c>
      <c r="C225">
        <v>48.853436962300002</v>
      </c>
      <c r="D225">
        <v>2.36873657263</v>
      </c>
    </row>
    <row r="226" spans="1:4">
      <c r="A226" s="13">
        <v>225</v>
      </c>
      <c r="B226" s="14" t="s">
        <v>360</v>
      </c>
      <c r="C226">
        <v>48.8512711264</v>
      </c>
      <c r="D226">
        <v>2.3761187747000001</v>
      </c>
    </row>
    <row r="227" spans="1:4">
      <c r="A227" s="13">
        <v>226</v>
      </c>
      <c r="B227" s="14" t="s">
        <v>361</v>
      </c>
      <c r="C227">
        <v>48.850177861900001</v>
      </c>
      <c r="D227">
        <v>2.3840922100699999</v>
      </c>
    </row>
    <row r="228" spans="1:4">
      <c r="A228" s="13">
        <v>227</v>
      </c>
      <c r="B228" s="14" t="s">
        <v>55</v>
      </c>
      <c r="C228">
        <v>48.847354516899998</v>
      </c>
      <c r="D228">
        <v>2.3868084457799998</v>
      </c>
    </row>
    <row r="229" spans="1:4">
      <c r="A229" s="13">
        <v>228</v>
      </c>
      <c r="B229" s="14" t="s">
        <v>362</v>
      </c>
      <c r="C229">
        <v>48.844408672100002</v>
      </c>
      <c r="D229">
        <v>2.39007511282</v>
      </c>
    </row>
    <row r="230" spans="1:4">
      <c r="A230" s="13">
        <v>229</v>
      </c>
      <c r="B230" s="14" t="s">
        <v>240</v>
      </c>
      <c r="C230">
        <v>48.839567198300003</v>
      </c>
      <c r="D230">
        <v>2.3959529265900001</v>
      </c>
    </row>
    <row r="231" spans="1:4">
      <c r="A231" s="13">
        <v>230</v>
      </c>
      <c r="B231" s="14" t="s">
        <v>363</v>
      </c>
      <c r="C231">
        <v>48.837117007000003</v>
      </c>
      <c r="D231">
        <v>2.40233316592</v>
      </c>
    </row>
    <row r="232" spans="1:4">
      <c r="A232" s="13">
        <v>231</v>
      </c>
      <c r="B232" s="14" t="s">
        <v>364</v>
      </c>
      <c r="C232">
        <v>48.834764459900001</v>
      </c>
      <c r="D232">
        <v>2.4053493429500001</v>
      </c>
    </row>
    <row r="233" spans="1:4">
      <c r="A233" s="13">
        <v>232</v>
      </c>
      <c r="B233" s="14" t="s">
        <v>365</v>
      </c>
      <c r="C233">
        <v>48.832304960499997</v>
      </c>
      <c r="D233">
        <v>2.39918151028</v>
      </c>
    </row>
    <row r="234" spans="1:4">
      <c r="A234" s="13">
        <v>233</v>
      </c>
      <c r="B234" s="14" t="s">
        <v>366</v>
      </c>
      <c r="C234">
        <v>48.826054999199997</v>
      </c>
      <c r="D234">
        <v>2.4067422231700002</v>
      </c>
    </row>
    <row r="235" spans="1:4">
      <c r="A235" s="13">
        <v>234</v>
      </c>
      <c r="B235" s="14" t="s">
        <v>367</v>
      </c>
      <c r="C235">
        <v>48.821595767300003</v>
      </c>
      <c r="D235">
        <v>2.4137375161499999</v>
      </c>
    </row>
    <row r="236" spans="1:4">
      <c r="A236" s="13">
        <v>235</v>
      </c>
      <c r="B236" s="14" t="s">
        <v>368</v>
      </c>
      <c r="C236">
        <v>48.814803007000002</v>
      </c>
      <c r="D236">
        <v>2.4223761428500001</v>
      </c>
    </row>
    <row r="237" spans="1:4">
      <c r="A237" s="13">
        <v>236</v>
      </c>
      <c r="B237" s="14" t="s">
        <v>369</v>
      </c>
      <c r="C237">
        <v>48.8091443609</v>
      </c>
      <c r="D237">
        <v>2.4345098959299998</v>
      </c>
    </row>
    <row r="238" spans="1:4">
      <c r="A238" s="13">
        <v>237</v>
      </c>
      <c r="B238" s="14" t="s">
        <v>370</v>
      </c>
      <c r="C238">
        <v>48.802637690700003</v>
      </c>
      <c r="D238">
        <v>2.4469274842400002</v>
      </c>
    </row>
    <row r="239" spans="1:4">
      <c r="A239" s="13">
        <v>238</v>
      </c>
      <c r="B239" s="14" t="s">
        <v>382</v>
      </c>
      <c r="C239">
        <v>48.796740766600003</v>
      </c>
      <c r="D239">
        <v>2.4494331756899999</v>
      </c>
    </row>
    <row r="240" spans="1:4">
      <c r="A240" s="13">
        <v>239</v>
      </c>
      <c r="B240" s="14" t="s">
        <v>371</v>
      </c>
      <c r="C240">
        <v>48.7899783103</v>
      </c>
      <c r="D240">
        <v>2.4504531779200001</v>
      </c>
    </row>
    <row r="241" spans="1:4">
      <c r="A241" s="13">
        <v>240</v>
      </c>
      <c r="B241" s="14" t="s">
        <v>381</v>
      </c>
      <c r="C241">
        <v>48.779905317000001</v>
      </c>
      <c r="D241">
        <v>2.4593683962599999</v>
      </c>
    </row>
    <row r="242" spans="1:4">
      <c r="A242" s="13">
        <v>241</v>
      </c>
      <c r="B242" s="14" t="s">
        <v>372</v>
      </c>
      <c r="C242">
        <v>48.768715125299998</v>
      </c>
      <c r="D242">
        <v>2.4645649932100002</v>
      </c>
    </row>
    <row r="243" spans="1:4">
      <c r="A243" s="13">
        <v>242</v>
      </c>
      <c r="B243" s="14" t="s">
        <v>383</v>
      </c>
      <c r="C243">
        <v>48.829674843799999</v>
      </c>
      <c r="D243">
        <v>2.2307995913199998</v>
      </c>
    </row>
    <row r="244" spans="1:4">
      <c r="A244" s="13">
        <v>243</v>
      </c>
      <c r="B244" s="14" t="s">
        <v>384</v>
      </c>
      <c r="C244">
        <v>48.832110560099999</v>
      </c>
      <c r="D244">
        <v>2.23863934858</v>
      </c>
    </row>
    <row r="245" spans="1:4">
      <c r="A245" s="13">
        <v>244</v>
      </c>
      <c r="B245" s="14" t="s">
        <v>385</v>
      </c>
      <c r="C245">
        <v>48.833708850000001</v>
      </c>
      <c r="D245">
        <v>2.24384059509</v>
      </c>
    </row>
    <row r="246" spans="1:4">
      <c r="A246" s="13">
        <v>245</v>
      </c>
      <c r="B246" s="14" t="s">
        <v>412</v>
      </c>
      <c r="C246">
        <v>48.837961213500002</v>
      </c>
      <c r="D246">
        <v>2.2571222298500002</v>
      </c>
    </row>
    <row r="247" spans="1:4">
      <c r="A247" s="13">
        <v>246</v>
      </c>
      <c r="B247" s="14" t="s">
        <v>386</v>
      </c>
      <c r="C247">
        <v>48.842938695900003</v>
      </c>
      <c r="D247">
        <v>2.2600329022099999</v>
      </c>
    </row>
    <row r="248" spans="1:4">
      <c r="A248" s="13">
        <v>247</v>
      </c>
      <c r="B248" s="14" t="s">
        <v>387</v>
      </c>
      <c r="C248">
        <v>48.845241194800003</v>
      </c>
      <c r="D248">
        <v>2.26189364176</v>
      </c>
    </row>
    <row r="249" spans="1:4">
      <c r="A249" s="13">
        <v>248</v>
      </c>
      <c r="B249" s="14" t="s">
        <v>388</v>
      </c>
      <c r="C249">
        <v>48.847943097200002</v>
      </c>
      <c r="D249">
        <v>2.26413042674</v>
      </c>
    </row>
    <row r="250" spans="1:4">
      <c r="A250" s="13">
        <v>249</v>
      </c>
      <c r="B250" s="14" t="s">
        <v>389</v>
      </c>
      <c r="C250">
        <v>48.8525040906</v>
      </c>
      <c r="D250">
        <v>2.2681767494399998</v>
      </c>
    </row>
    <row r="251" spans="1:4">
      <c r="A251" s="13">
        <v>250</v>
      </c>
      <c r="B251" s="14" t="s">
        <v>390</v>
      </c>
      <c r="C251">
        <v>48.855485049499997</v>
      </c>
      <c r="D251">
        <v>2.2701091389500001</v>
      </c>
    </row>
    <row r="252" spans="1:4">
      <c r="A252" s="13">
        <v>251</v>
      </c>
      <c r="B252" s="14" t="s">
        <v>391</v>
      </c>
      <c r="C252">
        <v>48.858046055400003</v>
      </c>
      <c r="D252">
        <v>2.2741546283699998</v>
      </c>
    </row>
    <row r="253" spans="1:4">
      <c r="A253" s="13">
        <v>252</v>
      </c>
      <c r="B253" s="14" t="s">
        <v>392</v>
      </c>
      <c r="C253">
        <v>48.863974445799997</v>
      </c>
      <c r="D253">
        <v>2.2781125625400001</v>
      </c>
    </row>
    <row r="254" spans="1:4">
      <c r="A254" s="13">
        <v>253</v>
      </c>
      <c r="B254" s="14" t="s">
        <v>224</v>
      </c>
      <c r="C254">
        <v>48.863073782199997</v>
      </c>
      <c r="D254">
        <v>2.2871668755000001</v>
      </c>
    </row>
    <row r="255" spans="1:4">
      <c r="A255" s="13">
        <v>254</v>
      </c>
      <c r="B255" s="14" t="s">
        <v>393</v>
      </c>
      <c r="C255">
        <v>48.864794064900003</v>
      </c>
      <c r="D255">
        <v>2.2941620140299999</v>
      </c>
    </row>
    <row r="256" spans="1:4">
      <c r="A256" s="13">
        <v>255</v>
      </c>
      <c r="B256" s="14" t="s">
        <v>394</v>
      </c>
      <c r="C256">
        <v>48.864766844999998</v>
      </c>
      <c r="D256">
        <v>2.3009910035000001</v>
      </c>
    </row>
    <row r="257" spans="1:4">
      <c r="A257" s="13">
        <v>256</v>
      </c>
      <c r="B257" s="14" t="s">
        <v>35</v>
      </c>
      <c r="C257">
        <v>48.869026527300001</v>
      </c>
      <c r="D257">
        <v>2.30993538871</v>
      </c>
    </row>
    <row r="258" spans="1:4">
      <c r="A258" s="13">
        <v>257</v>
      </c>
      <c r="B258" s="14" t="s">
        <v>395</v>
      </c>
      <c r="C258">
        <v>48.872422383699998</v>
      </c>
      <c r="D258">
        <v>2.3100383446200001</v>
      </c>
    </row>
    <row r="259" spans="1:4">
      <c r="A259" s="13">
        <v>258</v>
      </c>
      <c r="B259" s="14" t="s">
        <v>396</v>
      </c>
      <c r="C259">
        <v>48.873685210600001</v>
      </c>
      <c r="D259">
        <v>2.3144679895700002</v>
      </c>
    </row>
    <row r="260" spans="1:4">
      <c r="A260" s="13">
        <v>259</v>
      </c>
      <c r="B260" s="14" t="s">
        <v>397</v>
      </c>
      <c r="C260">
        <v>48.874558384700002</v>
      </c>
      <c r="D260">
        <v>2.3213619281</v>
      </c>
    </row>
    <row r="261" spans="1:4">
      <c r="A261" s="13">
        <v>260</v>
      </c>
      <c r="B261" s="14" t="s">
        <v>124</v>
      </c>
      <c r="C261">
        <v>48.873806733899997</v>
      </c>
      <c r="D261">
        <v>2.3269998588799998</v>
      </c>
    </row>
    <row r="262" spans="1:4">
      <c r="A262" s="13">
        <v>261</v>
      </c>
      <c r="B262" s="14" t="s">
        <v>274</v>
      </c>
      <c r="C262">
        <v>48.872968140799998</v>
      </c>
      <c r="D262">
        <v>2.3332570917900002</v>
      </c>
    </row>
    <row r="263" spans="1:4">
      <c r="A263" s="13">
        <v>262</v>
      </c>
      <c r="B263" s="14" t="s">
        <v>354</v>
      </c>
      <c r="C263">
        <v>48.872013463800002</v>
      </c>
      <c r="D263">
        <v>2.3400517857400001</v>
      </c>
    </row>
    <row r="264" spans="1:4">
      <c r="A264" s="13">
        <v>263</v>
      </c>
      <c r="B264" s="14" t="s">
        <v>355</v>
      </c>
      <c r="C264">
        <v>48.871497739399999</v>
      </c>
      <c r="D264">
        <v>2.3431547730800002</v>
      </c>
    </row>
    <row r="265" spans="1:4">
      <c r="A265" s="13">
        <v>264</v>
      </c>
      <c r="B265" s="14" t="s">
        <v>356</v>
      </c>
      <c r="C265">
        <v>48.8701642009</v>
      </c>
      <c r="D265">
        <v>2.3504979718599999</v>
      </c>
    </row>
    <row r="266" spans="1:4">
      <c r="A266" s="13">
        <v>265</v>
      </c>
      <c r="B266" s="14" t="s">
        <v>160</v>
      </c>
      <c r="C266">
        <v>48.869294007699999</v>
      </c>
      <c r="D266">
        <v>2.3542808790800001</v>
      </c>
    </row>
    <row r="267" spans="1:4">
      <c r="A267" s="13">
        <v>266</v>
      </c>
      <c r="B267" s="14" t="s">
        <v>132</v>
      </c>
      <c r="C267">
        <v>48.867503423800002</v>
      </c>
      <c r="D267">
        <v>2.3638261439799999</v>
      </c>
    </row>
    <row r="268" spans="1:4">
      <c r="A268" s="13">
        <v>267</v>
      </c>
      <c r="B268" s="14" t="s">
        <v>205</v>
      </c>
      <c r="C268">
        <v>48.864727620700002</v>
      </c>
      <c r="D268">
        <v>2.36849638711</v>
      </c>
    </row>
    <row r="269" spans="1:4">
      <c r="A269" s="13">
        <v>268</v>
      </c>
      <c r="B269" s="14" t="s">
        <v>398</v>
      </c>
      <c r="C269">
        <v>48.861019259899997</v>
      </c>
      <c r="D269">
        <v>2.3747334312800001</v>
      </c>
    </row>
    <row r="270" spans="1:4">
      <c r="A270" s="13">
        <v>269</v>
      </c>
      <c r="B270" s="14" t="s">
        <v>399</v>
      </c>
      <c r="C270">
        <v>48.857453722700001</v>
      </c>
      <c r="D270">
        <v>2.3807187858600001</v>
      </c>
    </row>
    <row r="271" spans="1:4">
      <c r="A271" s="13">
        <v>270</v>
      </c>
      <c r="B271" s="14" t="s">
        <v>400</v>
      </c>
      <c r="C271">
        <v>48.854580499100003</v>
      </c>
      <c r="D271">
        <v>2.3855634808200001</v>
      </c>
    </row>
    <row r="272" spans="1:4">
      <c r="A272" s="13">
        <v>271</v>
      </c>
      <c r="B272" s="14" t="s">
        <v>401</v>
      </c>
      <c r="C272">
        <v>48.852315427400001</v>
      </c>
      <c r="D272">
        <v>2.3893781279200001</v>
      </c>
    </row>
    <row r="273" spans="1:4">
      <c r="A273" s="13">
        <v>272</v>
      </c>
      <c r="B273" s="14" t="s">
        <v>57</v>
      </c>
      <c r="C273">
        <v>48.848237110399999</v>
      </c>
      <c r="D273">
        <v>2.3958235888299999</v>
      </c>
    </row>
    <row r="274" spans="1:4">
      <c r="A274" s="13">
        <v>273</v>
      </c>
      <c r="B274" s="14" t="s">
        <v>402</v>
      </c>
      <c r="C274">
        <v>48.851812133000003</v>
      </c>
      <c r="D274">
        <v>2.4010222705199999</v>
      </c>
    </row>
    <row r="275" spans="1:4">
      <c r="A275" s="13">
        <v>274</v>
      </c>
      <c r="B275" s="14" t="s">
        <v>403</v>
      </c>
      <c r="C275">
        <v>48.852725119299997</v>
      </c>
      <c r="D275">
        <v>2.4060891632399999</v>
      </c>
    </row>
    <row r="276" spans="1:4">
      <c r="A276" s="13">
        <v>275</v>
      </c>
      <c r="B276" s="14" t="s">
        <v>404</v>
      </c>
      <c r="C276">
        <v>48.853543916100001</v>
      </c>
      <c r="D276">
        <v>2.4106264257399999</v>
      </c>
    </row>
    <row r="277" spans="1:4">
      <c r="A277" s="13">
        <v>276</v>
      </c>
      <c r="B277" s="14" t="s">
        <v>405</v>
      </c>
      <c r="C277">
        <v>48.855726428600001</v>
      </c>
      <c r="D277">
        <v>2.42298321615</v>
      </c>
    </row>
    <row r="278" spans="1:4">
      <c r="A278" s="13">
        <v>277</v>
      </c>
      <c r="B278" s="14" t="s">
        <v>406</v>
      </c>
      <c r="C278">
        <v>48.857965592100001</v>
      </c>
      <c r="D278">
        <v>2.43555571977</v>
      </c>
    </row>
    <row r="279" spans="1:4">
      <c r="A279" s="13">
        <v>278</v>
      </c>
      <c r="B279" s="14" t="s">
        <v>765</v>
      </c>
      <c r="C279">
        <v>48.861936913199997</v>
      </c>
      <c r="D279">
        <v>2.4413109399000001</v>
      </c>
    </row>
    <row r="280" spans="1:4">
      <c r="A280" s="13">
        <v>279</v>
      </c>
      <c r="B280" s="14" t="s">
        <v>413</v>
      </c>
      <c r="C280">
        <v>48.8407450152</v>
      </c>
      <c r="D280">
        <v>2.2285369815</v>
      </c>
    </row>
    <row r="281" spans="1:4">
      <c r="A281" s="13">
        <v>280</v>
      </c>
      <c r="B281" s="14" t="s">
        <v>414</v>
      </c>
      <c r="C281">
        <v>48.842005347300002</v>
      </c>
      <c r="D281">
        <v>2.2388873285200002</v>
      </c>
    </row>
    <row r="282" spans="1:4">
      <c r="A282" s="13">
        <v>281</v>
      </c>
      <c r="B282" s="14" t="s">
        <v>415</v>
      </c>
      <c r="C282">
        <v>48.8479715406</v>
      </c>
      <c r="D282">
        <v>2.2577446803800001</v>
      </c>
    </row>
    <row r="283" spans="1:4">
      <c r="A283" s="13">
        <v>282</v>
      </c>
      <c r="B283" s="14" t="s">
        <v>387</v>
      </c>
      <c r="C283">
        <v>48.845241194800003</v>
      </c>
      <c r="D283">
        <v>2.26189364176</v>
      </c>
    </row>
    <row r="284" spans="1:4">
      <c r="A284" s="13">
        <v>283</v>
      </c>
      <c r="B284" s="14" t="s">
        <v>388</v>
      </c>
      <c r="C284">
        <v>48.847943097200002</v>
      </c>
      <c r="D284">
        <v>2.26413042674</v>
      </c>
    </row>
    <row r="285" spans="1:4">
      <c r="A285" s="13">
        <v>284</v>
      </c>
      <c r="B285" s="14" t="s">
        <v>416</v>
      </c>
      <c r="C285">
        <v>48.845204702700002</v>
      </c>
      <c r="D285">
        <v>2.2664415403699998</v>
      </c>
    </row>
    <row r="286" spans="1:4">
      <c r="A286" s="13">
        <v>285</v>
      </c>
      <c r="B286" s="14" t="s">
        <v>417</v>
      </c>
      <c r="C286">
        <v>48.847150055699998</v>
      </c>
      <c r="D286">
        <v>2.2691358727300002</v>
      </c>
    </row>
    <row r="287" spans="1:4">
      <c r="A287" s="13">
        <v>286</v>
      </c>
      <c r="B287" s="14" t="s">
        <v>418</v>
      </c>
      <c r="C287">
        <v>48.847131008200002</v>
      </c>
      <c r="D287">
        <v>2.27276375332</v>
      </c>
    </row>
    <row r="288" spans="1:4">
      <c r="A288" s="13">
        <v>287</v>
      </c>
      <c r="B288" s="14" t="s">
        <v>419</v>
      </c>
      <c r="C288">
        <v>48.846192140500001</v>
      </c>
      <c r="D288">
        <v>2.27676096738</v>
      </c>
    </row>
    <row r="289" spans="1:4">
      <c r="A289" s="13">
        <v>288</v>
      </c>
      <c r="B289" s="14" t="s">
        <v>420</v>
      </c>
      <c r="C289">
        <v>48.8465346367</v>
      </c>
      <c r="D289">
        <v>2.2859992220600001</v>
      </c>
    </row>
    <row r="290" spans="1:4">
      <c r="A290" s="13">
        <v>289</v>
      </c>
      <c r="B290" s="14" t="s">
        <v>421</v>
      </c>
      <c r="C290">
        <v>48.8470195819</v>
      </c>
      <c r="D290">
        <v>2.29542047803</v>
      </c>
    </row>
    <row r="291" spans="1:4">
      <c r="A291" s="13">
        <v>290</v>
      </c>
      <c r="B291" s="14" t="s">
        <v>227</v>
      </c>
      <c r="C291">
        <v>48.849064563500001</v>
      </c>
      <c r="D291">
        <v>2.29791659184</v>
      </c>
    </row>
    <row r="292" spans="1:4">
      <c r="A292" s="13">
        <v>291</v>
      </c>
      <c r="B292" s="14" t="s">
        <v>422</v>
      </c>
      <c r="C292">
        <v>48.847066133200002</v>
      </c>
      <c r="D292">
        <v>2.3074022406200001</v>
      </c>
    </row>
    <row r="293" spans="1:4">
      <c r="A293" s="13">
        <v>292</v>
      </c>
      <c r="B293" s="14" t="s">
        <v>423</v>
      </c>
      <c r="C293">
        <v>48.846854854900002</v>
      </c>
      <c r="D293">
        <v>2.3166346711100001</v>
      </c>
    </row>
    <row r="294" spans="1:4">
      <c r="A294" s="13">
        <v>293</v>
      </c>
      <c r="B294" s="14" t="s">
        <v>424</v>
      </c>
      <c r="C294">
        <v>48.848816372500004</v>
      </c>
      <c r="D294">
        <v>2.32125786291</v>
      </c>
    </row>
    <row r="295" spans="1:4">
      <c r="A295" s="13">
        <v>294</v>
      </c>
      <c r="B295" s="14" t="s">
        <v>425</v>
      </c>
      <c r="C295">
        <v>48.851378829700003</v>
      </c>
      <c r="D295">
        <v>2.32693524475</v>
      </c>
    </row>
    <row r="296" spans="1:4">
      <c r="A296" s="13">
        <v>295</v>
      </c>
      <c r="B296" s="14" t="s">
        <v>426</v>
      </c>
      <c r="C296">
        <v>48.853016767</v>
      </c>
      <c r="D296">
        <v>2.3355020503800001</v>
      </c>
    </row>
    <row r="297" spans="1:4">
      <c r="A297" s="13">
        <v>296</v>
      </c>
      <c r="B297" s="14" t="s">
        <v>171</v>
      </c>
      <c r="C297">
        <v>48.8521672611</v>
      </c>
      <c r="D297">
        <v>2.3396463359299999</v>
      </c>
    </row>
    <row r="298" spans="1:4">
      <c r="A298" s="13">
        <v>297</v>
      </c>
      <c r="B298" s="14" t="s">
        <v>427</v>
      </c>
      <c r="C298">
        <v>48.851050282300001</v>
      </c>
      <c r="D298">
        <v>2.34427334542</v>
      </c>
    </row>
    <row r="299" spans="1:4">
      <c r="A299" s="13">
        <v>298</v>
      </c>
      <c r="B299" s="14" t="s">
        <v>428</v>
      </c>
      <c r="C299">
        <v>48.850127322900001</v>
      </c>
      <c r="D299">
        <v>2.3480542932200001</v>
      </c>
    </row>
    <row r="300" spans="1:4">
      <c r="A300" s="13">
        <v>299</v>
      </c>
      <c r="B300" s="14" t="s">
        <v>429</v>
      </c>
      <c r="C300">
        <v>48.846656851299997</v>
      </c>
      <c r="D300">
        <v>2.3516232563799999</v>
      </c>
    </row>
    <row r="301" spans="1:4">
      <c r="A301" s="13">
        <v>300</v>
      </c>
      <c r="B301" s="14" t="s">
        <v>285</v>
      </c>
      <c r="C301">
        <v>48.8461511231</v>
      </c>
      <c r="D301">
        <v>2.3549179837000001</v>
      </c>
    </row>
    <row r="302" spans="1:4">
      <c r="A302" s="13">
        <v>301</v>
      </c>
      <c r="B302" s="14" t="s">
        <v>209</v>
      </c>
      <c r="C302">
        <v>48.842360082500001</v>
      </c>
      <c r="D302">
        <v>2.3655817041099998</v>
      </c>
    </row>
    <row r="303" spans="1:4">
      <c r="A303" s="13">
        <v>302</v>
      </c>
      <c r="B303" s="14" t="s">
        <v>46</v>
      </c>
      <c r="C303">
        <v>48.858611111111109</v>
      </c>
      <c r="D303">
        <v>2.3472222222222223</v>
      </c>
    </row>
    <row r="304" spans="1:4">
      <c r="A304" s="13">
        <v>303</v>
      </c>
      <c r="B304" s="14" t="s">
        <v>48</v>
      </c>
      <c r="C304">
        <v>48.856666666666669</v>
      </c>
      <c r="D304">
        <v>2.3513888888888892</v>
      </c>
    </row>
    <row r="305" spans="1:4">
      <c r="A305" s="13">
        <v>304</v>
      </c>
      <c r="B305" s="14" t="s">
        <v>447</v>
      </c>
      <c r="C305">
        <v>48.861944444444447</v>
      </c>
      <c r="D305">
        <v>2.3538888888888891</v>
      </c>
    </row>
    <row r="306" spans="1:4">
      <c r="A306" s="13">
        <v>305</v>
      </c>
      <c r="B306" s="14" t="s">
        <v>130</v>
      </c>
      <c r="C306">
        <v>48.865555555555559</v>
      </c>
      <c r="D306">
        <v>2.3561111111111113</v>
      </c>
    </row>
    <row r="307" spans="1:4">
      <c r="A307" s="13">
        <v>306</v>
      </c>
      <c r="B307" s="14" t="s">
        <v>132</v>
      </c>
      <c r="C307">
        <v>48.8675</v>
      </c>
      <c r="D307">
        <v>2.3638888888888889</v>
      </c>
    </row>
    <row r="308" spans="1:4">
      <c r="A308" s="13">
        <v>307</v>
      </c>
      <c r="B308" s="14" t="s">
        <v>446</v>
      </c>
      <c r="C308">
        <v>48.869722222222222</v>
      </c>
      <c r="D308">
        <v>2.3705555555555557</v>
      </c>
    </row>
    <row r="309" spans="1:4">
      <c r="A309" s="13">
        <v>308</v>
      </c>
      <c r="B309" s="14" t="s">
        <v>100</v>
      </c>
      <c r="C309">
        <v>48.871944444444445</v>
      </c>
      <c r="D309">
        <v>2.3769444444444443</v>
      </c>
    </row>
    <row r="310" spans="1:4">
      <c r="A310" s="13">
        <v>309</v>
      </c>
      <c r="B310" s="14" t="s">
        <v>436</v>
      </c>
      <c r="C310">
        <v>48.873888888888892</v>
      </c>
      <c r="D310">
        <v>2.3852777777777776</v>
      </c>
    </row>
    <row r="311" spans="1:4">
      <c r="A311" s="13">
        <v>310</v>
      </c>
      <c r="B311" s="14" t="s">
        <v>438</v>
      </c>
      <c r="C311">
        <v>48.875277777777775</v>
      </c>
      <c r="D311">
        <v>2.3894444444444445</v>
      </c>
    </row>
    <row r="312" spans="1:4">
      <c r="A312" s="13">
        <v>311</v>
      </c>
      <c r="B312" s="14" t="s">
        <v>342</v>
      </c>
      <c r="C312">
        <v>48.876944444444447</v>
      </c>
      <c r="D312">
        <v>2.3930555555555557</v>
      </c>
    </row>
    <row r="313" spans="1:4">
      <c r="A313" s="13">
        <v>312</v>
      </c>
      <c r="B313" s="14" t="s">
        <v>441</v>
      </c>
      <c r="C313">
        <v>48.875555555555557</v>
      </c>
      <c r="D313">
        <v>2.3983333333333334</v>
      </c>
    </row>
    <row r="314" spans="1:4">
      <c r="A314" s="13">
        <v>313</v>
      </c>
      <c r="B314" s="14" t="s">
        <v>335</v>
      </c>
      <c r="C314">
        <v>48.877222222222223</v>
      </c>
      <c r="D314">
        <v>2.4066666666666667</v>
      </c>
    </row>
    <row r="315" spans="1:4">
      <c r="A315" s="13">
        <v>314</v>
      </c>
      <c r="B315" s="14" t="s">
        <v>443</v>
      </c>
      <c r="C315">
        <v>48.87972222222222</v>
      </c>
      <c r="D315">
        <v>2.4163888888888887</v>
      </c>
    </row>
    <row r="316" spans="1:4">
      <c r="A316" s="13">
        <v>315</v>
      </c>
      <c r="B316" s="14" t="s">
        <v>766</v>
      </c>
      <c r="C316">
        <v>48.906666666666666</v>
      </c>
      <c r="D316">
        <v>2.3658333333333332</v>
      </c>
    </row>
    <row r="317" spans="1:4">
      <c r="A317" s="13">
        <v>316</v>
      </c>
      <c r="B317" s="14" t="s">
        <v>449</v>
      </c>
      <c r="C317">
        <v>48.897222222222219</v>
      </c>
      <c r="D317">
        <v>2.3591666666666669</v>
      </c>
    </row>
    <row r="318" spans="1:4">
      <c r="A318" s="13">
        <v>317</v>
      </c>
      <c r="B318" s="14" t="s">
        <v>451</v>
      </c>
      <c r="C318">
        <v>48.890555555555558</v>
      </c>
      <c r="D318">
        <v>2.36</v>
      </c>
    </row>
    <row r="319" spans="1:4">
      <c r="A319" s="13">
        <v>318</v>
      </c>
      <c r="B319" s="14" t="s">
        <v>149</v>
      </c>
      <c r="C319">
        <v>48.890277777777776</v>
      </c>
      <c r="D319">
        <v>2.35</v>
      </c>
    </row>
    <row r="320" spans="1:4">
      <c r="A320" s="13">
        <v>319</v>
      </c>
      <c r="B320" s="14" t="s">
        <v>454</v>
      </c>
      <c r="C320">
        <v>48.892499999999998</v>
      </c>
      <c r="D320">
        <v>2.3447222222222224</v>
      </c>
    </row>
    <row r="321" spans="1:4">
      <c r="A321" s="13">
        <v>320</v>
      </c>
      <c r="B321" s="14" t="s">
        <v>456</v>
      </c>
      <c r="C321">
        <v>48.889722222222218</v>
      </c>
      <c r="D321">
        <v>2.3386111111111112</v>
      </c>
    </row>
    <row r="322" spans="1:4">
      <c r="A322" s="13">
        <v>321</v>
      </c>
      <c r="B322" s="14" t="s">
        <v>492</v>
      </c>
      <c r="C322">
        <v>48.884444444444441</v>
      </c>
      <c r="D322">
        <v>2.3386111111111112</v>
      </c>
    </row>
    <row r="323" spans="1:4">
      <c r="A323" s="13">
        <v>322</v>
      </c>
      <c r="B323" s="14" t="s">
        <v>92</v>
      </c>
      <c r="C323">
        <v>48.882222222222225</v>
      </c>
      <c r="D323">
        <v>2.3375000000000004</v>
      </c>
    </row>
    <row r="324" spans="1:4">
      <c r="A324" s="13">
        <v>323</v>
      </c>
      <c r="B324" s="14" t="s">
        <v>460</v>
      </c>
      <c r="C324">
        <v>48.87833333333333</v>
      </c>
      <c r="D324">
        <v>2.3375000000000004</v>
      </c>
    </row>
    <row r="325" spans="1:4">
      <c r="A325" s="13">
        <v>324</v>
      </c>
      <c r="B325" s="14" t="s">
        <v>462</v>
      </c>
      <c r="C325">
        <v>48.876111111111115</v>
      </c>
      <c r="D325">
        <v>2.3386111111111112</v>
      </c>
    </row>
    <row r="326" spans="1:4">
      <c r="A326" s="13">
        <v>325</v>
      </c>
      <c r="B326" s="14" t="s">
        <v>464</v>
      </c>
      <c r="C326">
        <v>48.87638888888889</v>
      </c>
      <c r="D326">
        <v>2.3333333333333335</v>
      </c>
    </row>
    <row r="327" spans="1:4">
      <c r="A327" s="13">
        <v>326</v>
      </c>
      <c r="B327" s="14" t="s">
        <v>123</v>
      </c>
      <c r="C327">
        <v>48.875555555555557</v>
      </c>
      <c r="D327">
        <v>2.326111111111111</v>
      </c>
    </row>
    <row r="328" spans="1:4">
      <c r="A328" s="13">
        <v>327</v>
      </c>
      <c r="B328" s="14" t="s">
        <v>353</v>
      </c>
      <c r="C328">
        <v>48.869722222222222</v>
      </c>
      <c r="D328">
        <v>2.3244444444444441</v>
      </c>
    </row>
    <row r="329" spans="1:4">
      <c r="A329" s="13">
        <v>328</v>
      </c>
      <c r="B329" s="14" t="s">
        <v>38</v>
      </c>
      <c r="C329">
        <v>48.86611111111111</v>
      </c>
      <c r="D329">
        <v>2.3224999999999998</v>
      </c>
    </row>
    <row r="330" spans="1:4">
      <c r="A330" s="13">
        <v>329</v>
      </c>
      <c r="B330" s="14" t="s">
        <v>468</v>
      </c>
      <c r="C330">
        <v>48.860555555555557</v>
      </c>
      <c r="D330">
        <v>2.3211111111111107</v>
      </c>
    </row>
    <row r="331" spans="1:4">
      <c r="A331" s="13">
        <v>330</v>
      </c>
      <c r="B331" s="14" t="s">
        <v>494</v>
      </c>
      <c r="C331">
        <v>48.858333333333334</v>
      </c>
      <c r="D331">
        <v>2.3233333333333333</v>
      </c>
    </row>
    <row r="332" spans="1:4">
      <c r="A332" s="13">
        <v>331</v>
      </c>
      <c r="B332" s="14" t="s">
        <v>471</v>
      </c>
      <c r="C332">
        <v>48.855555555555554</v>
      </c>
      <c r="D332">
        <v>2.3255555555555554</v>
      </c>
    </row>
    <row r="333" spans="1:4">
      <c r="A333" s="13">
        <v>332</v>
      </c>
      <c r="B333" s="14" t="s">
        <v>425</v>
      </c>
      <c r="C333">
        <v>48.851388888888891</v>
      </c>
      <c r="D333">
        <v>2.3266666666666662</v>
      </c>
    </row>
    <row r="334" spans="1:4">
      <c r="A334" s="13">
        <v>333</v>
      </c>
      <c r="B334" s="14" t="s">
        <v>474</v>
      </c>
      <c r="C334">
        <v>48.848055555555561</v>
      </c>
      <c r="D334">
        <v>2.3277777777777775</v>
      </c>
    </row>
    <row r="335" spans="1:4">
      <c r="A335" s="13">
        <v>334</v>
      </c>
      <c r="B335" s="14" t="s">
        <v>476</v>
      </c>
      <c r="C335">
        <v>48.844444444444449</v>
      </c>
      <c r="D335">
        <v>2.3288888888888888</v>
      </c>
    </row>
    <row r="336" spans="1:4">
      <c r="A336" s="13">
        <v>335</v>
      </c>
      <c r="B336" s="14" t="s">
        <v>179</v>
      </c>
      <c r="C336">
        <v>48.843333333333334</v>
      </c>
      <c r="D336">
        <v>2.3230555555555554</v>
      </c>
    </row>
    <row r="337" spans="1:4">
      <c r="A337" s="13">
        <v>336</v>
      </c>
      <c r="B337" s="14" t="s">
        <v>478</v>
      </c>
      <c r="C337">
        <v>48.844444444444449</v>
      </c>
      <c r="D337">
        <v>2.3180555555555555</v>
      </c>
    </row>
    <row r="338" spans="1:4">
      <c r="A338" s="13">
        <v>337</v>
      </c>
      <c r="B338" s="14" t="s">
        <v>230</v>
      </c>
      <c r="C338">
        <v>48.842777777777783</v>
      </c>
      <c r="D338">
        <v>2.3127777777777778</v>
      </c>
    </row>
    <row r="339" spans="1:4">
      <c r="A339" s="13">
        <v>338</v>
      </c>
      <c r="B339" s="14" t="s">
        <v>481</v>
      </c>
      <c r="C339">
        <v>48.841388888888893</v>
      </c>
      <c r="D339">
        <v>2.3074999999999997</v>
      </c>
    </row>
    <row r="340" spans="1:4">
      <c r="A340" s="13">
        <v>339</v>
      </c>
      <c r="B340" s="14" t="s">
        <v>483</v>
      </c>
      <c r="C340">
        <v>48.839722222222221</v>
      </c>
      <c r="D340">
        <v>2.3013888888888889</v>
      </c>
    </row>
    <row r="341" spans="1:4">
      <c r="A341" s="13">
        <v>340</v>
      </c>
      <c r="B341" s="14" t="s">
        <v>485</v>
      </c>
      <c r="C341">
        <v>48.837500000000006</v>
      </c>
      <c r="D341">
        <v>2.2966666666666664</v>
      </c>
    </row>
    <row r="342" spans="1:4">
      <c r="A342" s="13">
        <v>341</v>
      </c>
      <c r="B342" s="14" t="s">
        <v>1400</v>
      </c>
      <c r="C342">
        <v>48.832222222222228</v>
      </c>
      <c r="D342">
        <v>2.2877777777777775</v>
      </c>
    </row>
    <row r="343" spans="1:4">
      <c r="A343" s="13">
        <v>342</v>
      </c>
      <c r="B343" s="14" t="s">
        <v>488</v>
      </c>
      <c r="C343">
        <v>48.82694444444445</v>
      </c>
      <c r="D343">
        <v>2.278888888888889</v>
      </c>
    </row>
    <row r="344" spans="1:4">
      <c r="A344" s="13">
        <v>343</v>
      </c>
      <c r="B344" s="14" t="s">
        <v>490</v>
      </c>
      <c r="C344">
        <v>48.82416666666667</v>
      </c>
      <c r="D344">
        <v>2.2733333333333334</v>
      </c>
    </row>
    <row r="345" spans="1:4">
      <c r="A345" s="13">
        <v>344</v>
      </c>
      <c r="B345" s="14" t="s">
        <v>517</v>
      </c>
      <c r="C345">
        <v>48.930757003300002</v>
      </c>
      <c r="D345">
        <v>2.2841744482799999</v>
      </c>
    </row>
    <row r="346" spans="1:4">
      <c r="A346" s="13">
        <v>345</v>
      </c>
      <c r="B346" s="14" t="s">
        <v>767</v>
      </c>
      <c r="C346">
        <v>48.9231037797</v>
      </c>
      <c r="D346">
        <v>2.2862795775300002</v>
      </c>
    </row>
    <row r="347" spans="1:4">
      <c r="A347" s="13">
        <v>346</v>
      </c>
      <c r="B347" s="14" t="s">
        <v>496</v>
      </c>
      <c r="C347">
        <v>48.916382309900001</v>
      </c>
      <c r="D347">
        <v>2.2946851116999998</v>
      </c>
    </row>
    <row r="348" spans="1:4">
      <c r="A348" s="13">
        <v>347</v>
      </c>
      <c r="B348" s="14" t="s">
        <v>497</v>
      </c>
      <c r="C348">
        <v>48.903330094600001</v>
      </c>
      <c r="D348">
        <v>2.3059241498700001</v>
      </c>
    </row>
    <row r="349" spans="1:4">
      <c r="A349" s="13">
        <v>348</v>
      </c>
      <c r="B349" s="14" t="s">
        <v>498</v>
      </c>
      <c r="C349">
        <v>48.8941683862</v>
      </c>
      <c r="D349">
        <v>2.3155992191800001</v>
      </c>
    </row>
    <row r="350" spans="1:4">
      <c r="A350" s="13">
        <v>349</v>
      </c>
      <c r="B350" s="14" t="s">
        <v>499</v>
      </c>
      <c r="C350">
        <v>48.890587186600001</v>
      </c>
      <c r="D350">
        <v>2.3201747557900001</v>
      </c>
    </row>
    <row r="351" spans="1:4">
      <c r="A351" s="13">
        <v>350</v>
      </c>
      <c r="B351" s="14" t="s">
        <v>768</v>
      </c>
      <c r="C351">
        <v>48.9458456578</v>
      </c>
      <c r="D351">
        <v>2.36454176212</v>
      </c>
    </row>
    <row r="352" spans="1:4">
      <c r="A352" s="13">
        <v>351</v>
      </c>
      <c r="B352" s="14" t="s">
        <v>518</v>
      </c>
      <c r="C352">
        <v>48.9373047355</v>
      </c>
      <c r="D352">
        <v>2.3600721416399999</v>
      </c>
    </row>
    <row r="353" spans="1:4">
      <c r="A353" s="13">
        <v>352</v>
      </c>
      <c r="B353" s="14" t="s">
        <v>522</v>
      </c>
      <c r="C353">
        <v>48.929935890599999</v>
      </c>
      <c r="D353">
        <v>2.35603579553</v>
      </c>
    </row>
    <row r="354" spans="1:4">
      <c r="A354" s="13">
        <v>353</v>
      </c>
      <c r="B354" s="14" t="s">
        <v>500</v>
      </c>
      <c r="C354">
        <v>48.919573072200002</v>
      </c>
      <c r="D354">
        <v>2.3433059278099999</v>
      </c>
    </row>
    <row r="355" spans="1:4">
      <c r="A355" s="13">
        <v>354</v>
      </c>
      <c r="B355" s="14" t="s">
        <v>501</v>
      </c>
      <c r="C355">
        <v>48.911964897899999</v>
      </c>
      <c r="D355">
        <v>2.3339248904800001</v>
      </c>
    </row>
    <row r="356" spans="1:4">
      <c r="A356" s="13">
        <v>355</v>
      </c>
      <c r="B356" s="14" t="s">
        <v>502</v>
      </c>
      <c r="C356">
        <v>48.906094050199997</v>
      </c>
      <c r="D356">
        <v>2.3318308379600001</v>
      </c>
    </row>
    <row r="357" spans="1:4">
      <c r="A357" s="13">
        <v>356</v>
      </c>
      <c r="B357" s="14" t="s">
        <v>503</v>
      </c>
      <c r="C357">
        <v>48.897374795499999</v>
      </c>
      <c r="D357">
        <v>2.3289428127799998</v>
      </c>
    </row>
    <row r="358" spans="1:4">
      <c r="A358" s="13">
        <v>357</v>
      </c>
      <c r="B358" s="14" t="s">
        <v>504</v>
      </c>
      <c r="C358">
        <v>48.892828853399998</v>
      </c>
      <c r="D358">
        <v>2.3274284585</v>
      </c>
    </row>
    <row r="359" spans="1:4">
      <c r="A359" s="13">
        <v>358</v>
      </c>
      <c r="B359" s="14" t="s">
        <v>505</v>
      </c>
      <c r="C359">
        <v>48.887183946900002</v>
      </c>
      <c r="D359">
        <v>2.3257796748100001</v>
      </c>
    </row>
    <row r="360" spans="1:4">
      <c r="A360" s="13">
        <v>359</v>
      </c>
      <c r="B360" s="14" t="s">
        <v>90</v>
      </c>
      <c r="C360">
        <v>48.883430013800002</v>
      </c>
      <c r="D360">
        <v>2.3272283357200001</v>
      </c>
    </row>
    <row r="361" spans="1:4">
      <c r="A361" s="13">
        <v>360</v>
      </c>
      <c r="B361" s="14" t="s">
        <v>506</v>
      </c>
      <c r="C361">
        <v>48.8796347607</v>
      </c>
      <c r="D361">
        <v>2.3270222008900001</v>
      </c>
    </row>
    <row r="362" spans="1:4">
      <c r="A362" s="13">
        <v>361</v>
      </c>
      <c r="B362" s="14" t="s">
        <v>123</v>
      </c>
      <c r="C362">
        <v>48.875933152400002</v>
      </c>
      <c r="D362">
        <v>2.3257279613900002</v>
      </c>
    </row>
    <row r="363" spans="1:4">
      <c r="A363" s="13">
        <v>362</v>
      </c>
      <c r="B363" s="14" t="s">
        <v>396</v>
      </c>
      <c r="C363">
        <v>48.873685210600001</v>
      </c>
      <c r="D363">
        <v>2.3144679895700002</v>
      </c>
    </row>
    <row r="364" spans="1:4">
      <c r="A364" s="13">
        <v>363</v>
      </c>
      <c r="B364" s="14" t="s">
        <v>507</v>
      </c>
      <c r="C364">
        <v>48.867799734499997</v>
      </c>
      <c r="D364">
        <v>2.3138819376800002</v>
      </c>
    </row>
    <row r="365" spans="1:4">
      <c r="A365" s="13">
        <v>364</v>
      </c>
      <c r="B365" s="14" t="s">
        <v>352</v>
      </c>
      <c r="C365">
        <v>48.862901844200003</v>
      </c>
      <c r="D365">
        <v>2.31390890638</v>
      </c>
    </row>
    <row r="366" spans="1:4">
      <c r="A366" s="13">
        <v>365</v>
      </c>
      <c r="B366" s="14" t="s">
        <v>508</v>
      </c>
      <c r="C366">
        <v>48.856871379200001</v>
      </c>
      <c r="D366">
        <v>2.3150566373200001</v>
      </c>
    </row>
    <row r="367" spans="1:4">
      <c r="A367" s="13">
        <v>366</v>
      </c>
      <c r="B367" s="14" t="s">
        <v>509</v>
      </c>
      <c r="C367">
        <v>48.851441709200003</v>
      </c>
      <c r="D367">
        <v>2.3144081214500001</v>
      </c>
    </row>
    <row r="368" spans="1:4">
      <c r="A368" s="13">
        <v>367</v>
      </c>
      <c r="B368" s="14" t="s">
        <v>423</v>
      </c>
      <c r="C368">
        <v>48.846854854900002</v>
      </c>
      <c r="D368">
        <v>2.3166346711100001</v>
      </c>
    </row>
    <row r="369" spans="1:4">
      <c r="A369" s="13">
        <v>368</v>
      </c>
      <c r="B369" s="14" t="s">
        <v>179</v>
      </c>
      <c r="C369">
        <v>48.841186921099997</v>
      </c>
      <c r="D369">
        <v>2.3205092275300001</v>
      </c>
    </row>
    <row r="370" spans="1:4">
      <c r="A370" s="13">
        <v>369</v>
      </c>
      <c r="B370" s="14" t="s">
        <v>510</v>
      </c>
      <c r="C370">
        <v>48.838631647100001</v>
      </c>
      <c r="D370">
        <v>2.3224917484500001</v>
      </c>
    </row>
    <row r="371" spans="1:4">
      <c r="A371" s="13">
        <v>370</v>
      </c>
      <c r="B371" s="14" t="s">
        <v>511</v>
      </c>
      <c r="C371">
        <v>48.833936392600002</v>
      </c>
      <c r="D371">
        <v>2.3180782841299998</v>
      </c>
    </row>
    <row r="372" spans="1:4">
      <c r="A372" s="13">
        <v>371</v>
      </c>
      <c r="B372" s="14" t="s">
        <v>512</v>
      </c>
      <c r="C372">
        <v>48.831825649599999</v>
      </c>
      <c r="D372">
        <v>2.3141223234699999</v>
      </c>
    </row>
    <row r="373" spans="1:4">
      <c r="A373" s="13">
        <v>372</v>
      </c>
      <c r="B373" s="14" t="s">
        <v>513</v>
      </c>
      <c r="C373">
        <v>48.8277046117</v>
      </c>
      <c r="D373">
        <v>2.3053409308099999</v>
      </c>
    </row>
    <row r="374" spans="1:4">
      <c r="A374" s="13">
        <v>373</v>
      </c>
      <c r="B374" s="14" t="s">
        <v>514</v>
      </c>
      <c r="C374">
        <v>48.822583708700002</v>
      </c>
      <c r="D374">
        <v>2.2984641946700002</v>
      </c>
    </row>
    <row r="375" spans="1:4">
      <c r="A375" s="13">
        <v>374</v>
      </c>
      <c r="B375" s="14" t="s">
        <v>515</v>
      </c>
      <c r="C375">
        <v>48.8153075321</v>
      </c>
      <c r="D375">
        <v>2.29707779696</v>
      </c>
    </row>
    <row r="376" spans="1:4">
      <c r="A376" s="13">
        <v>375</v>
      </c>
      <c r="B376" s="14" t="s">
        <v>516</v>
      </c>
      <c r="C376">
        <v>48.810746487700001</v>
      </c>
      <c r="D376">
        <v>2.3016785568300002</v>
      </c>
    </row>
    <row r="377" spans="1:4">
      <c r="A377" s="13">
        <v>376</v>
      </c>
      <c r="B377" s="14" t="s">
        <v>123</v>
      </c>
      <c r="C377">
        <v>48.875555555555557</v>
      </c>
      <c r="D377">
        <v>2.326111111111111</v>
      </c>
    </row>
    <row r="378" spans="1:4">
      <c r="A378" s="13">
        <v>377</v>
      </c>
      <c r="B378" s="14" t="s">
        <v>353</v>
      </c>
      <c r="C378">
        <v>48.87</v>
      </c>
      <c r="D378">
        <v>2.3252777777777776</v>
      </c>
    </row>
    <row r="379" spans="1:4">
      <c r="A379" s="13">
        <v>378</v>
      </c>
      <c r="B379" s="14" t="s">
        <v>277</v>
      </c>
      <c r="C379">
        <v>48.866944444444442</v>
      </c>
      <c r="D379">
        <v>2.3336111111111113</v>
      </c>
    </row>
    <row r="380" spans="1:4">
      <c r="A380" s="13">
        <v>379</v>
      </c>
      <c r="B380" s="14" t="s">
        <v>46</v>
      </c>
      <c r="C380">
        <v>48.858611111111109</v>
      </c>
      <c r="D380">
        <v>2.3472222222222223</v>
      </c>
    </row>
    <row r="381" spans="1:4">
      <c r="A381" s="13">
        <v>380</v>
      </c>
      <c r="B381" s="14" t="s">
        <v>53</v>
      </c>
      <c r="C381">
        <v>48.844722222222224</v>
      </c>
      <c r="D381">
        <v>2.3741666666666665</v>
      </c>
    </row>
    <row r="382" spans="1:4">
      <c r="A382" s="13">
        <v>381</v>
      </c>
      <c r="B382" s="14" t="s">
        <v>238</v>
      </c>
      <c r="C382">
        <v>48.840555555555561</v>
      </c>
      <c r="D382">
        <v>2.3794444444444447</v>
      </c>
    </row>
    <row r="383" spans="1:4">
      <c r="A383" s="13">
        <v>382</v>
      </c>
      <c r="B383" s="14" t="s">
        <v>769</v>
      </c>
      <c r="C383">
        <v>48.833611111111111</v>
      </c>
      <c r="D383">
        <v>2.3875000000000002</v>
      </c>
    </row>
    <row r="384" spans="1:4">
      <c r="A384" s="13">
        <v>383</v>
      </c>
      <c r="B384" s="14" t="s">
        <v>606</v>
      </c>
      <c r="C384">
        <v>48.829722222222223</v>
      </c>
      <c r="D384">
        <v>2.3761111111111113</v>
      </c>
    </row>
    <row r="385" spans="1:4">
      <c r="A385" s="13">
        <v>384</v>
      </c>
      <c r="B385" s="14" t="s">
        <v>770</v>
      </c>
      <c r="C385">
        <v>48.82694444444445</v>
      </c>
      <c r="D385">
        <v>2.3672222222222223</v>
      </c>
    </row>
    <row r="386" spans="1:4">
      <c r="A386" s="13">
        <v>385</v>
      </c>
      <c r="B386" s="14" t="s">
        <v>1092</v>
      </c>
      <c r="C386">
        <v>49.047876203400001</v>
      </c>
      <c r="D386">
        <v>2.0109997599999998</v>
      </c>
    </row>
    <row r="387" spans="1:4">
      <c r="A387" s="13">
        <v>386</v>
      </c>
      <c r="B387" s="14" t="s">
        <v>1093</v>
      </c>
      <c r="C387">
        <v>49.049647005300002</v>
      </c>
      <c r="D387">
        <v>2.0342944632200002</v>
      </c>
    </row>
    <row r="388" spans="1:4">
      <c r="A388" s="13">
        <v>387</v>
      </c>
      <c r="B388" s="14" t="s">
        <v>1094</v>
      </c>
      <c r="C388">
        <v>49.036463979799997</v>
      </c>
      <c r="D388">
        <v>2.0795349413799999</v>
      </c>
    </row>
    <row r="389" spans="1:4">
      <c r="A389" s="13">
        <v>388</v>
      </c>
      <c r="B389" s="14" t="s">
        <v>1095</v>
      </c>
      <c r="C389">
        <v>49.014133689499999</v>
      </c>
      <c r="D389">
        <v>2.0783065913300001</v>
      </c>
    </row>
    <row r="390" spans="1:4">
      <c r="A390" s="13">
        <v>389</v>
      </c>
      <c r="B390" s="14" t="s">
        <v>1048</v>
      </c>
      <c r="C390">
        <v>48.991898372400001</v>
      </c>
      <c r="D390">
        <v>2.0736206204699998</v>
      </c>
    </row>
    <row r="391" spans="1:4">
      <c r="A391" s="13">
        <v>390</v>
      </c>
      <c r="B391" s="14" t="s">
        <v>1096</v>
      </c>
      <c r="C391">
        <v>48.970665046500002</v>
      </c>
      <c r="D391">
        <v>2.0777317659599999</v>
      </c>
    </row>
    <row r="392" spans="1:4">
      <c r="A392" s="13">
        <v>391</v>
      </c>
      <c r="B392" s="14" t="s">
        <v>531</v>
      </c>
      <c r="C392">
        <v>48.933265406099999</v>
      </c>
      <c r="D392">
        <v>2.0410722896800002</v>
      </c>
    </row>
    <row r="393" spans="1:4">
      <c r="A393" s="13">
        <v>392</v>
      </c>
      <c r="B393" s="14" t="s">
        <v>532</v>
      </c>
      <c r="C393">
        <v>48.9554022445</v>
      </c>
      <c r="D393">
        <v>2.0935219029500001</v>
      </c>
    </row>
    <row r="394" spans="1:4">
      <c r="A394" s="13">
        <v>393</v>
      </c>
      <c r="B394" s="14" t="s">
        <v>1097</v>
      </c>
      <c r="C394">
        <v>48.945795934499998</v>
      </c>
      <c r="D394">
        <v>2.1445587568</v>
      </c>
    </row>
    <row r="395" spans="1:4">
      <c r="A395" s="13">
        <v>394</v>
      </c>
      <c r="B395" s="14" t="s">
        <v>1098</v>
      </c>
      <c r="C395">
        <v>48.937736063400003</v>
      </c>
      <c r="D395">
        <v>2.1570864951000002</v>
      </c>
    </row>
    <row r="396" spans="1:4">
      <c r="A396" s="13">
        <v>395</v>
      </c>
      <c r="B396" s="14" t="s">
        <v>533</v>
      </c>
      <c r="C396">
        <v>48.9203793748</v>
      </c>
      <c r="D396">
        <v>2.1853533762900001</v>
      </c>
    </row>
    <row r="397" spans="1:4">
      <c r="A397" s="13">
        <v>396</v>
      </c>
      <c r="B397" s="14" t="s">
        <v>1130</v>
      </c>
      <c r="C397">
        <v>48.8980764111</v>
      </c>
      <c r="D397">
        <v>2.0948366282999999</v>
      </c>
    </row>
    <row r="398" spans="1:4">
      <c r="A398" s="13">
        <v>397</v>
      </c>
      <c r="B398" s="14" t="s">
        <v>534</v>
      </c>
      <c r="C398">
        <v>48.897973448999998</v>
      </c>
      <c r="D398">
        <v>2.1221174460599999</v>
      </c>
    </row>
    <row r="399" spans="1:4">
      <c r="A399" s="13">
        <v>398</v>
      </c>
      <c r="B399" s="14" t="s">
        <v>535</v>
      </c>
      <c r="C399">
        <v>48.8900862355</v>
      </c>
      <c r="D399">
        <v>2.1346008738700002</v>
      </c>
    </row>
    <row r="400" spans="1:4">
      <c r="A400" s="13">
        <v>399</v>
      </c>
      <c r="B400" s="14" t="s">
        <v>536</v>
      </c>
      <c r="C400">
        <v>48.885211218199998</v>
      </c>
      <c r="D400">
        <v>2.1559034746200001</v>
      </c>
    </row>
    <row r="401" spans="1:4">
      <c r="A401" s="13">
        <v>400</v>
      </c>
      <c r="B401" s="14" t="s">
        <v>1408</v>
      </c>
      <c r="C401">
        <v>48.887573618600001</v>
      </c>
      <c r="D401">
        <v>2.1725794490800001</v>
      </c>
    </row>
    <row r="402" spans="1:4">
      <c r="A402" s="13">
        <v>401</v>
      </c>
      <c r="B402" s="14" t="s">
        <v>1370</v>
      </c>
      <c r="C402">
        <v>48.895125891299998</v>
      </c>
      <c r="D402">
        <v>2.1953639869099999</v>
      </c>
    </row>
    <row r="403" spans="1:4">
      <c r="A403" s="13">
        <v>402</v>
      </c>
      <c r="B403" s="14" t="s">
        <v>1099</v>
      </c>
      <c r="C403">
        <v>48.901655065500002</v>
      </c>
      <c r="D403">
        <v>2.2151558730300001</v>
      </c>
    </row>
    <row r="404" spans="1:4">
      <c r="A404" s="13">
        <v>403</v>
      </c>
      <c r="B404" s="14" t="s">
        <v>1369</v>
      </c>
      <c r="C404">
        <v>48.895745312099997</v>
      </c>
      <c r="D404">
        <v>2.2232129670299998</v>
      </c>
    </row>
    <row r="405" spans="1:4">
      <c r="A405" s="13">
        <v>404</v>
      </c>
      <c r="B405" s="14" t="s">
        <v>68</v>
      </c>
      <c r="C405">
        <v>48.892187076399999</v>
      </c>
      <c r="D405">
        <v>2.2370180564000002</v>
      </c>
    </row>
    <row r="406" spans="1:4">
      <c r="A406" s="13">
        <v>405</v>
      </c>
      <c r="B406" s="14" t="s">
        <v>31</v>
      </c>
      <c r="C406">
        <v>48.874238476599999</v>
      </c>
      <c r="D406">
        <v>2.2944905914699998</v>
      </c>
    </row>
    <row r="407" spans="1:4">
      <c r="A407" s="13">
        <v>406</v>
      </c>
      <c r="B407" s="14" t="s">
        <v>761</v>
      </c>
      <c r="C407">
        <v>48.872157494900001</v>
      </c>
      <c r="D407">
        <v>2.32992717061</v>
      </c>
    </row>
    <row r="408" spans="1:4">
      <c r="A408" s="13">
        <v>407</v>
      </c>
      <c r="B408" s="14" t="s">
        <v>680</v>
      </c>
      <c r="C408">
        <v>48.861822271900003</v>
      </c>
      <c r="D408">
        <v>2.34701268861</v>
      </c>
    </row>
    <row r="409" spans="1:4">
      <c r="A409" s="13">
        <v>408</v>
      </c>
      <c r="B409" s="14" t="s">
        <v>53</v>
      </c>
      <c r="C409">
        <v>48.844139349899997</v>
      </c>
      <c r="D409">
        <v>2.3732599780700001</v>
      </c>
    </row>
    <row r="410" spans="1:4">
      <c r="A410" s="13">
        <v>409</v>
      </c>
      <c r="B410" s="14" t="s">
        <v>57</v>
      </c>
      <c r="C410">
        <v>48.848237110399999</v>
      </c>
      <c r="D410">
        <v>2.3958235888299999</v>
      </c>
    </row>
    <row r="411" spans="1:4">
      <c r="A411" s="13">
        <v>410</v>
      </c>
      <c r="B411" s="14" t="s">
        <v>1436</v>
      </c>
      <c r="C411">
        <v>48.847308358600003</v>
      </c>
      <c r="D411">
        <v>2.4332997217400001</v>
      </c>
    </row>
    <row r="412" spans="1:4">
      <c r="A412" s="13">
        <v>411</v>
      </c>
      <c r="B412" s="14" t="s">
        <v>537</v>
      </c>
      <c r="C412">
        <v>48.843720261599998</v>
      </c>
      <c r="D412">
        <v>2.46370803804</v>
      </c>
    </row>
    <row r="413" spans="1:4">
      <c r="A413" s="13">
        <v>412</v>
      </c>
      <c r="B413" s="14" t="s">
        <v>1371</v>
      </c>
      <c r="C413">
        <v>48.834288897999997</v>
      </c>
      <c r="D413">
        <v>2.4716812412200002</v>
      </c>
    </row>
    <row r="414" spans="1:4">
      <c r="A414" s="13">
        <v>413</v>
      </c>
      <c r="B414" s="14" t="s">
        <v>1320</v>
      </c>
      <c r="C414">
        <v>48.821038817800002</v>
      </c>
      <c r="D414">
        <v>2.4638567967</v>
      </c>
    </row>
    <row r="415" spans="1:4">
      <c r="A415" s="13">
        <v>414</v>
      </c>
      <c r="B415" s="14" t="s">
        <v>1412</v>
      </c>
      <c r="C415">
        <v>48.806200024799999</v>
      </c>
      <c r="D415">
        <v>2.4727204037999999</v>
      </c>
    </row>
    <row r="416" spans="1:4">
      <c r="A416" s="13">
        <v>415</v>
      </c>
      <c r="B416" s="14" t="s">
        <v>538</v>
      </c>
      <c r="C416">
        <v>48.805377663100003</v>
      </c>
      <c r="D416">
        <v>2.4863497528499998</v>
      </c>
    </row>
    <row r="417" spans="1:4">
      <c r="A417" s="13">
        <v>416</v>
      </c>
      <c r="B417" s="14" t="s">
        <v>551</v>
      </c>
      <c r="C417">
        <v>48.806985072499998</v>
      </c>
      <c r="D417">
        <v>2.51030723575</v>
      </c>
    </row>
    <row r="418" spans="1:4">
      <c r="A418" s="13">
        <v>417</v>
      </c>
      <c r="B418" s="14" t="s">
        <v>539</v>
      </c>
      <c r="C418">
        <v>48.795383837400003</v>
      </c>
      <c r="D418">
        <v>2.51342330089</v>
      </c>
    </row>
    <row r="419" spans="1:4">
      <c r="A419" s="13">
        <v>418</v>
      </c>
      <c r="B419" s="14" t="s">
        <v>1422</v>
      </c>
      <c r="C419">
        <v>48.771707908800003</v>
      </c>
      <c r="D419">
        <v>2.5074826457000001</v>
      </c>
    </row>
    <row r="420" spans="1:4">
      <c r="A420" s="13">
        <v>419</v>
      </c>
      <c r="B420" s="14" t="s">
        <v>540</v>
      </c>
      <c r="C420">
        <v>48.752185721700002</v>
      </c>
      <c r="D420">
        <v>2.50455983697</v>
      </c>
    </row>
    <row r="421" spans="1:4">
      <c r="A421" s="13">
        <v>420</v>
      </c>
      <c r="B421" s="14" t="s">
        <v>541</v>
      </c>
      <c r="C421">
        <v>48.854353097199997</v>
      </c>
      <c r="D421">
        <v>2.48913730642</v>
      </c>
    </row>
    <row r="422" spans="1:4">
      <c r="A422" s="13">
        <v>421</v>
      </c>
      <c r="B422" s="14" t="s">
        <v>542</v>
      </c>
      <c r="C422">
        <v>48.853485712999998</v>
      </c>
      <c r="D422">
        <v>2.5138252910299999</v>
      </c>
    </row>
    <row r="423" spans="1:4">
      <c r="A423" s="13">
        <v>422</v>
      </c>
      <c r="B423" s="14" t="s">
        <v>543</v>
      </c>
      <c r="C423">
        <v>48.844901139599997</v>
      </c>
      <c r="D423">
        <v>2.5259225451999998</v>
      </c>
    </row>
    <row r="424" spans="1:4">
      <c r="A424" s="13">
        <v>423</v>
      </c>
      <c r="B424" s="14" t="s">
        <v>544</v>
      </c>
      <c r="C424">
        <v>48.840843431899998</v>
      </c>
      <c r="D424">
        <v>2.5477751892999998</v>
      </c>
    </row>
    <row r="425" spans="1:4">
      <c r="A425" s="13">
        <v>424</v>
      </c>
      <c r="B425" s="14" t="s">
        <v>552</v>
      </c>
      <c r="C425">
        <v>48.842884840799996</v>
      </c>
      <c r="D425">
        <v>2.5800859174199999</v>
      </c>
    </row>
    <row r="426" spans="1:4">
      <c r="A426" s="13">
        <v>425</v>
      </c>
      <c r="B426" s="14" t="s">
        <v>553</v>
      </c>
      <c r="C426">
        <v>48.843491648700002</v>
      </c>
      <c r="D426">
        <v>2.6159524830500001</v>
      </c>
    </row>
    <row r="427" spans="1:4">
      <c r="A427" s="13">
        <v>426</v>
      </c>
      <c r="B427" s="14" t="s">
        <v>554</v>
      </c>
      <c r="C427">
        <v>48.839219299100002</v>
      </c>
      <c r="D427">
        <v>2.63321091751</v>
      </c>
    </row>
    <row r="428" spans="1:4">
      <c r="A428" s="13">
        <v>427</v>
      </c>
      <c r="B428" s="14" t="s">
        <v>1428</v>
      </c>
      <c r="C428">
        <v>48.839645517299999</v>
      </c>
      <c r="D428">
        <v>2.6551300866399998</v>
      </c>
    </row>
    <row r="429" spans="1:4">
      <c r="A429" s="13">
        <v>428</v>
      </c>
      <c r="B429" s="14" t="s">
        <v>1257</v>
      </c>
      <c r="C429">
        <v>48.836536432899997</v>
      </c>
      <c r="D429">
        <v>2.7089817409000001</v>
      </c>
    </row>
    <row r="430" spans="1:4">
      <c r="A430" s="13">
        <v>429</v>
      </c>
      <c r="B430" s="14" t="s">
        <v>555</v>
      </c>
      <c r="C430">
        <v>48.855394809899998</v>
      </c>
      <c r="D430">
        <v>2.7734339192399999</v>
      </c>
    </row>
    <row r="431" spans="1:4">
      <c r="A431" s="13">
        <v>430</v>
      </c>
      <c r="B431" s="14" t="s">
        <v>556</v>
      </c>
      <c r="C431">
        <v>48.869950134900002</v>
      </c>
      <c r="D431">
        <v>2.78222672345</v>
      </c>
    </row>
    <row r="432" spans="1:4">
      <c r="A432" s="13">
        <v>431</v>
      </c>
      <c r="B432" s="14" t="s">
        <v>1234</v>
      </c>
      <c r="C432">
        <v>49.004687461800003</v>
      </c>
      <c r="D432">
        <v>2.5705894855200002</v>
      </c>
    </row>
    <row r="433" spans="1:4">
      <c r="A433" s="13">
        <v>432</v>
      </c>
      <c r="B433" s="14" t="s">
        <v>1233</v>
      </c>
      <c r="C433">
        <v>49.0097564521</v>
      </c>
      <c r="D433">
        <v>2.5612326952300002</v>
      </c>
    </row>
    <row r="434" spans="1:4">
      <c r="A434" s="13">
        <v>433</v>
      </c>
      <c r="B434" s="14" t="s">
        <v>1380</v>
      </c>
      <c r="C434">
        <v>48.9734249081</v>
      </c>
      <c r="D434">
        <v>2.51436028553</v>
      </c>
    </row>
    <row r="435" spans="1:4">
      <c r="A435" s="13">
        <v>434</v>
      </c>
      <c r="B435" s="14" t="s">
        <v>1434</v>
      </c>
      <c r="C435">
        <v>48.962709515100002</v>
      </c>
      <c r="D435">
        <v>2.5126446264400002</v>
      </c>
    </row>
    <row r="436" spans="1:4">
      <c r="A436" s="13">
        <v>435</v>
      </c>
      <c r="B436" s="14" t="s">
        <v>1416</v>
      </c>
      <c r="C436">
        <v>48.947607558599998</v>
      </c>
      <c r="D436">
        <v>2.52471638939</v>
      </c>
    </row>
    <row r="437" spans="1:4">
      <c r="A437" s="13">
        <v>436</v>
      </c>
      <c r="B437" s="14" t="s">
        <v>1083</v>
      </c>
      <c r="C437">
        <v>48.975858754000001</v>
      </c>
      <c r="D437">
        <v>2.64240630231</v>
      </c>
    </row>
    <row r="438" spans="1:4">
      <c r="A438" s="13">
        <v>437</v>
      </c>
      <c r="B438" s="14" t="s">
        <v>1433</v>
      </c>
      <c r="C438">
        <v>48.953148388499997</v>
      </c>
      <c r="D438">
        <v>2.6031353105699999</v>
      </c>
    </row>
    <row r="439" spans="1:4">
      <c r="A439" s="13">
        <v>438</v>
      </c>
      <c r="B439" s="14" t="s">
        <v>1431</v>
      </c>
      <c r="C439">
        <v>48.944181065099997</v>
      </c>
      <c r="D439">
        <v>2.5664480156099998</v>
      </c>
    </row>
    <row r="440" spans="1:4">
      <c r="A440" s="13">
        <v>439</v>
      </c>
      <c r="B440" s="14" t="s">
        <v>1417</v>
      </c>
      <c r="C440">
        <v>48.936280184700003</v>
      </c>
      <c r="D440">
        <v>2.5347149733899998</v>
      </c>
    </row>
    <row r="441" spans="1:4">
      <c r="A441" s="13">
        <v>440</v>
      </c>
      <c r="B441" s="14" t="s">
        <v>909</v>
      </c>
      <c r="C441">
        <v>48.932196005100003</v>
      </c>
      <c r="D441">
        <v>2.49551314123</v>
      </c>
    </row>
    <row r="442" spans="1:4">
      <c r="A442" s="13">
        <v>441</v>
      </c>
      <c r="B442" s="14" t="s">
        <v>1335</v>
      </c>
      <c r="C442">
        <v>48.9323054161</v>
      </c>
      <c r="D442">
        <v>2.4756743721999999</v>
      </c>
    </row>
    <row r="443" spans="1:4">
      <c r="A443" s="13">
        <v>442</v>
      </c>
      <c r="B443" s="14" t="s">
        <v>1281</v>
      </c>
      <c r="C443">
        <v>48.932706218699998</v>
      </c>
      <c r="D443">
        <v>2.4547663855000001</v>
      </c>
    </row>
    <row r="444" spans="1:4">
      <c r="A444" s="13">
        <v>443</v>
      </c>
      <c r="B444" s="14" t="s">
        <v>1336</v>
      </c>
      <c r="C444">
        <v>48.930739570299998</v>
      </c>
      <c r="D444">
        <v>2.4257914241999998</v>
      </c>
    </row>
    <row r="445" spans="1:4">
      <c r="A445" s="13">
        <v>444</v>
      </c>
      <c r="B445" s="14" t="s">
        <v>1325</v>
      </c>
      <c r="C445">
        <v>48.924353878700003</v>
      </c>
      <c r="D445">
        <v>2.3863882856199998</v>
      </c>
    </row>
    <row r="446" spans="1:4">
      <c r="A446" s="13">
        <v>445</v>
      </c>
      <c r="B446" s="14" t="s">
        <v>564</v>
      </c>
      <c r="C446">
        <v>48.918113803099999</v>
      </c>
      <c r="D446">
        <v>2.3626655974699999</v>
      </c>
    </row>
    <row r="447" spans="1:4">
      <c r="A447" s="13">
        <v>446</v>
      </c>
      <c r="B447" s="14" t="s">
        <v>154</v>
      </c>
      <c r="C447">
        <v>48.880922007599999</v>
      </c>
      <c r="D447">
        <v>2.3563285436600001</v>
      </c>
    </row>
    <row r="448" spans="1:4">
      <c r="A448" s="13">
        <v>447</v>
      </c>
      <c r="B448" s="14" t="s">
        <v>680</v>
      </c>
      <c r="C448">
        <v>48.861822271900003</v>
      </c>
      <c r="D448">
        <v>2.34701268861</v>
      </c>
    </row>
    <row r="449" spans="1:4">
      <c r="A449" s="13">
        <v>448</v>
      </c>
      <c r="B449" s="14" t="s">
        <v>604</v>
      </c>
      <c r="C449">
        <v>48.8532518986</v>
      </c>
      <c r="D449">
        <v>2.3446604801499999</v>
      </c>
    </row>
    <row r="450" spans="1:4">
      <c r="A450" s="13">
        <v>449</v>
      </c>
      <c r="B450" s="14" t="s">
        <v>568</v>
      </c>
      <c r="C450">
        <v>48.845743069599997</v>
      </c>
      <c r="D450">
        <v>2.3399279983999999</v>
      </c>
    </row>
    <row r="451" spans="1:4">
      <c r="A451" s="13">
        <v>450</v>
      </c>
      <c r="B451" s="14" t="s">
        <v>1392</v>
      </c>
      <c r="C451">
        <v>48.8400337892</v>
      </c>
      <c r="D451">
        <v>2.33709643086</v>
      </c>
    </row>
    <row r="452" spans="1:4">
      <c r="A452" s="13">
        <v>451</v>
      </c>
      <c r="B452" s="14" t="s">
        <v>185</v>
      </c>
      <c r="C452">
        <v>48.834292980500003</v>
      </c>
      <c r="D452">
        <v>2.3328523099599998</v>
      </c>
    </row>
    <row r="453" spans="1:4">
      <c r="A453" s="13">
        <v>452</v>
      </c>
      <c r="B453" s="14" t="s">
        <v>1267</v>
      </c>
      <c r="C453">
        <v>48.8202676123</v>
      </c>
      <c r="D453">
        <v>2.3389751795799998</v>
      </c>
    </row>
    <row r="454" spans="1:4">
      <c r="A454" s="13">
        <v>453</v>
      </c>
      <c r="B454" s="14" t="s">
        <v>1297</v>
      </c>
      <c r="C454">
        <v>48.815229932000001</v>
      </c>
      <c r="D454">
        <v>2.34089113384</v>
      </c>
    </row>
    <row r="455" spans="1:4">
      <c r="A455" s="13">
        <v>454</v>
      </c>
      <c r="B455" s="14" t="s">
        <v>1334</v>
      </c>
      <c r="C455">
        <v>48.808296589500003</v>
      </c>
      <c r="D455">
        <v>2.3343543109899998</v>
      </c>
    </row>
    <row r="456" spans="1:4">
      <c r="A456" s="13">
        <v>455</v>
      </c>
      <c r="B456" s="14" t="s">
        <v>1242</v>
      </c>
      <c r="C456">
        <v>48.798892500999997</v>
      </c>
      <c r="D456">
        <v>2.3281369230500002</v>
      </c>
    </row>
    <row r="457" spans="1:4">
      <c r="A457" s="13">
        <v>456</v>
      </c>
      <c r="B457" s="14" t="s">
        <v>1247</v>
      </c>
      <c r="C457">
        <v>48.793336296299998</v>
      </c>
      <c r="D457">
        <v>2.32220163639</v>
      </c>
    </row>
    <row r="458" spans="1:4">
      <c r="A458" s="13">
        <v>457</v>
      </c>
      <c r="B458" s="14" t="s">
        <v>1252</v>
      </c>
      <c r="C458">
        <v>48.780313796400002</v>
      </c>
      <c r="D458">
        <v>2.3123077168899999</v>
      </c>
    </row>
    <row r="459" spans="1:4">
      <c r="A459" s="13">
        <v>458</v>
      </c>
      <c r="B459" s="14" t="s">
        <v>1414</v>
      </c>
      <c r="C459">
        <v>48.7813567213</v>
      </c>
      <c r="D459">
        <v>2.29764767643</v>
      </c>
    </row>
    <row r="460" spans="1:4">
      <c r="A460" s="13">
        <v>459</v>
      </c>
      <c r="B460" s="14" t="s">
        <v>932</v>
      </c>
      <c r="C460">
        <v>48.787614679999997</v>
      </c>
      <c r="D460">
        <v>2.2924929764700002</v>
      </c>
    </row>
    <row r="461" spans="1:4">
      <c r="A461" s="13">
        <v>460</v>
      </c>
      <c r="B461" s="14" t="s">
        <v>1404</v>
      </c>
      <c r="C461">
        <v>48.780237297100001</v>
      </c>
      <c r="D461">
        <v>2.2814305954399998</v>
      </c>
    </row>
    <row r="462" spans="1:4">
      <c r="A462" s="13">
        <v>461</v>
      </c>
      <c r="B462" s="14" t="s">
        <v>1378</v>
      </c>
      <c r="C462">
        <v>48.770721989000002</v>
      </c>
      <c r="D462">
        <v>2.3102054519299999</v>
      </c>
    </row>
    <row r="463" spans="1:4">
      <c r="A463" s="13">
        <v>462</v>
      </c>
      <c r="B463" s="14" t="s">
        <v>560</v>
      </c>
      <c r="C463">
        <v>48.761693690400001</v>
      </c>
      <c r="D463">
        <v>2.3042273475499999</v>
      </c>
    </row>
    <row r="464" spans="1:4">
      <c r="A464" s="13">
        <v>463</v>
      </c>
      <c r="B464" s="14" t="s">
        <v>1241</v>
      </c>
      <c r="C464">
        <v>48.754946525500003</v>
      </c>
      <c r="D464">
        <v>2.3009868543700001</v>
      </c>
    </row>
    <row r="465" spans="1:4">
      <c r="A465" s="13">
        <v>464</v>
      </c>
      <c r="B465" s="14" t="s">
        <v>1290</v>
      </c>
      <c r="C465">
        <v>48.743373405699998</v>
      </c>
      <c r="D465">
        <v>2.2963931629299998</v>
      </c>
    </row>
    <row r="466" spans="1:4">
      <c r="A466" s="13">
        <v>465</v>
      </c>
      <c r="B466" s="14" t="s">
        <v>1340</v>
      </c>
      <c r="C466">
        <v>48.739681043399997</v>
      </c>
      <c r="D466">
        <v>2.2876674968100001</v>
      </c>
    </row>
    <row r="467" spans="1:4">
      <c r="A467" s="13">
        <v>466</v>
      </c>
      <c r="B467" s="14" t="s">
        <v>616</v>
      </c>
      <c r="C467">
        <v>48.734716586799998</v>
      </c>
      <c r="D467">
        <v>2.2734834643999999</v>
      </c>
    </row>
    <row r="468" spans="1:4">
      <c r="A468" s="13">
        <v>467</v>
      </c>
      <c r="B468" s="14" t="s">
        <v>615</v>
      </c>
      <c r="C468">
        <v>48.724691243700001</v>
      </c>
      <c r="D468">
        <v>2.2582774623300002</v>
      </c>
    </row>
    <row r="469" spans="1:4">
      <c r="A469" s="13">
        <v>468</v>
      </c>
      <c r="B469" s="14" t="s">
        <v>1374</v>
      </c>
      <c r="C469">
        <v>48.716946290300001</v>
      </c>
      <c r="D469">
        <v>2.2456725158999999</v>
      </c>
    </row>
    <row r="470" spans="1:4">
      <c r="A470" s="13">
        <v>469</v>
      </c>
      <c r="B470" s="14" t="s">
        <v>1375</v>
      </c>
      <c r="C470">
        <v>48.708140586399999</v>
      </c>
      <c r="D470">
        <v>2.2373143659600001</v>
      </c>
    </row>
    <row r="471" spans="1:4">
      <c r="A471" s="13">
        <v>470</v>
      </c>
      <c r="B471" s="14" t="s">
        <v>570</v>
      </c>
      <c r="C471">
        <v>48.705968985699997</v>
      </c>
      <c r="D471">
        <v>2.2122623752899999</v>
      </c>
    </row>
    <row r="472" spans="1:4">
      <c r="A472" s="13">
        <v>471</v>
      </c>
      <c r="B472" s="14" t="s">
        <v>1337</v>
      </c>
      <c r="C472">
        <v>48.705403924800002</v>
      </c>
      <c r="D472">
        <v>2.1927348848100001</v>
      </c>
    </row>
    <row r="473" spans="1:4">
      <c r="A473" s="13">
        <v>472</v>
      </c>
      <c r="B473" s="14" t="s">
        <v>1372</v>
      </c>
      <c r="C473">
        <v>48.697505670799998</v>
      </c>
      <c r="D473">
        <v>2.18105443904</v>
      </c>
    </row>
    <row r="474" spans="1:4">
      <c r="A474" s="13">
        <v>473</v>
      </c>
      <c r="B474" s="14" t="s">
        <v>1256</v>
      </c>
      <c r="C474">
        <v>48.696252746900001</v>
      </c>
      <c r="D474">
        <v>2.1643782427899998</v>
      </c>
    </row>
    <row r="475" spans="1:4">
      <c r="A475" s="13">
        <v>474</v>
      </c>
      <c r="B475" s="14" t="s">
        <v>1329</v>
      </c>
      <c r="C475">
        <v>48.695264122099999</v>
      </c>
      <c r="D475">
        <v>2.15164203998</v>
      </c>
    </row>
    <row r="476" spans="1:4">
      <c r="A476" s="13">
        <v>475</v>
      </c>
      <c r="B476" s="14" t="s">
        <v>1301</v>
      </c>
      <c r="C476">
        <v>48.698196976299997</v>
      </c>
      <c r="D476">
        <v>2.1365667143399998</v>
      </c>
    </row>
    <row r="477" spans="1:4">
      <c r="A477" s="13">
        <v>476</v>
      </c>
      <c r="B477" s="14" t="s">
        <v>1271</v>
      </c>
      <c r="C477">
        <v>48.701217719399999</v>
      </c>
      <c r="D477">
        <v>2.0979758611500001</v>
      </c>
    </row>
    <row r="478" spans="1:4">
      <c r="A478" s="13">
        <v>477</v>
      </c>
      <c r="B478" s="14" t="s">
        <v>1413</v>
      </c>
      <c r="C478">
        <v>48.702751042999999</v>
      </c>
      <c r="D478">
        <v>2.0712428476600002</v>
      </c>
    </row>
    <row r="479" spans="1:4">
      <c r="A479" s="13">
        <v>478</v>
      </c>
      <c r="B479" s="14" t="s">
        <v>572</v>
      </c>
      <c r="C479">
        <v>49.046645762600001</v>
      </c>
      <c r="D479">
        <v>2.0951950672300002</v>
      </c>
    </row>
    <row r="480" spans="1:4">
      <c r="A480" s="13">
        <v>479</v>
      </c>
      <c r="B480" s="14" t="s">
        <v>573</v>
      </c>
      <c r="C480">
        <v>49.045311648400002</v>
      </c>
      <c r="D480">
        <v>2.10511071028</v>
      </c>
    </row>
    <row r="481" spans="1:4">
      <c r="A481" s="13">
        <v>480</v>
      </c>
      <c r="B481" s="14" t="s">
        <v>574</v>
      </c>
      <c r="C481">
        <v>49.033987636299997</v>
      </c>
      <c r="D481">
        <v>2.1282638725599998</v>
      </c>
    </row>
    <row r="482" spans="1:4">
      <c r="A482" s="13">
        <v>481</v>
      </c>
      <c r="B482" s="14" t="s">
        <v>575</v>
      </c>
      <c r="C482">
        <v>49.019136741600001</v>
      </c>
      <c r="D482">
        <v>2.1546634774100002</v>
      </c>
    </row>
    <row r="483" spans="1:4">
      <c r="A483" s="13">
        <v>482</v>
      </c>
      <c r="B483" s="14" t="s">
        <v>576</v>
      </c>
      <c r="C483">
        <v>49.007423298900001</v>
      </c>
      <c r="D483">
        <v>2.1976198071100002</v>
      </c>
    </row>
    <row r="484" spans="1:4">
      <c r="A484" s="13">
        <v>483</v>
      </c>
      <c r="B484" s="14" t="s">
        <v>577</v>
      </c>
      <c r="C484">
        <v>48.993713480399997</v>
      </c>
      <c r="D484">
        <v>2.2342763953599998</v>
      </c>
    </row>
    <row r="485" spans="1:4">
      <c r="A485" s="13">
        <v>484</v>
      </c>
      <c r="B485" s="14" t="s">
        <v>578</v>
      </c>
      <c r="C485">
        <v>48.985004701299999</v>
      </c>
      <c r="D485">
        <v>2.2574741558800002</v>
      </c>
    </row>
    <row r="486" spans="1:4">
      <c r="A486" s="13">
        <v>485</v>
      </c>
      <c r="B486" s="14" t="s">
        <v>579</v>
      </c>
      <c r="C486">
        <v>48.980646100400001</v>
      </c>
      <c r="D486">
        <v>2.27208477275</v>
      </c>
    </row>
    <row r="487" spans="1:4">
      <c r="A487" s="13">
        <v>486</v>
      </c>
      <c r="B487" s="14" t="s">
        <v>580</v>
      </c>
      <c r="C487">
        <v>48.963589684900001</v>
      </c>
      <c r="D487">
        <v>2.28593071957</v>
      </c>
    </row>
    <row r="488" spans="1:4">
      <c r="A488" s="13">
        <v>487</v>
      </c>
      <c r="B488" s="14" t="s">
        <v>581</v>
      </c>
      <c r="C488">
        <v>48.953396465300003</v>
      </c>
      <c r="D488">
        <v>2.3023404201500002</v>
      </c>
    </row>
    <row r="489" spans="1:4">
      <c r="A489" s="13">
        <v>488</v>
      </c>
      <c r="B489" s="14" t="s">
        <v>582</v>
      </c>
      <c r="C489">
        <v>48.933326059099997</v>
      </c>
      <c r="D489">
        <v>2.3077318189899998</v>
      </c>
    </row>
    <row r="490" spans="1:4">
      <c r="A490" s="13">
        <v>489</v>
      </c>
      <c r="B490" s="14" t="s">
        <v>583</v>
      </c>
      <c r="C490">
        <v>48.920872803499996</v>
      </c>
      <c r="D490">
        <v>2.3138353824700002</v>
      </c>
    </row>
    <row r="491" spans="1:4">
      <c r="A491" s="13">
        <v>490</v>
      </c>
      <c r="B491" s="14" t="s">
        <v>584</v>
      </c>
      <c r="C491">
        <v>48.905654955800003</v>
      </c>
      <c r="D491">
        <v>2.3224004031400001</v>
      </c>
    </row>
    <row r="492" spans="1:4">
      <c r="A492" s="13">
        <v>491</v>
      </c>
      <c r="B492" s="14" t="s">
        <v>498</v>
      </c>
      <c r="C492">
        <v>48.8941683862</v>
      </c>
      <c r="D492">
        <v>2.3155992191800001</v>
      </c>
    </row>
    <row r="493" spans="1:4">
      <c r="A493" s="13">
        <v>492</v>
      </c>
      <c r="B493" s="14" t="s">
        <v>585</v>
      </c>
      <c r="C493">
        <v>48.885028422200001</v>
      </c>
      <c r="D493">
        <v>2.2973623007200001</v>
      </c>
    </row>
    <row r="494" spans="1:4">
      <c r="A494" s="13">
        <v>493</v>
      </c>
      <c r="B494" s="14" t="s">
        <v>586</v>
      </c>
      <c r="C494">
        <v>48.877349600599999</v>
      </c>
      <c r="D494">
        <v>2.2837955570099999</v>
      </c>
    </row>
    <row r="495" spans="1:4">
      <c r="A495" s="13">
        <v>494</v>
      </c>
      <c r="B495" s="14" t="s">
        <v>587</v>
      </c>
      <c r="C495">
        <v>48.870974138199998</v>
      </c>
      <c r="D495">
        <v>2.2755745268499998</v>
      </c>
    </row>
    <row r="496" spans="1:4">
      <c r="A496" s="13">
        <v>495</v>
      </c>
      <c r="B496" s="14" t="s">
        <v>588</v>
      </c>
      <c r="C496">
        <v>48.864461748399997</v>
      </c>
      <c r="D496">
        <v>2.2721206216400001</v>
      </c>
    </row>
    <row r="497" spans="1:4">
      <c r="A497" s="13">
        <v>496</v>
      </c>
      <c r="B497" s="14" t="s">
        <v>589</v>
      </c>
      <c r="C497">
        <v>48.856531551499998</v>
      </c>
      <c r="D497">
        <v>2.2751671546900001</v>
      </c>
    </row>
    <row r="498" spans="1:4">
      <c r="A498" s="13">
        <v>497</v>
      </c>
      <c r="B498" s="14" t="s">
        <v>590</v>
      </c>
      <c r="C498">
        <v>48.853648052700002</v>
      </c>
      <c r="D498">
        <v>2.2794870718400002</v>
      </c>
    </row>
    <row r="499" spans="1:4">
      <c r="A499" s="13">
        <v>498</v>
      </c>
      <c r="B499" s="14" t="s">
        <v>659</v>
      </c>
      <c r="C499">
        <v>48.787390239200001</v>
      </c>
      <c r="D499">
        <v>2.04462198988</v>
      </c>
    </row>
    <row r="500" spans="1:4">
      <c r="A500" s="13">
        <v>499</v>
      </c>
      <c r="B500" s="14" t="s">
        <v>591</v>
      </c>
      <c r="C500">
        <v>48.798707635200003</v>
      </c>
      <c r="D500">
        <v>2.07184700048</v>
      </c>
    </row>
    <row r="501" spans="1:4">
      <c r="A501" s="13">
        <v>500</v>
      </c>
      <c r="B501" s="14" t="s">
        <v>592</v>
      </c>
      <c r="C501">
        <v>48.795280246300003</v>
      </c>
      <c r="D501">
        <v>2.1360504896600001</v>
      </c>
    </row>
    <row r="502" spans="1:4">
      <c r="A502" s="13">
        <v>501</v>
      </c>
      <c r="B502" s="14" t="s">
        <v>593</v>
      </c>
      <c r="C502">
        <v>48.800215578100001</v>
      </c>
      <c r="D502">
        <v>2.1290438673700001</v>
      </c>
    </row>
    <row r="503" spans="1:4">
      <c r="A503" s="13">
        <v>502</v>
      </c>
      <c r="B503" s="14" t="s">
        <v>594</v>
      </c>
      <c r="C503">
        <v>48.796528181100001</v>
      </c>
      <c r="D503">
        <v>2.1523786548100001</v>
      </c>
    </row>
    <row r="504" spans="1:4">
      <c r="A504" s="13">
        <v>503</v>
      </c>
      <c r="B504" s="14" t="s">
        <v>595</v>
      </c>
      <c r="C504">
        <v>48.800718463899997</v>
      </c>
      <c r="D504">
        <v>2.1713898141199999</v>
      </c>
    </row>
    <row r="505" spans="1:4">
      <c r="A505" s="40">
        <v>504</v>
      </c>
      <c r="B505" s="39" t="s">
        <v>596</v>
      </c>
      <c r="C505">
        <v>48.79944444444444</v>
      </c>
      <c r="D505">
        <v>2.1841666666666666</v>
      </c>
    </row>
    <row r="506" spans="1:4">
      <c r="A506" s="13">
        <v>505</v>
      </c>
      <c r="B506" s="14" t="s">
        <v>597</v>
      </c>
      <c r="C506">
        <v>48.807492623999998</v>
      </c>
      <c r="D506">
        <v>2.2408830666399999</v>
      </c>
    </row>
    <row r="507" spans="1:4">
      <c r="A507" s="13">
        <v>506</v>
      </c>
      <c r="B507" s="14" t="s">
        <v>598</v>
      </c>
      <c r="C507">
        <v>48.8196744882</v>
      </c>
      <c r="D507">
        <v>2.2587597670299999</v>
      </c>
    </row>
    <row r="508" spans="1:4">
      <c r="A508" s="13">
        <v>507</v>
      </c>
      <c r="B508" s="14" t="s">
        <v>599</v>
      </c>
      <c r="C508">
        <v>48.830119639300001</v>
      </c>
      <c r="D508">
        <v>2.2636896487399998</v>
      </c>
    </row>
    <row r="509" spans="1:4">
      <c r="A509" s="13">
        <v>508</v>
      </c>
      <c r="B509" s="14" t="s">
        <v>1391</v>
      </c>
      <c r="C509">
        <v>48.839089755400003</v>
      </c>
      <c r="D509">
        <v>2.2704582437899998</v>
      </c>
    </row>
    <row r="510" spans="1:4">
      <c r="A510" s="13">
        <v>509</v>
      </c>
      <c r="B510" s="14" t="s">
        <v>600</v>
      </c>
      <c r="C510">
        <v>48.846192140500001</v>
      </c>
      <c r="D510">
        <v>2.27676096738</v>
      </c>
    </row>
    <row r="511" spans="1:4">
      <c r="A511" s="13">
        <v>510</v>
      </c>
      <c r="B511" s="14" t="s">
        <v>601</v>
      </c>
      <c r="C511">
        <v>48.857293415699999</v>
      </c>
      <c r="D511">
        <v>2.2903915547999998</v>
      </c>
    </row>
    <row r="512" spans="1:4">
      <c r="A512" s="13">
        <v>511</v>
      </c>
      <c r="B512" s="14" t="s">
        <v>602</v>
      </c>
      <c r="C512">
        <v>48.862662451699997</v>
      </c>
      <c r="D512">
        <v>2.3009899639300002</v>
      </c>
    </row>
    <row r="513" spans="1:4">
      <c r="A513" s="13">
        <v>512</v>
      </c>
      <c r="B513" s="14" t="s">
        <v>352</v>
      </c>
      <c r="C513">
        <v>48.862901844200003</v>
      </c>
      <c r="D513">
        <v>2.31390890638</v>
      </c>
    </row>
    <row r="514" spans="1:4">
      <c r="A514" s="13">
        <v>513</v>
      </c>
      <c r="B514" s="14" t="s">
        <v>603</v>
      </c>
      <c r="C514">
        <v>48.860708232500002</v>
      </c>
      <c r="D514">
        <v>2.3256202919</v>
      </c>
    </row>
    <row r="515" spans="1:4">
      <c r="A515" s="13">
        <v>514</v>
      </c>
      <c r="B515" s="14" t="s">
        <v>604</v>
      </c>
      <c r="C515">
        <v>48.8532518986</v>
      </c>
      <c r="D515">
        <v>2.3446604801499999</v>
      </c>
    </row>
    <row r="516" spans="1:4">
      <c r="A516" s="13">
        <v>515</v>
      </c>
      <c r="B516" s="14" t="s">
        <v>605</v>
      </c>
      <c r="C516">
        <v>48.842360082500001</v>
      </c>
      <c r="D516">
        <v>2.3655817041099998</v>
      </c>
    </row>
    <row r="517" spans="1:4">
      <c r="A517" s="13">
        <v>516</v>
      </c>
      <c r="B517" s="14" t="s">
        <v>606</v>
      </c>
      <c r="C517">
        <v>48.830258457299998</v>
      </c>
      <c r="D517">
        <v>2.3763107213899999</v>
      </c>
    </row>
    <row r="518" spans="1:4">
      <c r="A518" s="13">
        <v>517</v>
      </c>
      <c r="B518" s="14" t="s">
        <v>607</v>
      </c>
      <c r="C518">
        <v>48.813989051100002</v>
      </c>
      <c r="D518">
        <v>2.39168697167</v>
      </c>
    </row>
    <row r="519" spans="1:4">
      <c r="A519" s="13">
        <v>518</v>
      </c>
      <c r="B519" s="14" t="s">
        <v>608</v>
      </c>
      <c r="C519">
        <v>48.800209400100002</v>
      </c>
      <c r="D519">
        <v>2.4027128171599998</v>
      </c>
    </row>
    <row r="520" spans="1:4">
      <c r="A520" s="13">
        <v>519</v>
      </c>
      <c r="B520" s="14" t="s">
        <v>609</v>
      </c>
      <c r="C520">
        <v>48.782505435499999</v>
      </c>
      <c r="D520">
        <v>2.4095416551</v>
      </c>
    </row>
    <row r="521" spans="1:4">
      <c r="A521" s="13">
        <v>520</v>
      </c>
      <c r="B521" s="14" t="s">
        <v>622</v>
      </c>
      <c r="C521">
        <v>48.763786806900001</v>
      </c>
      <c r="D521">
        <v>2.41138672633</v>
      </c>
    </row>
    <row r="522" spans="1:4">
      <c r="A522" s="13">
        <v>521</v>
      </c>
      <c r="B522" s="14" t="s">
        <v>610</v>
      </c>
      <c r="C522">
        <v>48.770425206600002</v>
      </c>
      <c r="D522">
        <v>2.1468316446900002</v>
      </c>
    </row>
    <row r="523" spans="1:4">
      <c r="A523" s="13">
        <v>522</v>
      </c>
      <c r="B523" s="14" t="s">
        <v>611</v>
      </c>
      <c r="C523">
        <v>48.764776012900001</v>
      </c>
      <c r="D523">
        <v>2.1639470845200002</v>
      </c>
    </row>
    <row r="524" spans="1:4">
      <c r="A524" s="13">
        <v>523</v>
      </c>
      <c r="B524" s="14" t="s">
        <v>612</v>
      </c>
      <c r="C524">
        <v>48.759188985900003</v>
      </c>
      <c r="D524">
        <v>2.19213580582</v>
      </c>
    </row>
    <row r="525" spans="1:4">
      <c r="A525" s="13">
        <v>524</v>
      </c>
      <c r="B525" s="14" t="s">
        <v>613</v>
      </c>
      <c r="C525">
        <v>48.751023275999998</v>
      </c>
      <c r="D525">
        <v>2.2158608532600002</v>
      </c>
    </row>
    <row r="526" spans="1:4">
      <c r="A526" s="13">
        <v>525</v>
      </c>
      <c r="B526" s="14" t="s">
        <v>614</v>
      </c>
      <c r="C526">
        <v>48.740181522</v>
      </c>
      <c r="D526">
        <v>2.2309611250499999</v>
      </c>
    </row>
    <row r="527" spans="1:4">
      <c r="A527" s="13">
        <v>526</v>
      </c>
      <c r="B527" s="14" t="s">
        <v>615</v>
      </c>
      <c r="C527">
        <v>48.724691243700001</v>
      </c>
      <c r="D527">
        <v>2.2582774623300002</v>
      </c>
    </row>
    <row r="528" spans="1:4">
      <c r="A528" s="13">
        <v>527</v>
      </c>
      <c r="B528" s="14" t="s">
        <v>616</v>
      </c>
      <c r="C528">
        <v>48.734716586799998</v>
      </c>
      <c r="D528">
        <v>2.2734834643999999</v>
      </c>
    </row>
    <row r="529" spans="1:4">
      <c r="A529" s="13">
        <v>528</v>
      </c>
      <c r="B529" s="14" t="s">
        <v>617</v>
      </c>
      <c r="C529">
        <v>48.747941901899999</v>
      </c>
      <c r="D529">
        <v>2.3127110094400001</v>
      </c>
    </row>
    <row r="530" spans="1:4">
      <c r="A530" s="13">
        <v>529</v>
      </c>
      <c r="B530" s="14" t="s">
        <v>618</v>
      </c>
      <c r="C530">
        <v>48.740584122800001</v>
      </c>
      <c r="D530">
        <v>2.35330704843</v>
      </c>
    </row>
    <row r="531" spans="1:4">
      <c r="A531" s="13">
        <v>530</v>
      </c>
      <c r="B531" s="14" t="s">
        <v>619</v>
      </c>
      <c r="C531">
        <v>48.748349683299999</v>
      </c>
      <c r="D531">
        <v>2.3731119406899999</v>
      </c>
    </row>
    <row r="532" spans="1:4">
      <c r="A532" s="13">
        <v>531</v>
      </c>
      <c r="B532" s="14" t="s">
        <v>620</v>
      </c>
      <c r="C532">
        <v>48.741878706599998</v>
      </c>
      <c r="D532">
        <v>2.4029086073600001</v>
      </c>
    </row>
    <row r="533" spans="1:4">
      <c r="A533" s="13">
        <v>532</v>
      </c>
      <c r="B533" s="14" t="s">
        <v>621</v>
      </c>
      <c r="C533">
        <v>48.745072171399997</v>
      </c>
      <c r="D533">
        <v>2.4175209778500002</v>
      </c>
    </row>
    <row r="534" spans="1:4">
      <c r="A534" s="13">
        <v>533</v>
      </c>
      <c r="B534" s="14" t="s">
        <v>623</v>
      </c>
      <c r="C534">
        <v>48.7398306985</v>
      </c>
      <c r="D534">
        <v>2.42639982184</v>
      </c>
    </row>
    <row r="535" spans="1:4">
      <c r="A535" s="13">
        <v>534</v>
      </c>
      <c r="B535" s="14" t="s">
        <v>624</v>
      </c>
      <c r="C535">
        <v>48.725535305800001</v>
      </c>
      <c r="D535">
        <v>2.4195650257399999</v>
      </c>
    </row>
    <row r="536" spans="1:4">
      <c r="A536" s="13">
        <v>535</v>
      </c>
      <c r="B536" s="14" t="s">
        <v>625</v>
      </c>
      <c r="C536">
        <v>48.7126289857</v>
      </c>
      <c r="D536">
        <v>2.4036331022100001</v>
      </c>
    </row>
    <row r="537" spans="1:4">
      <c r="A537" s="13">
        <v>536</v>
      </c>
      <c r="B537" s="14" t="s">
        <v>626</v>
      </c>
      <c r="C537">
        <v>48.689490204800002</v>
      </c>
      <c r="D537">
        <v>2.3830198082999998</v>
      </c>
    </row>
    <row r="538" spans="1:4">
      <c r="A538" s="13">
        <v>537</v>
      </c>
      <c r="B538" s="14" t="s">
        <v>632</v>
      </c>
      <c r="C538">
        <v>48.676446657</v>
      </c>
      <c r="D538">
        <v>2.3524814010499999</v>
      </c>
    </row>
    <row r="539" spans="1:4">
      <c r="A539" s="13">
        <v>538</v>
      </c>
      <c r="B539" s="14" t="s">
        <v>627</v>
      </c>
      <c r="C539">
        <v>48.702239387799999</v>
      </c>
      <c r="D539">
        <v>2.2945577464800002</v>
      </c>
    </row>
    <row r="540" spans="1:4">
      <c r="A540" s="13">
        <v>539</v>
      </c>
      <c r="B540" s="14" t="s">
        <v>628</v>
      </c>
      <c r="C540">
        <v>48.700680804599997</v>
      </c>
      <c r="D540">
        <v>2.30784118461</v>
      </c>
    </row>
    <row r="541" spans="1:4">
      <c r="A541" s="13">
        <v>540</v>
      </c>
      <c r="B541" s="14" t="s">
        <v>629</v>
      </c>
      <c r="C541">
        <v>48.685713628199998</v>
      </c>
      <c r="D541">
        <v>2.3176264035899998</v>
      </c>
    </row>
    <row r="542" spans="1:4">
      <c r="A542" s="13">
        <v>541</v>
      </c>
      <c r="B542" s="14" t="s">
        <v>630</v>
      </c>
      <c r="C542">
        <v>48.676381323500003</v>
      </c>
      <c r="D542">
        <v>2.3332494626</v>
      </c>
    </row>
    <row r="543" spans="1:4">
      <c r="A543" s="13">
        <v>542</v>
      </c>
      <c r="B543" s="14" t="s">
        <v>631</v>
      </c>
      <c r="C543">
        <v>48.669483726099998</v>
      </c>
      <c r="D543">
        <v>2.3326229291999998</v>
      </c>
    </row>
    <row r="544" spans="1:4">
      <c r="A544" s="13">
        <v>543</v>
      </c>
      <c r="B544" s="14" t="s">
        <v>633</v>
      </c>
      <c r="C544">
        <v>48.652811399599997</v>
      </c>
      <c r="D544">
        <v>2.3127362470100001</v>
      </c>
    </row>
    <row r="545" spans="1:4">
      <c r="A545" s="13">
        <v>544</v>
      </c>
      <c r="B545" s="14" t="s">
        <v>634</v>
      </c>
      <c r="C545">
        <v>48.635875865800003</v>
      </c>
      <c r="D545">
        <v>2.3068331639599999</v>
      </c>
    </row>
    <row r="546" spans="1:4">
      <c r="A546" s="13">
        <v>545</v>
      </c>
      <c r="B546" s="14" t="s">
        <v>635</v>
      </c>
      <c r="C546">
        <v>48.606744948900001</v>
      </c>
      <c r="D546">
        <v>2.3020596915799998</v>
      </c>
    </row>
    <row r="547" spans="1:4">
      <c r="A547" s="13">
        <v>546</v>
      </c>
      <c r="B547" s="14" t="s">
        <v>636</v>
      </c>
      <c r="C547">
        <v>48.591460820199998</v>
      </c>
      <c r="D547">
        <v>2.26693797126</v>
      </c>
    </row>
    <row r="548" spans="1:4">
      <c r="A548" s="13">
        <v>547</v>
      </c>
      <c r="B548" s="14" t="s">
        <v>637</v>
      </c>
      <c r="C548">
        <v>48.586007890799998</v>
      </c>
      <c r="D548">
        <v>2.2410700781899999</v>
      </c>
    </row>
    <row r="549" spans="1:4">
      <c r="A549" s="13">
        <v>548</v>
      </c>
      <c r="B549" s="14" t="s">
        <v>638</v>
      </c>
      <c r="C549">
        <v>48.5824855969</v>
      </c>
      <c r="D549">
        <v>2.2224333124800002</v>
      </c>
    </row>
    <row r="550" spans="1:4">
      <c r="A550" s="13">
        <v>549</v>
      </c>
      <c r="B550" s="14" t="s">
        <v>639</v>
      </c>
      <c r="C550">
        <v>48.577508490299998</v>
      </c>
      <c r="D550">
        <v>2.1920630714699998</v>
      </c>
    </row>
    <row r="551" spans="1:4">
      <c r="A551" s="13">
        <v>550</v>
      </c>
      <c r="B551" s="14" t="s">
        <v>640</v>
      </c>
      <c r="C551">
        <v>48.564597027399998</v>
      </c>
      <c r="D551">
        <v>2.17097626776</v>
      </c>
    </row>
    <row r="552" spans="1:4">
      <c r="A552" s="13">
        <v>551</v>
      </c>
      <c r="B552" s="14" t="s">
        <v>641</v>
      </c>
      <c r="C552">
        <v>48.551091975600002</v>
      </c>
      <c r="D552">
        <v>2.1257072677000002</v>
      </c>
    </row>
    <row r="553" spans="1:4">
      <c r="A553" s="13">
        <v>552</v>
      </c>
      <c r="B553" s="14" t="s">
        <v>642</v>
      </c>
      <c r="C553">
        <v>48.5358065092</v>
      </c>
      <c r="D553">
        <v>2.0693815248899998</v>
      </c>
    </row>
    <row r="554" spans="1:4">
      <c r="A554" s="13">
        <v>553</v>
      </c>
      <c r="B554" s="14" t="s">
        <v>643</v>
      </c>
      <c r="C554">
        <v>48.533732833999998</v>
      </c>
      <c r="D554">
        <v>2.0087718152299998</v>
      </c>
    </row>
    <row r="555" spans="1:4">
      <c r="A555" s="13">
        <v>554</v>
      </c>
      <c r="B555" s="14" t="s">
        <v>644</v>
      </c>
      <c r="C555">
        <v>48.5356206226</v>
      </c>
      <c r="D555">
        <v>1.9959019903599999</v>
      </c>
    </row>
    <row r="556" spans="1:4">
      <c r="A556" s="13">
        <v>555</v>
      </c>
      <c r="B556" s="14" t="s">
        <v>645</v>
      </c>
      <c r="C556">
        <v>48.565593861899998</v>
      </c>
      <c r="D556">
        <v>2.2909244698600002</v>
      </c>
    </row>
    <row r="557" spans="1:4">
      <c r="A557" s="13">
        <v>556</v>
      </c>
      <c r="B557" s="14" t="s">
        <v>646</v>
      </c>
      <c r="C557">
        <v>48.532890104099998</v>
      </c>
      <c r="D557">
        <v>2.2900825138299998</v>
      </c>
    </row>
    <row r="558" spans="1:4">
      <c r="A558" s="13">
        <v>557</v>
      </c>
      <c r="B558" s="14" t="s">
        <v>647</v>
      </c>
      <c r="C558">
        <v>48.520403591099999</v>
      </c>
      <c r="D558">
        <v>2.2547397010700001</v>
      </c>
    </row>
    <row r="559" spans="1:4">
      <c r="A559" s="13">
        <v>558</v>
      </c>
      <c r="B559" s="14" t="s">
        <v>648</v>
      </c>
      <c r="C559">
        <v>48.5142458762</v>
      </c>
      <c r="D559">
        <v>2.2155178105800002</v>
      </c>
    </row>
    <row r="560" spans="1:4">
      <c r="A560" s="13">
        <v>559</v>
      </c>
      <c r="B560" s="14" t="s">
        <v>649</v>
      </c>
      <c r="C560">
        <v>48.493644578500003</v>
      </c>
      <c r="D560">
        <v>2.19458169917</v>
      </c>
    </row>
    <row r="561" spans="1:4">
      <c r="A561" s="13">
        <v>560</v>
      </c>
      <c r="B561" s="14" t="s">
        <v>650</v>
      </c>
      <c r="C561">
        <v>48.4369239376</v>
      </c>
      <c r="D561">
        <v>2.1595305875699999</v>
      </c>
    </row>
    <row r="562" spans="1:4">
      <c r="A562" s="13">
        <v>561</v>
      </c>
      <c r="B562" s="14" t="s">
        <v>651</v>
      </c>
      <c r="C562">
        <v>48.427362584199997</v>
      </c>
      <c r="D562">
        <v>2.1452465929</v>
      </c>
    </row>
    <row r="563" spans="1:4">
      <c r="A563" s="13">
        <v>562</v>
      </c>
      <c r="B563" s="14" t="s">
        <v>667</v>
      </c>
      <c r="C563">
        <v>49.263944144500002</v>
      </c>
      <c r="D563">
        <v>2.46891411535</v>
      </c>
    </row>
    <row r="564" spans="1:4">
      <c r="A564" s="13">
        <v>563</v>
      </c>
      <c r="B564" s="14" t="s">
        <v>668</v>
      </c>
      <c r="C564">
        <v>49.187333536499999</v>
      </c>
      <c r="D564">
        <v>2.45952008111</v>
      </c>
    </row>
    <row r="565" spans="1:4">
      <c r="A565" s="13">
        <v>564</v>
      </c>
      <c r="B565" s="14" t="s">
        <v>669</v>
      </c>
      <c r="C565">
        <v>49.138286375299998</v>
      </c>
      <c r="D565">
        <v>2.49017898542</v>
      </c>
    </row>
    <row r="566" spans="1:4">
      <c r="A566" s="13">
        <v>565</v>
      </c>
      <c r="B566" s="14" t="s">
        <v>670</v>
      </c>
      <c r="C566">
        <v>49.126780941100002</v>
      </c>
      <c r="D566">
        <v>2.5061436906300001</v>
      </c>
    </row>
    <row r="567" spans="1:4">
      <c r="A567" s="13">
        <v>566</v>
      </c>
      <c r="B567" s="14" t="s">
        <v>671</v>
      </c>
      <c r="C567">
        <v>49.0995869383</v>
      </c>
      <c r="D567">
        <v>2.525531714</v>
      </c>
    </row>
    <row r="568" spans="1:4">
      <c r="A568" s="13">
        <v>567</v>
      </c>
      <c r="B568" s="14" t="s">
        <v>672</v>
      </c>
      <c r="C568">
        <v>49.049325598199999</v>
      </c>
      <c r="D568">
        <v>2.5017580617699999</v>
      </c>
    </row>
    <row r="569" spans="1:4">
      <c r="A569" s="13">
        <v>568</v>
      </c>
      <c r="B569" s="14" t="s">
        <v>673</v>
      </c>
      <c r="C569">
        <v>49.033182768099998</v>
      </c>
      <c r="D569">
        <v>2.4780333664900001</v>
      </c>
    </row>
    <row r="570" spans="1:4">
      <c r="A570" s="13">
        <v>569</v>
      </c>
      <c r="B570" s="14" t="s">
        <v>674</v>
      </c>
      <c r="C570">
        <v>49.023161996299997</v>
      </c>
      <c r="D570">
        <v>2.4621689620599998</v>
      </c>
    </row>
    <row r="571" spans="1:4">
      <c r="A571" s="13">
        <v>570</v>
      </c>
      <c r="B571" s="14" t="s">
        <v>675</v>
      </c>
      <c r="C571">
        <v>48.993777147800003</v>
      </c>
      <c r="D571">
        <v>2.4161874916500001</v>
      </c>
    </row>
    <row r="572" spans="1:4">
      <c r="A572" s="13">
        <v>571</v>
      </c>
      <c r="B572" s="14" t="s">
        <v>676</v>
      </c>
      <c r="C572">
        <v>48.976868588499997</v>
      </c>
      <c r="D572">
        <v>2.3907639327100001</v>
      </c>
    </row>
    <row r="573" spans="1:4">
      <c r="A573" s="13">
        <v>572</v>
      </c>
      <c r="B573" s="14" t="s">
        <v>677</v>
      </c>
      <c r="C573">
        <v>48.963755426900001</v>
      </c>
      <c r="D573">
        <v>2.3721031343400001</v>
      </c>
    </row>
    <row r="574" spans="1:4">
      <c r="A574" s="13">
        <v>573</v>
      </c>
      <c r="B574" s="14" t="s">
        <v>559</v>
      </c>
      <c r="C574">
        <v>48.936030605900001</v>
      </c>
      <c r="D574">
        <v>2.3452746846800001</v>
      </c>
    </row>
    <row r="575" spans="1:4">
      <c r="A575" s="13">
        <v>574</v>
      </c>
      <c r="B575" s="14" t="s">
        <v>678</v>
      </c>
      <c r="C575">
        <v>48.917567173000002</v>
      </c>
      <c r="D575">
        <v>2.3503895379299999</v>
      </c>
    </row>
    <row r="576" spans="1:4">
      <c r="A576" s="13">
        <v>575</v>
      </c>
      <c r="B576" s="14" t="s">
        <v>679</v>
      </c>
      <c r="C576">
        <v>48.880922007599999</v>
      </c>
      <c r="D576">
        <v>2.3563285436600001</v>
      </c>
    </row>
    <row r="577" spans="1:4">
      <c r="A577" s="13">
        <v>576</v>
      </c>
      <c r="B577" s="14" t="s">
        <v>680</v>
      </c>
      <c r="C577">
        <v>48.861822271900003</v>
      </c>
      <c r="D577">
        <v>2.34701268861</v>
      </c>
    </row>
    <row r="578" spans="1:4">
      <c r="A578" s="13">
        <v>577</v>
      </c>
      <c r="B578" s="14" t="s">
        <v>681</v>
      </c>
      <c r="C578">
        <v>48.844139349899997</v>
      </c>
      <c r="D578">
        <v>2.3732599780700001</v>
      </c>
    </row>
    <row r="579" spans="1:4">
      <c r="A579" s="13">
        <v>578</v>
      </c>
      <c r="B579" s="14" t="s">
        <v>682</v>
      </c>
      <c r="C579">
        <v>48.802049380299998</v>
      </c>
      <c r="D579">
        <v>2.4264824084800001</v>
      </c>
    </row>
    <row r="580" spans="1:4">
      <c r="A580" s="13">
        <v>579</v>
      </c>
      <c r="B580" s="14" t="s">
        <v>683</v>
      </c>
      <c r="C580">
        <v>48.788914899399998</v>
      </c>
      <c r="D580">
        <v>2.4320701165599998</v>
      </c>
    </row>
    <row r="581" spans="1:4">
      <c r="A581" s="13">
        <v>580</v>
      </c>
      <c r="B581" s="14" t="s">
        <v>684</v>
      </c>
      <c r="C581">
        <v>48.771266038100002</v>
      </c>
      <c r="D581">
        <v>2.4353063397099999</v>
      </c>
    </row>
    <row r="582" spans="1:4">
      <c r="A582" s="13">
        <v>581</v>
      </c>
      <c r="B582" s="14" t="s">
        <v>685</v>
      </c>
      <c r="C582">
        <v>48.745230814899998</v>
      </c>
      <c r="D582">
        <v>2.4383442405700002</v>
      </c>
    </row>
    <row r="583" spans="1:4">
      <c r="A583" s="13">
        <v>582</v>
      </c>
      <c r="B583" s="14" t="s">
        <v>686</v>
      </c>
      <c r="C583">
        <v>48.730116827800003</v>
      </c>
      <c r="D583">
        <v>2.4461358296100002</v>
      </c>
    </row>
    <row r="584" spans="1:4">
      <c r="A584" s="13">
        <v>583</v>
      </c>
      <c r="B584" s="14" t="s">
        <v>687</v>
      </c>
      <c r="C584">
        <v>48.708237830400002</v>
      </c>
      <c r="D584">
        <v>2.4622822419500001</v>
      </c>
    </row>
    <row r="585" spans="1:4">
      <c r="A585" s="13">
        <v>584</v>
      </c>
      <c r="B585" s="14" t="s">
        <v>688</v>
      </c>
      <c r="C585">
        <v>48.7066109469</v>
      </c>
      <c r="D585">
        <v>2.4842451493</v>
      </c>
    </row>
    <row r="586" spans="1:4">
      <c r="A586" s="13">
        <v>585</v>
      </c>
      <c r="B586" s="14" t="s">
        <v>689</v>
      </c>
      <c r="C586">
        <v>48.6997324357</v>
      </c>
      <c r="D586">
        <v>2.5060781531899998</v>
      </c>
    </row>
    <row r="587" spans="1:4">
      <c r="A587" s="13">
        <v>586</v>
      </c>
      <c r="B587" s="14" t="s">
        <v>690</v>
      </c>
      <c r="C587">
        <v>48.681016613700002</v>
      </c>
      <c r="D587">
        <v>2.5331306633900001</v>
      </c>
    </row>
    <row r="588" spans="1:4">
      <c r="A588" s="13">
        <v>587</v>
      </c>
      <c r="B588" s="14" t="s">
        <v>691</v>
      </c>
      <c r="C588">
        <v>48.6679019575</v>
      </c>
      <c r="D588">
        <v>2.5475480485599999</v>
      </c>
    </row>
    <row r="589" spans="1:4">
      <c r="A589" s="13">
        <v>588</v>
      </c>
      <c r="B589" s="14" t="s">
        <v>692</v>
      </c>
      <c r="C589">
        <v>48.628375551700003</v>
      </c>
      <c r="D589">
        <v>2.5695835482399998</v>
      </c>
    </row>
    <row r="590" spans="1:4">
      <c r="A590" s="13">
        <v>589</v>
      </c>
      <c r="B590" s="14" t="s">
        <v>693</v>
      </c>
      <c r="C590">
        <v>48.5955638398</v>
      </c>
      <c r="D590">
        <v>2.5839477096899999</v>
      </c>
    </row>
    <row r="591" spans="1:4">
      <c r="A591" s="13">
        <v>590</v>
      </c>
      <c r="B591" s="14" t="s">
        <v>694</v>
      </c>
      <c r="C591">
        <v>48.564949493900002</v>
      </c>
      <c r="D591">
        <v>2.5945518160200001</v>
      </c>
    </row>
    <row r="592" spans="1:4">
      <c r="A592" s="13">
        <v>591</v>
      </c>
      <c r="B592" s="14" t="s">
        <v>695</v>
      </c>
      <c r="C592">
        <v>48.538775259300003</v>
      </c>
      <c r="D592">
        <v>2.6255221509800002</v>
      </c>
    </row>
    <row r="593" spans="1:4">
      <c r="A593" s="13">
        <v>592</v>
      </c>
      <c r="B593" s="14" t="s">
        <v>696</v>
      </c>
      <c r="C593">
        <v>48.708366432600002</v>
      </c>
      <c r="D593">
        <v>2.4143588798</v>
      </c>
    </row>
    <row r="594" spans="1:4">
      <c r="A594" s="13">
        <v>593</v>
      </c>
      <c r="B594" s="14" t="s">
        <v>626</v>
      </c>
      <c r="C594">
        <v>48.689490204800002</v>
      </c>
      <c r="D594">
        <v>2.3830198082999998</v>
      </c>
    </row>
    <row r="595" spans="1:4">
      <c r="A595" s="13">
        <v>594</v>
      </c>
      <c r="B595" s="14" t="s">
        <v>697</v>
      </c>
      <c r="C595">
        <v>48.676092433999997</v>
      </c>
      <c r="D595">
        <v>2.3867837970300001</v>
      </c>
    </row>
    <row r="596" spans="1:4">
      <c r="A596" s="13">
        <v>595</v>
      </c>
      <c r="B596" s="14" t="s">
        <v>698</v>
      </c>
      <c r="C596">
        <v>48.658975422899999</v>
      </c>
      <c r="D596">
        <v>2.4152068427</v>
      </c>
    </row>
    <row r="597" spans="1:4">
      <c r="A597" s="13">
        <v>596</v>
      </c>
      <c r="B597" s="14" t="s">
        <v>723</v>
      </c>
      <c r="C597">
        <v>48.648489113499998</v>
      </c>
      <c r="D597">
        <v>2.4353305288099998</v>
      </c>
    </row>
    <row r="598" spans="1:4">
      <c r="A598" s="13">
        <v>597</v>
      </c>
      <c r="B598" s="14" t="s">
        <v>699</v>
      </c>
      <c r="C598">
        <v>48.634479020599997</v>
      </c>
      <c r="D598">
        <v>2.4522898952799999</v>
      </c>
    </row>
    <row r="599" spans="1:4">
      <c r="A599" s="13">
        <v>598</v>
      </c>
      <c r="B599" s="14" t="s">
        <v>700</v>
      </c>
      <c r="C599">
        <v>48.653969758400002</v>
      </c>
      <c r="D599">
        <v>2.3961768110900001</v>
      </c>
    </row>
    <row r="600" spans="1:4">
      <c r="A600" s="13">
        <v>599</v>
      </c>
      <c r="B600" s="14" t="s">
        <v>701</v>
      </c>
      <c r="C600">
        <v>48.636351368</v>
      </c>
      <c r="D600">
        <v>2.4077962834500002</v>
      </c>
    </row>
    <row r="601" spans="1:4">
      <c r="A601" s="13">
        <v>600</v>
      </c>
      <c r="B601" s="14" t="s">
        <v>702</v>
      </c>
      <c r="C601">
        <v>48.626022427999999</v>
      </c>
      <c r="D601">
        <v>2.42873898192</v>
      </c>
    </row>
    <row r="602" spans="1:4">
      <c r="A602" s="13">
        <v>601</v>
      </c>
      <c r="B602" s="14" t="s">
        <v>703</v>
      </c>
      <c r="C602">
        <v>48.623332241</v>
      </c>
      <c r="D602">
        <v>2.4514090888100002</v>
      </c>
    </row>
    <row r="603" spans="1:4">
      <c r="A603" s="13">
        <v>602</v>
      </c>
      <c r="B603" s="14" t="s">
        <v>704</v>
      </c>
      <c r="C603">
        <v>48.613427913599999</v>
      </c>
      <c r="D603">
        <v>2.4729336490999998</v>
      </c>
    </row>
    <row r="604" spans="1:4">
      <c r="A604" s="13">
        <v>603</v>
      </c>
      <c r="B604" s="14" t="s">
        <v>705</v>
      </c>
      <c r="C604">
        <v>48.6055558264</v>
      </c>
      <c r="D604">
        <v>2.46245649414</v>
      </c>
    </row>
    <row r="605" spans="1:4">
      <c r="A605" s="13">
        <v>604</v>
      </c>
      <c r="B605" s="14" t="s">
        <v>706</v>
      </c>
      <c r="C605">
        <v>48.592627742200001</v>
      </c>
      <c r="D605">
        <v>2.4618063874799998</v>
      </c>
    </row>
    <row r="606" spans="1:4">
      <c r="A606" s="13">
        <v>605</v>
      </c>
      <c r="B606" s="14" t="s">
        <v>707</v>
      </c>
      <c r="C606">
        <v>48.573807793599997</v>
      </c>
      <c r="D606">
        <v>2.4794691696000002</v>
      </c>
    </row>
    <row r="607" spans="1:4">
      <c r="A607" s="13">
        <v>606</v>
      </c>
      <c r="B607" s="14" t="s">
        <v>708</v>
      </c>
      <c r="C607">
        <v>48.566117820700001</v>
      </c>
      <c r="D607">
        <v>2.49271300288</v>
      </c>
    </row>
    <row r="608" spans="1:4">
      <c r="A608" s="13">
        <v>607</v>
      </c>
      <c r="B608" s="14" t="s">
        <v>333</v>
      </c>
      <c r="C608">
        <v>48.564485871899997</v>
      </c>
      <c r="D608">
        <v>2.5426518226999999</v>
      </c>
    </row>
    <row r="609" spans="1:4">
      <c r="A609" s="13">
        <v>608</v>
      </c>
      <c r="B609" s="14" t="s">
        <v>709</v>
      </c>
      <c r="C609">
        <v>48.535139766100002</v>
      </c>
      <c r="D609">
        <v>2.54434895173</v>
      </c>
    </row>
    <row r="610" spans="1:4">
      <c r="A610" s="13">
        <v>609</v>
      </c>
      <c r="B610" s="14" t="s">
        <v>710</v>
      </c>
      <c r="C610">
        <v>48.529746916800001</v>
      </c>
      <c r="D610">
        <v>2.57207366546</v>
      </c>
    </row>
    <row r="611" spans="1:4">
      <c r="A611" s="13">
        <v>610</v>
      </c>
      <c r="B611" s="14" t="s">
        <v>711</v>
      </c>
      <c r="C611">
        <v>48.5151514533</v>
      </c>
      <c r="D611">
        <v>2.5993042727</v>
      </c>
    </row>
    <row r="612" spans="1:4">
      <c r="A612" s="13">
        <v>611</v>
      </c>
      <c r="B612" s="14" t="s">
        <v>712</v>
      </c>
      <c r="C612">
        <v>48.527243321500002</v>
      </c>
      <c r="D612">
        <v>2.65499028214</v>
      </c>
    </row>
    <row r="613" spans="1:4">
      <c r="A613" s="13">
        <v>612</v>
      </c>
      <c r="B613" s="14" t="s">
        <v>713</v>
      </c>
      <c r="C613">
        <v>48.587153909000001</v>
      </c>
      <c r="D613">
        <v>2.47349036497</v>
      </c>
    </row>
    <row r="614" spans="1:4">
      <c r="A614" s="13">
        <v>613</v>
      </c>
      <c r="B614" s="14" t="s">
        <v>714</v>
      </c>
      <c r="C614">
        <v>48.570596856000002</v>
      </c>
      <c r="D614">
        <v>2.4320985269099999</v>
      </c>
    </row>
    <row r="615" spans="1:4">
      <c r="A615" s="13">
        <v>614</v>
      </c>
      <c r="B615" s="14" t="s">
        <v>715</v>
      </c>
      <c r="C615">
        <v>48.531501989200002</v>
      </c>
      <c r="D615">
        <v>2.3705185004099998</v>
      </c>
    </row>
    <row r="616" spans="1:4">
      <c r="A616" s="13">
        <v>615</v>
      </c>
      <c r="B616" s="14" t="s">
        <v>716</v>
      </c>
      <c r="C616">
        <v>48.484957376300002</v>
      </c>
      <c r="D616">
        <v>2.3518584214299998</v>
      </c>
    </row>
    <row r="617" spans="1:4">
      <c r="A617" s="13">
        <v>616</v>
      </c>
      <c r="B617" s="14" t="s">
        <v>717</v>
      </c>
      <c r="C617">
        <v>48.434490612899999</v>
      </c>
      <c r="D617">
        <v>2.3766728171599998</v>
      </c>
    </row>
    <row r="618" spans="1:4">
      <c r="A618" s="13">
        <v>617</v>
      </c>
      <c r="B618" s="14" t="s">
        <v>718</v>
      </c>
      <c r="C618">
        <v>48.393641546799998</v>
      </c>
      <c r="D618">
        <v>2.39341072138</v>
      </c>
    </row>
    <row r="619" spans="1:4">
      <c r="A619" s="13">
        <v>618</v>
      </c>
      <c r="B619" s="14" t="s">
        <v>719</v>
      </c>
      <c r="C619">
        <v>48.371383294099999</v>
      </c>
      <c r="D619">
        <v>2.3872097971800001</v>
      </c>
    </row>
    <row r="620" spans="1:4">
      <c r="A620" s="13">
        <v>619</v>
      </c>
      <c r="B620" s="14" t="s">
        <v>720</v>
      </c>
      <c r="C620">
        <v>48.3416635464</v>
      </c>
      <c r="D620">
        <v>2.3788154446399998</v>
      </c>
    </row>
    <row r="621" spans="1:4">
      <c r="A621" s="13">
        <v>620</v>
      </c>
      <c r="B621" s="14" t="s">
        <v>122</v>
      </c>
      <c r="C621">
        <v>48.293591768699997</v>
      </c>
      <c r="D621">
        <v>2.40113389443</v>
      </c>
    </row>
    <row r="622" spans="1:4">
      <c r="A622" s="13">
        <v>621</v>
      </c>
      <c r="B622" s="14" t="s">
        <v>724</v>
      </c>
      <c r="C622">
        <v>48.875933152400002</v>
      </c>
      <c r="D622">
        <v>2.3257279613900002</v>
      </c>
    </row>
    <row r="623" spans="1:4">
      <c r="A623" s="13">
        <v>622</v>
      </c>
      <c r="B623" s="14" t="s">
        <v>725</v>
      </c>
      <c r="C623">
        <v>48.8809135256</v>
      </c>
      <c r="D623">
        <v>2.3588332356400001</v>
      </c>
    </row>
    <row r="624" spans="1:4">
      <c r="A624" s="13">
        <v>623</v>
      </c>
      <c r="B624" s="14" t="s">
        <v>726</v>
      </c>
      <c r="C624">
        <v>48.896673811200003</v>
      </c>
      <c r="D624">
        <v>2.3741229755300002</v>
      </c>
    </row>
    <row r="625" spans="1:4">
      <c r="A625" s="13">
        <v>624</v>
      </c>
      <c r="B625" s="14" t="s">
        <v>727</v>
      </c>
      <c r="C625">
        <v>48.898112305399998</v>
      </c>
      <c r="D625">
        <v>2.4003617018100001</v>
      </c>
    </row>
    <row r="626" spans="1:4">
      <c r="A626" s="13">
        <v>625</v>
      </c>
      <c r="B626" s="14" t="s">
        <v>728</v>
      </c>
      <c r="C626">
        <v>48.896604437400001</v>
      </c>
      <c r="D626">
        <v>2.46111931078</v>
      </c>
    </row>
    <row r="627" spans="1:4">
      <c r="A627" s="13">
        <v>626</v>
      </c>
      <c r="B627" s="14" t="s">
        <v>729</v>
      </c>
      <c r="C627">
        <v>48.894012515</v>
      </c>
      <c r="D627">
        <v>2.4797933299600001</v>
      </c>
    </row>
    <row r="628" spans="1:4">
      <c r="A628" s="13">
        <v>627</v>
      </c>
      <c r="B628" s="14" t="s">
        <v>730</v>
      </c>
      <c r="C628">
        <v>48.889076594700001</v>
      </c>
      <c r="D628">
        <v>2.5125668214600001</v>
      </c>
    </row>
    <row r="629" spans="1:4">
      <c r="A629" s="13">
        <v>628</v>
      </c>
      <c r="B629" s="14" t="s">
        <v>731</v>
      </c>
      <c r="C629">
        <v>48.883734281000002</v>
      </c>
      <c r="D629">
        <v>2.5254342507700001</v>
      </c>
    </row>
    <row r="630" spans="1:4">
      <c r="A630" s="13">
        <v>629</v>
      </c>
      <c r="B630" s="14" t="s">
        <v>732</v>
      </c>
      <c r="C630">
        <v>48.877157838800002</v>
      </c>
      <c r="D630">
        <v>2.5528816497900002</v>
      </c>
    </row>
    <row r="631" spans="1:4">
      <c r="A631" s="13">
        <v>630</v>
      </c>
      <c r="B631" s="14" t="s">
        <v>733</v>
      </c>
      <c r="C631">
        <v>48.874144083899999</v>
      </c>
      <c r="D631">
        <v>2.5833311553199998</v>
      </c>
    </row>
    <row r="632" spans="1:4">
      <c r="A632" s="13">
        <v>631</v>
      </c>
      <c r="B632" s="14" t="s">
        <v>734</v>
      </c>
      <c r="C632">
        <v>48.882304006600002</v>
      </c>
      <c r="D632">
        <v>2.4814212573300001</v>
      </c>
    </row>
    <row r="633" spans="1:4">
      <c r="A633" s="13">
        <v>632</v>
      </c>
      <c r="B633" s="14" t="s">
        <v>735</v>
      </c>
      <c r="C633">
        <v>48.869912418299997</v>
      </c>
      <c r="D633">
        <v>2.4857611419799999</v>
      </c>
    </row>
    <row r="634" spans="1:4">
      <c r="A634" s="13">
        <v>633</v>
      </c>
      <c r="B634" s="14" t="s">
        <v>541</v>
      </c>
      <c r="C634">
        <v>48.854353097199997</v>
      </c>
      <c r="D634">
        <v>2.48913730642</v>
      </c>
    </row>
    <row r="635" spans="1:4">
      <c r="A635" s="13">
        <v>634</v>
      </c>
      <c r="B635" s="14" t="s">
        <v>736</v>
      </c>
      <c r="C635">
        <v>48.839341941900003</v>
      </c>
      <c r="D635">
        <v>2.49418805532</v>
      </c>
    </row>
    <row r="636" spans="1:4">
      <c r="A636" s="13">
        <v>635</v>
      </c>
      <c r="B636" s="14" t="s">
        <v>737</v>
      </c>
      <c r="C636">
        <v>48.824848569499999</v>
      </c>
      <c r="D636">
        <v>2.5118555548099999</v>
      </c>
    </row>
    <row r="637" spans="1:4">
      <c r="A637" s="13">
        <v>636</v>
      </c>
      <c r="B637" s="14" t="s">
        <v>738</v>
      </c>
      <c r="C637">
        <v>48.823266634100001</v>
      </c>
      <c r="D637">
        <v>2.54267979265</v>
      </c>
    </row>
    <row r="638" spans="1:4">
      <c r="A638" s="13">
        <v>637</v>
      </c>
      <c r="B638" s="14" t="s">
        <v>739</v>
      </c>
      <c r="C638">
        <v>48.823151856700001</v>
      </c>
      <c r="D638">
        <v>2.5798372539000001</v>
      </c>
    </row>
    <row r="639" spans="1:4">
      <c r="A639" s="13">
        <v>638</v>
      </c>
      <c r="B639" s="14" t="s">
        <v>740</v>
      </c>
      <c r="C639">
        <v>48.805770374200002</v>
      </c>
      <c r="D639">
        <v>2.6193957858100001</v>
      </c>
    </row>
    <row r="640" spans="1:4">
      <c r="A640" s="13">
        <v>639</v>
      </c>
      <c r="B640" s="14" t="s">
        <v>741</v>
      </c>
      <c r="C640">
        <v>48.795654820499998</v>
      </c>
      <c r="D640">
        <v>2.6503876698100002</v>
      </c>
    </row>
    <row r="641" spans="1:4">
      <c r="A641" s="13">
        <v>640</v>
      </c>
      <c r="B641" s="14" t="s">
        <v>742</v>
      </c>
      <c r="C641">
        <v>48.770778916200001</v>
      </c>
      <c r="D641">
        <v>2.6902527822</v>
      </c>
    </row>
    <row r="642" spans="1:4">
      <c r="A642" s="13">
        <v>641</v>
      </c>
      <c r="B642" s="14" t="s">
        <v>743</v>
      </c>
      <c r="C642">
        <v>48.746452320700001</v>
      </c>
      <c r="D642">
        <v>2.72722937143</v>
      </c>
    </row>
    <row r="643" spans="1:4">
      <c r="A643" s="13">
        <v>642</v>
      </c>
      <c r="B643" s="14" t="s">
        <v>744</v>
      </c>
      <c r="C643">
        <v>48.739487207300002</v>
      </c>
      <c r="D643">
        <v>2.7588245486699998</v>
      </c>
    </row>
    <row r="644" spans="1:4">
      <c r="A644" s="13">
        <v>643</v>
      </c>
      <c r="B644" s="14" t="s">
        <v>517</v>
      </c>
      <c r="C644">
        <v>48.930277777777775</v>
      </c>
      <c r="D644">
        <v>2.2841666666666667</v>
      </c>
    </row>
    <row r="645" spans="1:4">
      <c r="A645" s="13">
        <v>644</v>
      </c>
      <c r="B645" s="14" t="s">
        <v>1338</v>
      </c>
      <c r="C645">
        <v>48.93138888888889</v>
      </c>
      <c r="D645">
        <v>2.2880555555555553</v>
      </c>
    </row>
    <row r="646" spans="1:4">
      <c r="A646" s="13">
        <v>645</v>
      </c>
      <c r="B646" s="14" t="s">
        <v>1339</v>
      </c>
      <c r="C646">
        <v>48.93333333333333</v>
      </c>
      <c r="D646">
        <v>2.2944444444444443</v>
      </c>
    </row>
    <row r="647" spans="1:4">
      <c r="A647" s="13">
        <v>646</v>
      </c>
      <c r="B647" s="14" t="s">
        <v>1427</v>
      </c>
      <c r="C647">
        <v>48.93333333333333</v>
      </c>
      <c r="D647">
        <v>2.3005555555555555</v>
      </c>
    </row>
    <row r="648" spans="1:4">
      <c r="A648" s="13">
        <v>647</v>
      </c>
      <c r="B648" s="14" t="s">
        <v>1292</v>
      </c>
      <c r="C648">
        <v>48.93333333333333</v>
      </c>
      <c r="D648">
        <v>2.3077777777777775</v>
      </c>
    </row>
    <row r="649" spans="1:4">
      <c r="A649" s="13">
        <v>648</v>
      </c>
      <c r="B649" s="14" t="s">
        <v>1379</v>
      </c>
      <c r="C649">
        <v>48.933888888888887</v>
      </c>
      <c r="D649">
        <v>2.3136111111111108</v>
      </c>
    </row>
    <row r="650" spans="1:4">
      <c r="A650" s="13">
        <v>649</v>
      </c>
      <c r="B650" s="14" t="s">
        <v>1265</v>
      </c>
      <c r="C650">
        <v>48.934444444444438</v>
      </c>
      <c r="D650">
        <v>2.3213888888888885</v>
      </c>
    </row>
    <row r="651" spans="1:4">
      <c r="A651" s="13">
        <v>650</v>
      </c>
      <c r="B651" s="14" t="s">
        <v>1330</v>
      </c>
      <c r="C651">
        <v>48.934999999999995</v>
      </c>
      <c r="D651">
        <v>2.3277777777777775</v>
      </c>
    </row>
    <row r="652" spans="1:4">
      <c r="A652" s="13">
        <v>651</v>
      </c>
      <c r="B652" s="14" t="s">
        <v>1358</v>
      </c>
      <c r="C652">
        <v>48.935555555555553</v>
      </c>
      <c r="D652">
        <v>2.3333333333333335</v>
      </c>
    </row>
    <row r="653" spans="1:4">
      <c r="A653" s="13">
        <v>652</v>
      </c>
      <c r="B653" s="14" t="s">
        <v>783</v>
      </c>
      <c r="C653">
        <v>48.935833333333328</v>
      </c>
      <c r="D653">
        <v>2.3391666666666668</v>
      </c>
    </row>
    <row r="654" spans="1:4">
      <c r="A654" s="13">
        <v>653</v>
      </c>
      <c r="B654" s="14" t="s">
        <v>1294</v>
      </c>
      <c r="C654">
        <v>48.93611111111111</v>
      </c>
      <c r="D654">
        <v>2.3463888888888889</v>
      </c>
    </row>
    <row r="655" spans="1:4">
      <c r="A655" s="13">
        <v>654</v>
      </c>
      <c r="B655" s="14" t="s">
        <v>1426</v>
      </c>
      <c r="C655">
        <v>48.9375</v>
      </c>
      <c r="D655">
        <v>2.3502777777777779</v>
      </c>
    </row>
    <row r="656" spans="1:4">
      <c r="A656" s="13">
        <v>655</v>
      </c>
      <c r="B656" s="14" t="s">
        <v>1359</v>
      </c>
      <c r="C656">
        <v>48.938611111111108</v>
      </c>
      <c r="D656">
        <v>2.3558333333333334</v>
      </c>
    </row>
    <row r="657" spans="1:4">
      <c r="A657" s="13">
        <v>656</v>
      </c>
      <c r="B657" s="14" t="s">
        <v>518</v>
      </c>
      <c r="C657">
        <v>48.93805555555555</v>
      </c>
      <c r="D657">
        <v>2.3608333333333333</v>
      </c>
    </row>
    <row r="658" spans="1:4">
      <c r="A658" s="13">
        <v>657</v>
      </c>
      <c r="B658" s="14" t="s">
        <v>1266</v>
      </c>
      <c r="C658">
        <v>48.936388888888885</v>
      </c>
      <c r="D658">
        <v>2.3638888888888889</v>
      </c>
    </row>
    <row r="659" spans="1:4">
      <c r="A659" s="13">
        <v>658</v>
      </c>
      <c r="B659" s="14" t="s">
        <v>1309</v>
      </c>
      <c r="C659">
        <v>48.933611111111105</v>
      </c>
      <c r="D659">
        <v>2.3711111111111109</v>
      </c>
    </row>
    <row r="660" spans="1:4">
      <c r="A660" s="13">
        <v>659</v>
      </c>
      <c r="B660" s="14" t="s">
        <v>1270</v>
      </c>
      <c r="C660">
        <v>48.931666666666665</v>
      </c>
      <c r="D660">
        <v>2.3780555555555556</v>
      </c>
    </row>
    <row r="661" spans="1:4">
      <c r="A661" s="13">
        <v>660</v>
      </c>
      <c r="B661" s="14" t="s">
        <v>1326</v>
      </c>
      <c r="C661">
        <v>48.93</v>
      </c>
      <c r="D661">
        <v>2.3847222222222224</v>
      </c>
    </row>
    <row r="662" spans="1:4">
      <c r="A662" s="13">
        <v>661</v>
      </c>
      <c r="B662" s="14" t="s">
        <v>1312</v>
      </c>
      <c r="C662">
        <v>48.927499999999995</v>
      </c>
      <c r="D662">
        <v>2.3922222222222222</v>
      </c>
    </row>
    <row r="663" spans="1:4">
      <c r="A663" s="13">
        <v>662</v>
      </c>
      <c r="B663" s="14" t="s">
        <v>1420</v>
      </c>
      <c r="C663">
        <v>48.92444444444444</v>
      </c>
      <c r="D663">
        <v>2.4019444444444442</v>
      </c>
    </row>
    <row r="664" spans="1:4">
      <c r="A664" s="13">
        <v>663</v>
      </c>
      <c r="B664" s="14" t="s">
        <v>1272</v>
      </c>
      <c r="C664">
        <v>48.922777777777775</v>
      </c>
      <c r="D664">
        <v>2.4066666666666667</v>
      </c>
    </row>
    <row r="665" spans="1:4">
      <c r="A665" s="13">
        <v>664</v>
      </c>
      <c r="B665" s="14" t="s">
        <v>250</v>
      </c>
      <c r="C665">
        <v>48.920833333333334</v>
      </c>
      <c r="D665">
        <v>2.4105555555555553</v>
      </c>
    </row>
    <row r="666" spans="1:4">
      <c r="A666" s="13">
        <v>665</v>
      </c>
      <c r="B666" s="14" t="s">
        <v>1362</v>
      </c>
      <c r="C666">
        <v>48.919166666666662</v>
      </c>
      <c r="D666">
        <v>2.4138888888888888</v>
      </c>
    </row>
    <row r="667" spans="1:4">
      <c r="A667" s="13">
        <v>666</v>
      </c>
      <c r="B667" s="14" t="s">
        <v>1282</v>
      </c>
      <c r="C667">
        <v>48.917777777777772</v>
      </c>
      <c r="D667">
        <v>2.4177777777777778</v>
      </c>
    </row>
    <row r="668" spans="1:4">
      <c r="A668" s="13">
        <v>667</v>
      </c>
      <c r="B668" s="14" t="s">
        <v>1307</v>
      </c>
      <c r="C668">
        <v>48.915833333333332</v>
      </c>
      <c r="D668">
        <v>2.4255555555555555</v>
      </c>
    </row>
    <row r="669" spans="1:4">
      <c r="A669" s="13">
        <v>668</v>
      </c>
      <c r="B669" s="14" t="s">
        <v>1296</v>
      </c>
      <c r="C669">
        <v>48.914166666666667</v>
      </c>
      <c r="D669">
        <v>2.4313888888888888</v>
      </c>
    </row>
    <row r="670" spans="1:4">
      <c r="A670" s="13">
        <v>669</v>
      </c>
      <c r="B670" s="14" t="s">
        <v>1288</v>
      </c>
      <c r="C670">
        <v>48.912777777777777</v>
      </c>
      <c r="D670">
        <v>2.4355555555555557</v>
      </c>
    </row>
    <row r="671" spans="1:4">
      <c r="A671" s="13">
        <v>670</v>
      </c>
      <c r="B671" s="14" t="s">
        <v>1327</v>
      </c>
      <c r="C671">
        <v>48.909722222222221</v>
      </c>
      <c r="D671">
        <v>2.4375000000000004</v>
      </c>
    </row>
    <row r="672" spans="1:4">
      <c r="A672" s="13">
        <v>671</v>
      </c>
      <c r="B672" s="14" t="s">
        <v>1351</v>
      </c>
      <c r="C672">
        <v>48.906944444444441</v>
      </c>
      <c r="D672">
        <v>2.4386111111111113</v>
      </c>
    </row>
    <row r="673" spans="1:4">
      <c r="A673" s="13">
        <v>672</v>
      </c>
      <c r="B673" s="14" t="s">
        <v>1311</v>
      </c>
      <c r="C673">
        <v>48.906666666666666</v>
      </c>
      <c r="D673">
        <v>2.443888888888889</v>
      </c>
    </row>
    <row r="674" spans="1:4">
      <c r="A674" s="13">
        <v>673</v>
      </c>
      <c r="B674" s="14" t="s">
        <v>328</v>
      </c>
      <c r="C674">
        <v>48.906666666666666</v>
      </c>
      <c r="D674">
        <v>2.4500000000000002</v>
      </c>
    </row>
    <row r="675" spans="1:4">
      <c r="A675" s="13">
        <v>674</v>
      </c>
      <c r="B675" s="14" t="s">
        <v>1318</v>
      </c>
      <c r="C675">
        <v>48.907777777777774</v>
      </c>
      <c r="D675">
        <v>2.4544444444444444</v>
      </c>
    </row>
    <row r="676" spans="1:4">
      <c r="A676" s="13">
        <v>675</v>
      </c>
      <c r="B676" s="14" t="s">
        <v>1244</v>
      </c>
      <c r="C676">
        <v>48.906666666666666</v>
      </c>
      <c r="D676">
        <v>2.4605555555555556</v>
      </c>
    </row>
    <row r="677" spans="1:4">
      <c r="A677" s="13">
        <v>676</v>
      </c>
      <c r="B677" s="14" t="s">
        <v>1390</v>
      </c>
      <c r="C677">
        <v>48.905000000000001</v>
      </c>
      <c r="D677">
        <v>2.4697222222222224</v>
      </c>
    </row>
    <row r="678" spans="1:4">
      <c r="A678" s="13">
        <v>677</v>
      </c>
      <c r="B678" s="14" t="s">
        <v>1385</v>
      </c>
      <c r="C678">
        <v>48.900555555555556</v>
      </c>
      <c r="D678">
        <v>2.4652777777777781</v>
      </c>
    </row>
    <row r="679" spans="1:4">
      <c r="A679" s="13">
        <v>678</v>
      </c>
      <c r="B679" s="14" t="s">
        <v>1293</v>
      </c>
      <c r="C679">
        <v>48.895833333333336</v>
      </c>
      <c r="D679">
        <v>2.4602777777777778</v>
      </c>
    </row>
    <row r="680" spans="1:4">
      <c r="A680" s="13">
        <v>679</v>
      </c>
      <c r="B680" s="14" t="s">
        <v>1389</v>
      </c>
      <c r="C680">
        <v>48.923333333333332</v>
      </c>
      <c r="D680">
        <v>2.2175000000000002</v>
      </c>
    </row>
    <row r="681" spans="1:4">
      <c r="A681" s="13">
        <v>680</v>
      </c>
      <c r="B681" s="14" t="s">
        <v>1381</v>
      </c>
      <c r="C681">
        <v>48.917777777777772</v>
      </c>
      <c r="D681">
        <v>2.2244444444444444</v>
      </c>
    </row>
    <row r="682" spans="1:4">
      <c r="A682" s="13">
        <v>681</v>
      </c>
      <c r="B682" s="14" t="s">
        <v>1432</v>
      </c>
      <c r="C682">
        <v>48.914166666666667</v>
      </c>
      <c r="D682">
        <v>2.2294444444444448</v>
      </c>
    </row>
    <row r="683" spans="1:4">
      <c r="A683" s="13">
        <v>682</v>
      </c>
      <c r="B683" s="14" t="s">
        <v>1314</v>
      </c>
      <c r="C683">
        <v>48.910555555555554</v>
      </c>
      <c r="D683">
        <v>2.2341666666666669</v>
      </c>
    </row>
    <row r="684" spans="1:4">
      <c r="A684" s="13">
        <v>683</v>
      </c>
      <c r="B684" s="14" t="s">
        <v>1264</v>
      </c>
      <c r="C684">
        <v>48.908055555555556</v>
      </c>
      <c r="D684">
        <v>2.2377777777777776</v>
      </c>
    </row>
    <row r="685" spans="1:4">
      <c r="A685" s="13">
        <v>684</v>
      </c>
      <c r="B685" s="14" t="s">
        <v>1345</v>
      </c>
      <c r="C685">
        <v>48.902499999999996</v>
      </c>
      <c r="D685">
        <v>2.2394444444444446</v>
      </c>
    </row>
    <row r="686" spans="1:4">
      <c r="A686" s="13">
        <v>685</v>
      </c>
      <c r="B686" s="14" t="s">
        <v>1289</v>
      </c>
      <c r="C686">
        <v>48.896666666666668</v>
      </c>
      <c r="D686">
        <v>2.2400000000000002</v>
      </c>
    </row>
    <row r="687" spans="1:4">
      <c r="A687" s="13">
        <v>686</v>
      </c>
      <c r="B687" s="14" t="s">
        <v>68</v>
      </c>
      <c r="C687">
        <v>48.892777777777781</v>
      </c>
      <c r="D687">
        <v>2.2372222222222224</v>
      </c>
    </row>
    <row r="688" spans="1:4">
      <c r="A688" s="13">
        <v>687</v>
      </c>
      <c r="B688" s="14" t="s">
        <v>820</v>
      </c>
      <c r="C688">
        <v>48.883333333333333</v>
      </c>
      <c r="D688">
        <v>2.233888888888889</v>
      </c>
    </row>
    <row r="689" spans="1:4">
      <c r="A689" s="13">
        <v>688</v>
      </c>
      <c r="B689" s="14" t="s">
        <v>1250</v>
      </c>
      <c r="C689">
        <v>48.875833333333333</v>
      </c>
      <c r="D689">
        <v>2.2258333333333336</v>
      </c>
    </row>
    <row r="690" spans="1:4">
      <c r="A690" s="13">
        <v>689</v>
      </c>
      <c r="B690" s="14" t="s">
        <v>1423</v>
      </c>
      <c r="C690">
        <v>48.868055555555557</v>
      </c>
      <c r="D690">
        <v>2.2213888888888889</v>
      </c>
    </row>
    <row r="691" spans="1:4">
      <c r="A691" s="13">
        <v>690</v>
      </c>
      <c r="B691" s="14" t="s">
        <v>1344</v>
      </c>
      <c r="C691">
        <v>48.856944444444444</v>
      </c>
      <c r="D691">
        <v>2.2205555555555558</v>
      </c>
    </row>
    <row r="692" spans="1:4">
      <c r="A692" s="13">
        <v>691</v>
      </c>
      <c r="B692" s="14" t="s">
        <v>1347</v>
      </c>
      <c r="C692">
        <v>48.849722222222226</v>
      </c>
      <c r="D692">
        <v>2.221111111111111</v>
      </c>
    </row>
    <row r="693" spans="1:4">
      <c r="A693" s="13">
        <v>692</v>
      </c>
      <c r="B693" s="14" t="s">
        <v>1377</v>
      </c>
      <c r="C693">
        <v>48.843055555555559</v>
      </c>
      <c r="D693">
        <v>2.2219444444444445</v>
      </c>
    </row>
    <row r="694" spans="1:4">
      <c r="A694" s="13">
        <v>693</v>
      </c>
      <c r="B694" s="14" t="s">
        <v>1368</v>
      </c>
      <c r="C694">
        <v>48.828333333333333</v>
      </c>
      <c r="D694">
        <v>2.2255555555555557</v>
      </c>
    </row>
    <row r="695" spans="1:4">
      <c r="A695" s="13">
        <v>694</v>
      </c>
      <c r="B695" s="14" t="s">
        <v>1255</v>
      </c>
      <c r="C695">
        <v>48.822222222222223</v>
      </c>
      <c r="D695">
        <v>2.2313888888888891</v>
      </c>
    </row>
    <row r="696" spans="1:4">
      <c r="A696" s="13">
        <v>695</v>
      </c>
      <c r="B696" s="14" t="s">
        <v>1364</v>
      </c>
      <c r="C696">
        <v>48.819166666666668</v>
      </c>
      <c r="D696">
        <v>2.2394444444444446</v>
      </c>
    </row>
    <row r="697" spans="1:4">
      <c r="A697" s="13">
        <v>696</v>
      </c>
      <c r="B697" s="14" t="s">
        <v>1349</v>
      </c>
      <c r="C697">
        <v>48.82138888888889</v>
      </c>
      <c r="D697">
        <v>2.2513888888888891</v>
      </c>
    </row>
    <row r="698" spans="1:4">
      <c r="A698" s="13">
        <v>697</v>
      </c>
      <c r="B698" s="14" t="s">
        <v>1316</v>
      </c>
      <c r="C698">
        <v>48.824722222222228</v>
      </c>
      <c r="D698">
        <v>2.2605555555555554</v>
      </c>
    </row>
    <row r="699" spans="1:4">
      <c r="A699" s="13">
        <v>698</v>
      </c>
      <c r="B699" s="14" t="s">
        <v>599</v>
      </c>
      <c r="C699">
        <v>48.829722222222223</v>
      </c>
      <c r="D699">
        <v>2.2630555555555554</v>
      </c>
    </row>
    <row r="700" spans="1:4">
      <c r="A700" s="13">
        <v>699</v>
      </c>
      <c r="B700" s="14" t="s">
        <v>1305</v>
      </c>
      <c r="C700">
        <v>48.834722222222226</v>
      </c>
      <c r="D700">
        <v>2.2705555555555557</v>
      </c>
    </row>
    <row r="701" spans="1:4">
      <c r="A701" s="13">
        <v>700</v>
      </c>
      <c r="B701" s="14" t="s">
        <v>1424</v>
      </c>
      <c r="C701">
        <v>48.833055555555561</v>
      </c>
      <c r="D701">
        <v>2.277222222222222</v>
      </c>
    </row>
    <row r="702" spans="1:4">
      <c r="A702" s="13">
        <v>701</v>
      </c>
      <c r="B702" s="14" t="s">
        <v>1395</v>
      </c>
      <c r="C702">
        <v>48.831944444444446</v>
      </c>
      <c r="D702">
        <v>2.2811111111111111</v>
      </c>
    </row>
    <row r="703" spans="1:4">
      <c r="A703" s="13">
        <v>702</v>
      </c>
      <c r="B703" s="14" t="s">
        <v>1400</v>
      </c>
      <c r="C703">
        <v>48.831944444444446</v>
      </c>
      <c r="D703">
        <v>2.2875000000000001</v>
      </c>
    </row>
    <row r="704" spans="1:4">
      <c r="A704" s="13">
        <v>703</v>
      </c>
      <c r="B704" s="14" t="s">
        <v>1391</v>
      </c>
      <c r="C704">
        <v>48.838055555555556</v>
      </c>
      <c r="D704">
        <v>2.2711111111111109</v>
      </c>
    </row>
    <row r="705" spans="1:4">
      <c r="A705" s="13">
        <v>704</v>
      </c>
      <c r="B705" s="14" t="s">
        <v>345</v>
      </c>
      <c r="C705">
        <v>48.836111111111116</v>
      </c>
      <c r="D705">
        <v>2.2783333333333333</v>
      </c>
    </row>
    <row r="706" spans="1:4">
      <c r="A706" s="13">
        <v>705</v>
      </c>
      <c r="B706" s="14" t="s">
        <v>1275</v>
      </c>
      <c r="C706">
        <v>48.834444444444443</v>
      </c>
      <c r="D706">
        <v>2.2838888888888889</v>
      </c>
    </row>
    <row r="707" spans="1:4">
      <c r="A707" s="13">
        <v>706</v>
      </c>
      <c r="B707" s="14" t="s">
        <v>1400</v>
      </c>
      <c r="C707">
        <v>48.832777777777778</v>
      </c>
      <c r="D707">
        <v>2.2880555555555553</v>
      </c>
    </row>
    <row r="708" spans="1:4">
      <c r="A708" s="13">
        <v>707</v>
      </c>
      <c r="B708" s="14" t="s">
        <v>1298</v>
      </c>
      <c r="C708">
        <v>48.829722222222223</v>
      </c>
      <c r="D708">
        <v>2.2955555555555556</v>
      </c>
    </row>
    <row r="709" spans="1:4">
      <c r="A709" s="13">
        <v>708</v>
      </c>
      <c r="B709" s="14" t="s">
        <v>1253</v>
      </c>
      <c r="C709">
        <v>48.828611111111115</v>
      </c>
      <c r="D709">
        <v>2.3008333333333333</v>
      </c>
    </row>
    <row r="710" spans="1:4">
      <c r="A710" s="13">
        <v>709</v>
      </c>
      <c r="B710" s="14" t="s">
        <v>513</v>
      </c>
      <c r="C710">
        <v>48.827500000000001</v>
      </c>
      <c r="D710">
        <v>2.3066666666666666</v>
      </c>
    </row>
    <row r="711" spans="1:4">
      <c r="A711" s="13">
        <v>710</v>
      </c>
      <c r="B711" s="14" t="s">
        <v>1278</v>
      </c>
      <c r="C711">
        <v>48.825833333333335</v>
      </c>
      <c r="D711">
        <v>2.313333333333333</v>
      </c>
    </row>
    <row r="712" spans="1:4">
      <c r="A712" s="13">
        <v>711</v>
      </c>
      <c r="B712" s="14" t="s">
        <v>1317</v>
      </c>
      <c r="C712">
        <v>48.824722222222228</v>
      </c>
      <c r="D712">
        <v>2.3188888888888886</v>
      </c>
    </row>
    <row r="713" spans="1:4">
      <c r="A713" s="13">
        <v>712</v>
      </c>
      <c r="B713" s="14" t="s">
        <v>763</v>
      </c>
      <c r="C713">
        <v>48.823055555555555</v>
      </c>
      <c r="D713">
        <v>2.3255555555555554</v>
      </c>
    </row>
    <row r="714" spans="1:4">
      <c r="A714" s="13">
        <v>713</v>
      </c>
      <c r="B714" s="14" t="s">
        <v>1366</v>
      </c>
      <c r="C714">
        <v>48.82138888888889</v>
      </c>
      <c r="D714">
        <v>2.3333333333333335</v>
      </c>
    </row>
    <row r="715" spans="1:4">
      <c r="A715" s="13">
        <v>714</v>
      </c>
      <c r="B715" s="14" t="s">
        <v>1267</v>
      </c>
      <c r="C715">
        <v>48.820277777777783</v>
      </c>
      <c r="D715">
        <v>2.3386111111111112</v>
      </c>
    </row>
    <row r="716" spans="1:4">
      <c r="A716" s="13">
        <v>715</v>
      </c>
      <c r="B716" s="14" t="s">
        <v>1419</v>
      </c>
      <c r="C716">
        <v>48.81944444444445</v>
      </c>
      <c r="D716">
        <v>2.3458333333333337</v>
      </c>
    </row>
    <row r="717" spans="1:4">
      <c r="A717" s="13">
        <v>716</v>
      </c>
      <c r="B717" s="14" t="s">
        <v>1401</v>
      </c>
      <c r="C717">
        <v>48.82083333333334</v>
      </c>
      <c r="D717">
        <v>2.3508333333333336</v>
      </c>
    </row>
    <row r="718" spans="1:4">
      <c r="A718" s="13">
        <v>717</v>
      </c>
      <c r="B718" s="14" t="s">
        <v>304</v>
      </c>
      <c r="C718">
        <v>48.819166666666668</v>
      </c>
      <c r="D718">
        <v>2.3602777777777777</v>
      </c>
    </row>
    <row r="719" spans="1:4">
      <c r="A719" s="13">
        <v>718</v>
      </c>
      <c r="B719" s="14" t="s">
        <v>306</v>
      </c>
      <c r="C719">
        <v>48.819722222222225</v>
      </c>
      <c r="D719">
        <v>2.3638888888888889</v>
      </c>
    </row>
    <row r="720" spans="1:4">
      <c r="A720" s="13">
        <v>719</v>
      </c>
      <c r="B720" s="14" t="s">
        <v>308</v>
      </c>
      <c r="C720">
        <v>48.821666666666673</v>
      </c>
      <c r="D720">
        <v>2.37</v>
      </c>
    </row>
    <row r="721" spans="1:4">
      <c r="A721" s="13">
        <v>720</v>
      </c>
      <c r="B721" s="14" t="s">
        <v>1361</v>
      </c>
      <c r="C721">
        <v>48.82416666666667</v>
      </c>
      <c r="D721">
        <v>2.3769444444444443</v>
      </c>
    </row>
    <row r="722" spans="1:4">
      <c r="A722" s="13">
        <v>721</v>
      </c>
      <c r="B722" s="14" t="s">
        <v>1246</v>
      </c>
      <c r="C722">
        <v>48.82555555555556</v>
      </c>
      <c r="D722">
        <v>2.3811111111111112</v>
      </c>
    </row>
    <row r="723" spans="1:4">
      <c r="A723" s="13">
        <v>722</v>
      </c>
      <c r="B723" s="14" t="s">
        <v>1248</v>
      </c>
      <c r="C723">
        <v>48.829444444444448</v>
      </c>
      <c r="D723">
        <v>2.3902777777777779</v>
      </c>
    </row>
    <row r="724" spans="1:4">
      <c r="A724" s="13">
        <v>723</v>
      </c>
      <c r="B724" s="14" t="s">
        <v>365</v>
      </c>
      <c r="C724">
        <v>48.831666666666671</v>
      </c>
      <c r="D724">
        <v>2.3977777777777778</v>
      </c>
    </row>
    <row r="725" spans="1:4">
      <c r="A725" s="13">
        <v>724</v>
      </c>
      <c r="B725" s="14" t="s">
        <v>364</v>
      </c>
      <c r="C725">
        <v>48.835555555555558</v>
      </c>
      <c r="D725">
        <v>2.4066666666666667</v>
      </c>
    </row>
    <row r="726" spans="1:4">
      <c r="A726" s="13">
        <v>725</v>
      </c>
      <c r="B726" s="14" t="s">
        <v>1365</v>
      </c>
      <c r="C726">
        <v>48.840555555555561</v>
      </c>
      <c r="D726">
        <v>2.4091666666666667</v>
      </c>
    </row>
    <row r="727" spans="1:4">
      <c r="A727" s="13">
        <v>726</v>
      </c>
      <c r="B727" s="14" t="s">
        <v>1237</v>
      </c>
      <c r="C727">
        <v>48.844166666666666</v>
      </c>
      <c r="D727">
        <v>2.4102777777777775</v>
      </c>
    </row>
    <row r="728" spans="1:4">
      <c r="A728" s="13">
        <v>727</v>
      </c>
      <c r="B728" s="14" t="s">
        <v>59</v>
      </c>
      <c r="C728">
        <v>48.846944444444446</v>
      </c>
      <c r="D728">
        <v>2.4102777777777775</v>
      </c>
    </row>
    <row r="729" spans="1:4">
      <c r="A729" s="13">
        <v>728</v>
      </c>
      <c r="B729" s="14" t="s">
        <v>59</v>
      </c>
      <c r="C729">
        <v>48.847222222222221</v>
      </c>
      <c r="D729">
        <v>2.4102777777777775</v>
      </c>
    </row>
    <row r="730" spans="1:4">
      <c r="A730" s="13">
        <v>729</v>
      </c>
      <c r="B730" s="14" t="s">
        <v>404</v>
      </c>
      <c r="C730">
        <v>48.853611111111114</v>
      </c>
      <c r="D730">
        <v>2.4105555555555553</v>
      </c>
    </row>
    <row r="731" spans="1:4">
      <c r="A731" s="13">
        <v>730</v>
      </c>
      <c r="B731" s="14" t="s">
        <v>1360</v>
      </c>
      <c r="C731">
        <v>48.856944444444444</v>
      </c>
      <c r="D731">
        <v>2.4099999999999997</v>
      </c>
    </row>
    <row r="732" spans="1:4">
      <c r="A732" s="13">
        <v>731</v>
      </c>
      <c r="B732" s="14" t="s">
        <v>136</v>
      </c>
      <c r="C732">
        <v>48.864444444444445</v>
      </c>
      <c r="D732">
        <v>2.4088888888888889</v>
      </c>
    </row>
    <row r="733" spans="1:4">
      <c r="A733" s="13">
        <v>732</v>
      </c>
      <c r="B733" s="14" t="s">
        <v>1415</v>
      </c>
      <c r="C733">
        <v>48.869444444444447</v>
      </c>
      <c r="D733">
        <v>2.4088888888888889</v>
      </c>
    </row>
    <row r="734" spans="1:4">
      <c r="A734" s="13">
        <v>733</v>
      </c>
      <c r="B734" s="14" t="s">
        <v>1238</v>
      </c>
      <c r="C734">
        <v>48.872777777777777</v>
      </c>
      <c r="D734">
        <v>2.408611111111111</v>
      </c>
    </row>
    <row r="735" spans="1:4">
      <c r="A735" s="13">
        <v>734</v>
      </c>
      <c r="B735" s="14" t="s">
        <v>335</v>
      </c>
      <c r="C735">
        <v>48.877222222222223</v>
      </c>
      <c r="D735">
        <v>2.4066666666666667</v>
      </c>
    </row>
    <row r="736" spans="1:4">
      <c r="A736" s="13">
        <v>735</v>
      </c>
      <c r="B736" s="14" t="s">
        <v>1310</v>
      </c>
      <c r="C736">
        <v>48.878888888888888</v>
      </c>
      <c r="D736">
        <v>2.4016666666666664</v>
      </c>
    </row>
    <row r="737" spans="1:4">
      <c r="A737" s="13">
        <v>736</v>
      </c>
      <c r="B737" s="14" t="s">
        <v>1258</v>
      </c>
      <c r="C737">
        <v>48.884166666666665</v>
      </c>
      <c r="D737">
        <v>2.3969444444444443</v>
      </c>
    </row>
    <row r="738" spans="1:4">
      <c r="A738" s="13">
        <v>737</v>
      </c>
      <c r="B738" s="14" t="s">
        <v>329</v>
      </c>
      <c r="C738">
        <v>48.888611111111111</v>
      </c>
      <c r="D738">
        <v>2.3958333333333335</v>
      </c>
    </row>
    <row r="739" spans="1:4">
      <c r="A739" s="13">
        <v>738</v>
      </c>
      <c r="B739" s="14" t="s">
        <v>1274</v>
      </c>
      <c r="C739">
        <v>48.893611111111113</v>
      </c>
      <c r="D739">
        <v>2.3980555555555556</v>
      </c>
    </row>
    <row r="740" spans="1:4">
      <c r="A740" s="13">
        <v>739</v>
      </c>
      <c r="B740" s="14" t="s">
        <v>1284</v>
      </c>
      <c r="C740">
        <v>48.897500000000001</v>
      </c>
      <c r="D740">
        <v>2.395</v>
      </c>
    </row>
    <row r="741" spans="1:4">
      <c r="A741" s="13">
        <v>740</v>
      </c>
      <c r="B741" s="14" t="s">
        <v>322</v>
      </c>
      <c r="C741">
        <v>48.897500000000001</v>
      </c>
      <c r="D741">
        <v>2.3861111111111111</v>
      </c>
    </row>
    <row r="742" spans="1:4">
      <c r="A742" s="13">
        <v>741</v>
      </c>
      <c r="B742" s="14" t="s">
        <v>1260</v>
      </c>
      <c r="C742">
        <v>48.898888888888891</v>
      </c>
      <c r="D742">
        <v>2.3816666666666668</v>
      </c>
    </row>
    <row r="743" spans="1:4">
      <c r="A743" s="13">
        <v>742</v>
      </c>
      <c r="B743" s="14" t="s">
        <v>726</v>
      </c>
      <c r="C743">
        <v>48.896944444444443</v>
      </c>
      <c r="D743">
        <v>2.3733333333333335</v>
      </c>
    </row>
    <row r="744" spans="1:4">
      <c r="A744" s="13">
        <v>743</v>
      </c>
      <c r="B744" s="14" t="s">
        <v>1394</v>
      </c>
      <c r="C744">
        <v>48.898611111111109</v>
      </c>
      <c r="D744">
        <v>2.3683333333333332</v>
      </c>
    </row>
    <row r="745" spans="1:4">
      <c r="A745" s="13">
        <v>744</v>
      </c>
      <c r="B745" s="14" t="s">
        <v>1269</v>
      </c>
      <c r="C745">
        <v>48.898611111111109</v>
      </c>
      <c r="D745">
        <v>2.3644444444444446</v>
      </c>
    </row>
    <row r="746" spans="1:4">
      <c r="A746" s="13">
        <v>745</v>
      </c>
      <c r="B746" s="14" t="s">
        <v>449</v>
      </c>
      <c r="C746">
        <v>48.898611111111109</v>
      </c>
      <c r="D746">
        <v>2.3591666666666669</v>
      </c>
    </row>
    <row r="747" spans="1:4">
      <c r="A747" s="13">
        <v>746</v>
      </c>
      <c r="B747" s="14" t="s">
        <v>1277</v>
      </c>
      <c r="C747">
        <v>48.898333333333333</v>
      </c>
      <c r="D747">
        <v>2.3516666666666666</v>
      </c>
    </row>
    <row r="748" spans="1:4">
      <c r="A748" s="13">
        <v>747</v>
      </c>
      <c r="B748" s="14" t="s">
        <v>1397</v>
      </c>
      <c r="C748">
        <v>48.898055555555558</v>
      </c>
      <c r="D748">
        <v>2.345277777777778</v>
      </c>
    </row>
    <row r="749" spans="1:4">
      <c r="A749" s="13">
        <v>748</v>
      </c>
      <c r="B749" s="14" t="s">
        <v>1240</v>
      </c>
      <c r="C749">
        <v>48.897777777777776</v>
      </c>
      <c r="D749">
        <v>2.3383333333333334</v>
      </c>
    </row>
    <row r="750" spans="1:4">
      <c r="A750" s="13">
        <v>749</v>
      </c>
      <c r="B750" s="14" t="s">
        <v>503</v>
      </c>
      <c r="C750">
        <v>48.897777777777776</v>
      </c>
      <c r="D750">
        <v>2.3299999999999996</v>
      </c>
    </row>
    <row r="751" spans="1:4">
      <c r="A751" s="13">
        <v>750</v>
      </c>
      <c r="B751" s="14" t="s">
        <v>1287</v>
      </c>
      <c r="C751">
        <v>48.897500000000001</v>
      </c>
      <c r="D751">
        <v>2.3236111111111111</v>
      </c>
    </row>
    <row r="752" spans="1:4">
      <c r="A752" s="13">
        <v>751</v>
      </c>
      <c r="B752" s="14" t="s">
        <v>1306</v>
      </c>
      <c r="C752">
        <v>48.896388888888886</v>
      </c>
      <c r="D752">
        <v>2.3188888888888886</v>
      </c>
    </row>
    <row r="753" spans="1:4">
      <c r="A753" s="13">
        <v>752</v>
      </c>
      <c r="B753" s="14" t="s">
        <v>1396</v>
      </c>
      <c r="C753">
        <v>48.894722222222221</v>
      </c>
      <c r="D753">
        <v>2.3141666666666665</v>
      </c>
    </row>
    <row r="754" spans="1:4">
      <c r="A754" s="13">
        <v>753</v>
      </c>
      <c r="B754" s="14" t="s">
        <v>1393</v>
      </c>
      <c r="C754">
        <v>48.889722222222218</v>
      </c>
      <c r="D754">
        <v>2.3033333333333332</v>
      </c>
    </row>
    <row r="755" spans="1:4">
      <c r="A755" s="13">
        <v>754</v>
      </c>
      <c r="B755" s="14" t="s">
        <v>729</v>
      </c>
      <c r="C755">
        <v>48.894166666666663</v>
      </c>
      <c r="D755">
        <v>2.4802777777777778</v>
      </c>
    </row>
    <row r="756" spans="1:4">
      <c r="A756" s="13">
        <v>755</v>
      </c>
      <c r="B756" s="14" t="s">
        <v>1331</v>
      </c>
      <c r="C756">
        <v>48.893055555555556</v>
      </c>
      <c r="D756">
        <v>2.4875000000000003</v>
      </c>
    </row>
    <row r="757" spans="1:4">
      <c r="A757" s="13">
        <v>756</v>
      </c>
      <c r="B757" s="14" t="s">
        <v>1343</v>
      </c>
      <c r="C757">
        <v>48.892499999999998</v>
      </c>
      <c r="D757">
        <v>2.4994444444444444</v>
      </c>
    </row>
    <row r="758" spans="1:4">
      <c r="A758" s="13">
        <v>757</v>
      </c>
      <c r="B758" s="14" t="s">
        <v>1239</v>
      </c>
      <c r="C758">
        <v>48.896944444444443</v>
      </c>
      <c r="D758">
        <v>2.506388888888889</v>
      </c>
    </row>
    <row r="759" spans="1:4">
      <c r="A759" s="13">
        <v>758</v>
      </c>
      <c r="B759" s="14" t="s">
        <v>1350</v>
      </c>
      <c r="C759">
        <v>48.902499999999996</v>
      </c>
      <c r="D759">
        <v>2.5116666666666667</v>
      </c>
    </row>
    <row r="760" spans="1:4">
      <c r="A760" s="13">
        <v>759</v>
      </c>
      <c r="B760" s="14" t="s">
        <v>1295</v>
      </c>
      <c r="C760">
        <v>48.908333333333331</v>
      </c>
      <c r="D760">
        <v>2.5169444444444444</v>
      </c>
    </row>
    <row r="761" spans="1:4">
      <c r="A761" s="13">
        <v>760</v>
      </c>
      <c r="B761" s="14" t="s">
        <v>1354</v>
      </c>
      <c r="C761">
        <v>48.916111111111107</v>
      </c>
      <c r="D761">
        <v>2.5150000000000001</v>
      </c>
    </row>
    <row r="762" spans="1:4">
      <c r="A762" s="13">
        <v>761</v>
      </c>
      <c r="B762" s="14" t="s">
        <v>1322</v>
      </c>
      <c r="C762">
        <v>48.921944444444442</v>
      </c>
      <c r="D762">
        <v>2.5163888888888888</v>
      </c>
    </row>
    <row r="763" spans="1:4">
      <c r="A763" s="13">
        <v>762</v>
      </c>
      <c r="B763" s="14" t="s">
        <v>1291</v>
      </c>
      <c r="C763">
        <v>48.926666666666662</v>
      </c>
      <c r="D763">
        <v>2.5191666666666666</v>
      </c>
    </row>
    <row r="764" spans="1:4">
      <c r="A764" s="13">
        <v>763</v>
      </c>
      <c r="B764" s="14" t="s">
        <v>1407</v>
      </c>
      <c r="C764">
        <v>48.930833333333332</v>
      </c>
      <c r="D764">
        <v>2.5152777777777779</v>
      </c>
    </row>
    <row r="765" spans="1:4">
      <c r="A765" s="13">
        <v>764</v>
      </c>
      <c r="B765" s="14" t="s">
        <v>909</v>
      </c>
      <c r="C765">
        <v>48.93194444444444</v>
      </c>
      <c r="D765">
        <v>2.4963888888888888</v>
      </c>
    </row>
    <row r="766" spans="1:4">
      <c r="A766" s="13">
        <v>765</v>
      </c>
      <c r="B766" s="14" t="s">
        <v>1359</v>
      </c>
      <c r="C766">
        <v>48.938611111111108</v>
      </c>
      <c r="D766">
        <v>2.3558333333333334</v>
      </c>
    </row>
    <row r="767" spans="1:4">
      <c r="A767" s="13">
        <v>766</v>
      </c>
      <c r="B767" s="14" t="s">
        <v>1249</v>
      </c>
      <c r="C767">
        <v>48.94222222222222</v>
      </c>
      <c r="D767">
        <v>2.3566666666666669</v>
      </c>
    </row>
    <row r="768" spans="1:4">
      <c r="A768" s="13">
        <v>767</v>
      </c>
      <c r="B768" s="14" t="s">
        <v>1405</v>
      </c>
      <c r="C768">
        <v>48.944444444444443</v>
      </c>
      <c r="D768">
        <v>2.3569444444444447</v>
      </c>
    </row>
    <row r="769" spans="1:4">
      <c r="A769" s="13">
        <v>768</v>
      </c>
      <c r="B769" s="14" t="s">
        <v>1303</v>
      </c>
      <c r="C769">
        <v>48.948055555555555</v>
      </c>
      <c r="D769">
        <v>2.3574999999999999</v>
      </c>
    </row>
    <row r="770" spans="1:4">
      <c r="A770" s="13">
        <v>769</v>
      </c>
      <c r="B770" s="14" t="s">
        <v>1386</v>
      </c>
      <c r="C770">
        <v>48.952500000000001</v>
      </c>
      <c r="D770">
        <v>2.3580555555555556</v>
      </c>
    </row>
    <row r="771" spans="1:4">
      <c r="A771" s="13">
        <v>770</v>
      </c>
      <c r="B771" s="14" t="s">
        <v>1321</v>
      </c>
      <c r="C771">
        <v>48.955555555555556</v>
      </c>
      <c r="D771">
        <v>2.3583333333333334</v>
      </c>
    </row>
    <row r="772" spans="1:4">
      <c r="A772" s="13">
        <v>771</v>
      </c>
      <c r="B772" s="14" t="s">
        <v>1425</v>
      </c>
      <c r="C772">
        <v>48.959166666666668</v>
      </c>
      <c r="D772">
        <v>2.358888888888889</v>
      </c>
    </row>
    <row r="773" spans="1:4">
      <c r="A773" s="13">
        <v>772</v>
      </c>
      <c r="B773" s="14" t="s">
        <v>1356</v>
      </c>
      <c r="C773">
        <v>48.963333333333338</v>
      </c>
      <c r="D773">
        <v>2.3597222222222225</v>
      </c>
    </row>
    <row r="774" spans="1:4">
      <c r="A774" s="13">
        <v>773</v>
      </c>
      <c r="B774" s="14" t="s">
        <v>1236</v>
      </c>
      <c r="C774">
        <v>48.965555555555561</v>
      </c>
      <c r="D774">
        <v>2.3633333333333333</v>
      </c>
    </row>
    <row r="775" spans="1:4">
      <c r="A775" s="13">
        <v>774</v>
      </c>
      <c r="B775" s="14" t="s">
        <v>1315</v>
      </c>
      <c r="C775">
        <v>48.971111111111114</v>
      </c>
      <c r="D775">
        <v>2.3661111111111111</v>
      </c>
    </row>
    <row r="776" spans="1:4">
      <c r="A776" s="13">
        <v>775</v>
      </c>
      <c r="B776" s="14" t="s">
        <v>1259</v>
      </c>
      <c r="C776">
        <v>48.973888888888894</v>
      </c>
      <c r="D776">
        <v>2.3661111111111111</v>
      </c>
    </row>
    <row r="777" spans="1:4">
      <c r="A777" s="13">
        <v>776</v>
      </c>
      <c r="B777" s="14" t="s">
        <v>1342</v>
      </c>
      <c r="C777">
        <v>48.977499999999999</v>
      </c>
      <c r="D777">
        <v>2.3713888888888888</v>
      </c>
    </row>
    <row r="778" spans="1:4">
      <c r="A778" s="13">
        <v>777</v>
      </c>
      <c r="B778" s="14" t="s">
        <v>1346</v>
      </c>
      <c r="C778">
        <v>48.976666666666667</v>
      </c>
      <c r="D778">
        <v>2.3772222222222221</v>
      </c>
    </row>
    <row r="779" spans="1:4">
      <c r="A779" s="13">
        <v>778</v>
      </c>
      <c r="B779" s="14" t="s">
        <v>1383</v>
      </c>
      <c r="C779">
        <v>48.979166666666671</v>
      </c>
      <c r="D779">
        <v>2.3797222222222221</v>
      </c>
    </row>
    <row r="780" spans="1:4">
      <c r="A780" s="13">
        <v>779</v>
      </c>
      <c r="B780" s="14" t="s">
        <v>1352</v>
      </c>
      <c r="C780">
        <v>48.978333333333332</v>
      </c>
      <c r="D780">
        <v>2.3855555555555554</v>
      </c>
    </row>
    <row r="781" spans="1:4">
      <c r="A781" s="13">
        <v>780</v>
      </c>
      <c r="B781" s="14" t="s">
        <v>676</v>
      </c>
      <c r="C781">
        <v>48.976666666666667</v>
      </c>
      <c r="D781">
        <v>2.3905555555555553</v>
      </c>
    </row>
    <row r="782" spans="1:4">
      <c r="A782" s="13">
        <v>781</v>
      </c>
      <c r="B782" s="14" t="s">
        <v>516</v>
      </c>
      <c r="C782">
        <v>48.810555555555553</v>
      </c>
      <c r="D782">
        <v>2.3019444444444441</v>
      </c>
    </row>
    <row r="783" spans="1:4">
      <c r="A783" s="13">
        <v>782</v>
      </c>
      <c r="B783" s="14" t="s">
        <v>1429</v>
      </c>
      <c r="C783">
        <v>48.80694444444444</v>
      </c>
      <c r="D783">
        <v>2.2936111111111108</v>
      </c>
    </row>
    <row r="784" spans="1:4">
      <c r="A784" s="13">
        <v>783</v>
      </c>
      <c r="B784" s="14" t="s">
        <v>1262</v>
      </c>
      <c r="C784">
        <v>48.803888888888885</v>
      </c>
      <c r="D784">
        <v>2.2886111111111109</v>
      </c>
    </row>
    <row r="785" spans="1:4">
      <c r="A785" s="13">
        <v>784</v>
      </c>
      <c r="B785" s="14" t="s">
        <v>1376</v>
      </c>
      <c r="C785">
        <v>48.80083333333333</v>
      </c>
      <c r="D785">
        <v>2.2833333333333332</v>
      </c>
    </row>
    <row r="786" spans="1:4">
      <c r="A786" s="13">
        <v>785</v>
      </c>
      <c r="B786" s="14" t="s">
        <v>1279</v>
      </c>
      <c r="C786">
        <v>48.794166666666662</v>
      </c>
      <c r="D786">
        <v>2.2719444444444443</v>
      </c>
    </row>
    <row r="787" spans="1:4">
      <c r="A787" s="13">
        <v>786</v>
      </c>
      <c r="B787" s="14" t="s">
        <v>1418</v>
      </c>
      <c r="C787">
        <v>48.79</v>
      </c>
      <c r="D787">
        <v>2.262777777777778</v>
      </c>
    </row>
    <row r="788" spans="1:4">
      <c r="A788" s="13">
        <v>787</v>
      </c>
      <c r="B788" s="14" t="s">
        <v>1308</v>
      </c>
      <c r="C788">
        <v>48.786944444444444</v>
      </c>
      <c r="D788">
        <v>2.2552777777777777</v>
      </c>
    </row>
    <row r="789" spans="1:4">
      <c r="A789" s="13">
        <v>788</v>
      </c>
      <c r="B789" s="14" t="s">
        <v>1355</v>
      </c>
      <c r="C789">
        <v>48.783333333333331</v>
      </c>
      <c r="D789">
        <v>2.2463888888888888</v>
      </c>
    </row>
    <row r="790" spans="1:4">
      <c r="A790" s="13">
        <v>789</v>
      </c>
      <c r="B790" s="14" t="s">
        <v>1384</v>
      </c>
      <c r="C790">
        <v>48.780555555555551</v>
      </c>
      <c r="D790">
        <v>2.2394444444444446</v>
      </c>
    </row>
    <row r="791" spans="1:4">
      <c r="A791" s="13">
        <v>790</v>
      </c>
      <c r="B791" s="14" t="s">
        <v>1300</v>
      </c>
      <c r="C791">
        <v>48.785277777777779</v>
      </c>
      <c r="D791">
        <v>2.2377777777777776</v>
      </c>
    </row>
    <row r="792" spans="1:4">
      <c r="A792" s="13">
        <v>791</v>
      </c>
      <c r="B792" s="14" t="s">
        <v>1299</v>
      </c>
      <c r="C792">
        <v>48.782499999999999</v>
      </c>
      <c r="D792">
        <v>2.2286111111111113</v>
      </c>
    </row>
    <row r="793" spans="1:4">
      <c r="A793" s="13">
        <v>792</v>
      </c>
      <c r="B793" s="14" t="s">
        <v>1363</v>
      </c>
      <c r="C793">
        <v>48.783888888888889</v>
      </c>
      <c r="D793">
        <v>2.2247222222222223</v>
      </c>
    </row>
    <row r="794" spans="1:4">
      <c r="A794" s="13">
        <v>793</v>
      </c>
      <c r="B794" s="14" t="s">
        <v>1430</v>
      </c>
      <c r="C794">
        <v>48.784999999999997</v>
      </c>
      <c r="D794">
        <v>2.2188888888888889</v>
      </c>
    </row>
    <row r="795" spans="1:4">
      <c r="A795" s="13">
        <v>794</v>
      </c>
      <c r="B795" s="14" t="s">
        <v>1276</v>
      </c>
      <c r="C795">
        <v>48.783888888888889</v>
      </c>
      <c r="D795">
        <v>2.2155555555555559</v>
      </c>
    </row>
    <row r="796" spans="1:4">
      <c r="A796" s="13">
        <v>795</v>
      </c>
      <c r="B796" s="14" t="s">
        <v>1313</v>
      </c>
      <c r="C796">
        <v>48.780833333333334</v>
      </c>
      <c r="D796">
        <v>2.2077777777777778</v>
      </c>
    </row>
    <row r="797" spans="1:4">
      <c r="A797" s="13">
        <v>796</v>
      </c>
      <c r="B797" s="14" t="s">
        <v>1353</v>
      </c>
      <c r="C797">
        <v>48.78</v>
      </c>
      <c r="D797">
        <v>2.1963888888888885</v>
      </c>
    </row>
    <row r="798" spans="1:4">
      <c r="A798" s="13">
        <v>797</v>
      </c>
      <c r="B798" s="14" t="s">
        <v>1357</v>
      </c>
      <c r="C798">
        <v>48.780555555555551</v>
      </c>
      <c r="D798">
        <v>2.1888888888888887</v>
      </c>
    </row>
    <row r="799" spans="1:4">
      <c r="A799" s="13">
        <v>798</v>
      </c>
      <c r="B799" s="14" t="s">
        <v>1323</v>
      </c>
      <c r="C799">
        <v>48.781666666666666</v>
      </c>
      <c r="D799">
        <v>2.1813888888888888</v>
      </c>
    </row>
    <row r="800" spans="1:4">
      <c r="A800" s="13">
        <v>799</v>
      </c>
      <c r="B800" s="14" t="s">
        <v>1403</v>
      </c>
      <c r="C800">
        <v>48.786388888888887</v>
      </c>
      <c r="D800">
        <v>2.1794444444444445</v>
      </c>
    </row>
    <row r="801" spans="1:4">
      <c r="A801" s="13">
        <v>800</v>
      </c>
      <c r="B801" s="14" t="s">
        <v>595</v>
      </c>
      <c r="C801">
        <v>48.800555555555555</v>
      </c>
      <c r="D801">
        <v>2.1713888888888886</v>
      </c>
    </row>
    <row r="802" spans="1:4">
      <c r="A802" s="13">
        <v>801</v>
      </c>
      <c r="B802" s="14" t="s">
        <v>1103</v>
      </c>
      <c r="C802">
        <v>48.80555555555555</v>
      </c>
      <c r="D802">
        <v>2.168333333333333</v>
      </c>
    </row>
    <row r="803" spans="1:4">
      <c r="A803" s="13">
        <v>802</v>
      </c>
      <c r="B803" s="14" t="s">
        <v>302</v>
      </c>
      <c r="C803">
        <v>48.787222222222219</v>
      </c>
      <c r="D803">
        <v>2.3675000000000002</v>
      </c>
    </row>
    <row r="804" spans="1:4">
      <c r="A804" s="13">
        <v>803</v>
      </c>
      <c r="B804" s="14" t="s">
        <v>1333</v>
      </c>
      <c r="C804">
        <v>48.782499999999999</v>
      </c>
      <c r="D804">
        <v>2.3672222222222223</v>
      </c>
    </row>
    <row r="805" spans="1:4">
      <c r="A805" s="13">
        <v>804</v>
      </c>
      <c r="B805" s="14" t="s">
        <v>1280</v>
      </c>
      <c r="C805">
        <v>48.778888888888886</v>
      </c>
      <c r="D805">
        <v>2.3672222222222223</v>
      </c>
    </row>
    <row r="806" spans="1:4">
      <c r="A806" s="13">
        <v>805</v>
      </c>
      <c r="B806" s="14" t="s">
        <v>1367</v>
      </c>
      <c r="C806">
        <v>48.772222222222219</v>
      </c>
      <c r="D806">
        <v>2.367777777777778</v>
      </c>
    </row>
    <row r="807" spans="1:4">
      <c r="A807" s="13">
        <v>806</v>
      </c>
      <c r="B807" s="14" t="s">
        <v>1254</v>
      </c>
      <c r="C807">
        <v>48.768333333333331</v>
      </c>
      <c r="D807">
        <v>2.3680555555555558</v>
      </c>
    </row>
    <row r="808" spans="1:4">
      <c r="A808" s="13">
        <v>807</v>
      </c>
      <c r="B808" s="14" t="s">
        <v>1245</v>
      </c>
      <c r="C808">
        <v>48.763611111111111</v>
      </c>
      <c r="D808">
        <v>2.3680555555555558</v>
      </c>
    </row>
    <row r="809" spans="1:4">
      <c r="A809" s="13">
        <v>808</v>
      </c>
      <c r="B809" s="14" t="s">
        <v>1399</v>
      </c>
      <c r="C809">
        <v>48.759722222222223</v>
      </c>
      <c r="D809">
        <v>2.3663888888888889</v>
      </c>
    </row>
    <row r="810" spans="1:4">
      <c r="A810" s="13">
        <v>809</v>
      </c>
      <c r="B810" s="14" t="s">
        <v>1324</v>
      </c>
      <c r="C810">
        <v>48.756666666666668</v>
      </c>
      <c r="D810">
        <v>2.368611111111111</v>
      </c>
    </row>
    <row r="811" spans="1:4">
      <c r="A811" s="13">
        <v>810</v>
      </c>
      <c r="B811" s="14" t="s">
        <v>1388</v>
      </c>
      <c r="C811">
        <v>48.753055555555555</v>
      </c>
      <c r="D811">
        <v>2.3619444444444446</v>
      </c>
    </row>
    <row r="812" spans="1:4">
      <c r="A812" s="13">
        <v>811</v>
      </c>
      <c r="B812" s="14" t="s">
        <v>1398</v>
      </c>
      <c r="C812">
        <v>48.752499999999998</v>
      </c>
      <c r="D812">
        <v>2.355</v>
      </c>
    </row>
    <row r="813" spans="1:4">
      <c r="A813" s="13">
        <v>812</v>
      </c>
      <c r="B813" s="14" t="s">
        <v>1409</v>
      </c>
      <c r="C813">
        <v>48.750277777777775</v>
      </c>
      <c r="D813">
        <v>2.354166666666667</v>
      </c>
    </row>
    <row r="814" spans="1:4">
      <c r="A814" s="13">
        <v>813</v>
      </c>
      <c r="B814" s="14" t="s">
        <v>1402</v>
      </c>
      <c r="C814">
        <v>48.74666666666667</v>
      </c>
      <c r="D814">
        <v>2.3530555555555557</v>
      </c>
    </row>
    <row r="815" spans="1:4">
      <c r="A815" s="13">
        <v>814</v>
      </c>
      <c r="B815" s="14" t="s">
        <v>1328</v>
      </c>
      <c r="C815">
        <v>48.741666666666667</v>
      </c>
      <c r="D815">
        <v>2.3527777777777779</v>
      </c>
    </row>
    <row r="816" spans="1:4">
      <c r="A816" s="13">
        <v>815</v>
      </c>
      <c r="B816" s="14" t="s">
        <v>1304</v>
      </c>
      <c r="C816">
        <v>48.73972222222222</v>
      </c>
      <c r="D816">
        <v>2.3625000000000003</v>
      </c>
    </row>
    <row r="817" spans="1:4">
      <c r="A817" s="13">
        <v>816</v>
      </c>
      <c r="B817" s="14" t="s">
        <v>1261</v>
      </c>
      <c r="C817">
        <v>48.736666666666665</v>
      </c>
      <c r="D817">
        <v>2.3697222222222223</v>
      </c>
    </row>
    <row r="818" spans="1:4">
      <c r="A818" s="13">
        <v>817</v>
      </c>
      <c r="B818" s="14" t="s">
        <v>1268</v>
      </c>
      <c r="C818">
        <v>48.732222222222227</v>
      </c>
      <c r="D818">
        <v>2.3719444444444444</v>
      </c>
    </row>
    <row r="819" spans="1:4">
      <c r="A819" s="13">
        <v>818</v>
      </c>
      <c r="B819" s="14" t="s">
        <v>1235</v>
      </c>
      <c r="C819">
        <v>48.728888888888889</v>
      </c>
      <c r="D819">
        <v>2.3683333333333332</v>
      </c>
    </row>
    <row r="820" spans="1:4">
      <c r="A820" s="13">
        <v>819</v>
      </c>
      <c r="B820" s="14" t="s">
        <v>1243</v>
      </c>
      <c r="C820">
        <v>48.714166666666671</v>
      </c>
      <c r="D820">
        <v>2.3716666666666666</v>
      </c>
    </row>
    <row r="821" spans="1:4">
      <c r="A821" s="13">
        <v>820</v>
      </c>
      <c r="B821" s="14" t="s">
        <v>1411</v>
      </c>
      <c r="C821">
        <v>48.929722222222217</v>
      </c>
      <c r="D821">
        <v>2.3580555555555556</v>
      </c>
    </row>
    <row r="822" spans="1:4">
      <c r="A822" s="13">
        <v>821</v>
      </c>
      <c r="B822" s="14" t="s">
        <v>1387</v>
      </c>
      <c r="C822">
        <v>48.932499999999997</v>
      </c>
      <c r="D822">
        <v>2.3519444444444444</v>
      </c>
    </row>
    <row r="823" spans="1:4">
      <c r="A823" s="13">
        <v>822</v>
      </c>
      <c r="B823" s="14" t="s">
        <v>1410</v>
      </c>
      <c r="C823">
        <v>48.935555555555553</v>
      </c>
      <c r="D823">
        <v>2.3475000000000001</v>
      </c>
    </row>
    <row r="824" spans="1:4">
      <c r="A824" s="13">
        <v>823</v>
      </c>
      <c r="B824" s="14" t="s">
        <v>1382</v>
      </c>
      <c r="C824">
        <v>48.94</v>
      </c>
      <c r="D824">
        <v>2.345277777777778</v>
      </c>
    </row>
    <row r="825" spans="1:4">
      <c r="A825" s="13">
        <v>824</v>
      </c>
      <c r="B825" s="14" t="s">
        <v>1273</v>
      </c>
      <c r="C825">
        <v>48.945833333333333</v>
      </c>
      <c r="D825">
        <v>2.3472222222222223</v>
      </c>
    </row>
    <row r="826" spans="1:4">
      <c r="A826" s="13">
        <v>825</v>
      </c>
      <c r="B826" s="14" t="s">
        <v>1263</v>
      </c>
      <c r="C826">
        <v>48.949444444444438</v>
      </c>
      <c r="D826">
        <v>2.3425000000000002</v>
      </c>
    </row>
    <row r="827" spans="1:4">
      <c r="A827" s="13">
        <v>826</v>
      </c>
      <c r="B827" s="14" t="s">
        <v>1319</v>
      </c>
      <c r="C827">
        <v>48.953333333333333</v>
      </c>
      <c r="D827">
        <v>2.3436111111111111</v>
      </c>
    </row>
    <row r="828" spans="1:4">
      <c r="A828" s="13">
        <v>827</v>
      </c>
      <c r="B828" s="14" t="s">
        <v>1373</v>
      </c>
      <c r="C828">
        <v>48.956666666666671</v>
      </c>
      <c r="D828">
        <v>2.3438888888888889</v>
      </c>
    </row>
    <row r="829" spans="1:4">
      <c r="A829" s="13">
        <v>828</v>
      </c>
      <c r="B829" s="14" t="s">
        <v>1435</v>
      </c>
      <c r="C829">
        <v>48.959444444444451</v>
      </c>
      <c r="D829">
        <v>2.3419444444444446</v>
      </c>
    </row>
    <row r="830" spans="1:4">
      <c r="A830" s="13">
        <v>829</v>
      </c>
      <c r="B830" s="14" t="s">
        <v>1251</v>
      </c>
      <c r="C830">
        <v>48.948055555555555</v>
      </c>
      <c r="D830">
        <v>2.3386111111111112</v>
      </c>
    </row>
    <row r="831" spans="1:4">
      <c r="A831" s="13">
        <v>830</v>
      </c>
      <c r="B831" s="14" t="s">
        <v>1348</v>
      </c>
      <c r="C831">
        <v>48.95</v>
      </c>
      <c r="D831">
        <v>2.3288888888888888</v>
      </c>
    </row>
    <row r="832" spans="1:4">
      <c r="A832" s="13">
        <v>831</v>
      </c>
      <c r="B832" s="14" t="s">
        <v>1341</v>
      </c>
      <c r="C832">
        <v>48.951666666666668</v>
      </c>
      <c r="D832">
        <v>2.3202777777777777</v>
      </c>
    </row>
    <row r="833" spans="1:4">
      <c r="A833" s="13">
        <v>832</v>
      </c>
      <c r="B833" s="14" t="s">
        <v>1406</v>
      </c>
      <c r="C833">
        <v>48.953055555555558</v>
      </c>
      <c r="D833">
        <v>2.3155555555555556</v>
      </c>
    </row>
    <row r="834" spans="1:4">
      <c r="A834" s="13">
        <v>833</v>
      </c>
      <c r="B834" s="14" t="s">
        <v>1332</v>
      </c>
      <c r="C834">
        <v>48.955277777777781</v>
      </c>
      <c r="D834">
        <v>2.3122222222222222</v>
      </c>
    </row>
    <row r="835" spans="1:4">
      <c r="A835" s="13">
        <v>834</v>
      </c>
      <c r="B835" s="14" t="s">
        <v>1302</v>
      </c>
      <c r="C835">
        <v>48.955277777777781</v>
      </c>
      <c r="D835">
        <v>2.3080555555555553</v>
      </c>
    </row>
    <row r="836" spans="1:4">
      <c r="A836" s="13">
        <v>835</v>
      </c>
      <c r="B836" s="14" t="s">
        <v>581</v>
      </c>
      <c r="C836">
        <v>48.955833333333338</v>
      </c>
      <c r="D836">
        <v>2.3019444444444441</v>
      </c>
    </row>
    <row r="837" spans="1:4">
      <c r="A837" s="13">
        <v>836</v>
      </c>
      <c r="B837" s="14" t="s">
        <v>1286</v>
      </c>
      <c r="C837">
        <v>48.955555555555556</v>
      </c>
      <c r="D837">
        <v>2.2958333333333334</v>
      </c>
    </row>
    <row r="838" spans="1:4">
      <c r="A838" s="13">
        <v>837</v>
      </c>
      <c r="B838" s="14" t="s">
        <v>581</v>
      </c>
      <c r="C838">
        <v>48.954166666666673</v>
      </c>
      <c r="D838">
        <v>2.3022222222222219</v>
      </c>
    </row>
    <row r="839" spans="1:4">
      <c r="A839" s="13">
        <v>838</v>
      </c>
      <c r="B839" s="14" t="s">
        <v>1285</v>
      </c>
      <c r="C839">
        <v>48.958611111111111</v>
      </c>
      <c r="D839">
        <v>2.3280555555555553</v>
      </c>
    </row>
    <row r="840" spans="1:4">
      <c r="A840" s="13">
        <v>839</v>
      </c>
      <c r="B840" s="14" t="s">
        <v>1435</v>
      </c>
      <c r="C840">
        <v>48.96</v>
      </c>
      <c r="D840">
        <v>2.341388888888889</v>
      </c>
    </row>
    <row r="841" spans="1:4">
      <c r="A841" s="13">
        <v>840</v>
      </c>
      <c r="B841" s="14" t="s">
        <v>677</v>
      </c>
      <c r="C841">
        <v>48.961944444444448</v>
      </c>
      <c r="D841">
        <v>2.3697222222222223</v>
      </c>
    </row>
    <row r="842" spans="1:4">
      <c r="A842" s="13">
        <v>841</v>
      </c>
      <c r="B842" s="14" t="s">
        <v>1421</v>
      </c>
      <c r="C842">
        <v>48.954722222222223</v>
      </c>
      <c r="D842">
        <v>2.3916666666666666</v>
      </c>
    </row>
    <row r="843" spans="1:4">
      <c r="A843" s="13">
        <v>842</v>
      </c>
      <c r="B843" s="14" t="s">
        <v>1283</v>
      </c>
      <c r="C843">
        <v>48.944166666666661</v>
      </c>
      <c r="D843">
        <v>2.4108333333333332</v>
      </c>
    </row>
    <row r="844" spans="1:4">
      <c r="A844" s="13">
        <v>843</v>
      </c>
      <c r="B844" s="14" t="s">
        <v>1336</v>
      </c>
      <c r="C844">
        <v>48.93055555555555</v>
      </c>
      <c r="D844">
        <v>2.4244444444444442</v>
      </c>
    </row>
    <row r="845" spans="1:4">
      <c r="A845" s="13">
        <v>844</v>
      </c>
      <c r="B845" s="14" t="s">
        <v>679</v>
      </c>
      <c r="C845">
        <v>48.880922007599999</v>
      </c>
      <c r="D845">
        <v>2.3563285436600001</v>
      </c>
    </row>
    <row r="846" spans="1:4">
      <c r="A846" s="13">
        <v>845</v>
      </c>
      <c r="B846" s="14" t="s">
        <v>559</v>
      </c>
      <c r="C846">
        <v>48.936030605900001</v>
      </c>
      <c r="D846">
        <v>2.3452746846800001</v>
      </c>
    </row>
    <row r="847" spans="1:4">
      <c r="A847" s="13">
        <v>846</v>
      </c>
      <c r="B847" s="14" t="s">
        <v>1285</v>
      </c>
      <c r="C847">
        <v>48.958269600100003</v>
      </c>
      <c r="D847">
        <v>2.3282450157799999</v>
      </c>
    </row>
    <row r="848" spans="1:4">
      <c r="A848" s="13">
        <v>847</v>
      </c>
      <c r="B848" s="14" t="s">
        <v>995</v>
      </c>
      <c r="C848">
        <v>48.976054253100003</v>
      </c>
      <c r="D848">
        <v>2.3385240706500001</v>
      </c>
    </row>
    <row r="849" spans="1:4">
      <c r="A849" s="13">
        <v>848</v>
      </c>
      <c r="B849" s="14" t="s">
        <v>996</v>
      </c>
      <c r="C849">
        <v>48.984315963900002</v>
      </c>
      <c r="D849">
        <v>2.3534072485799999</v>
      </c>
    </row>
    <row r="850" spans="1:4">
      <c r="A850" s="13">
        <v>849</v>
      </c>
      <c r="B850" s="14" t="s">
        <v>997</v>
      </c>
      <c r="C850">
        <v>48.996006827800002</v>
      </c>
      <c r="D850">
        <v>2.36868456283</v>
      </c>
    </row>
    <row r="851" spans="1:4">
      <c r="A851" s="13">
        <v>850</v>
      </c>
      <c r="B851" s="14" t="s">
        <v>998</v>
      </c>
      <c r="C851">
        <v>49.023206379000001</v>
      </c>
      <c r="D851">
        <v>2.3622229796299998</v>
      </c>
    </row>
    <row r="852" spans="1:4">
      <c r="A852" s="13">
        <v>851</v>
      </c>
      <c r="B852" s="14" t="s">
        <v>999</v>
      </c>
      <c r="C852">
        <v>49.032972046799998</v>
      </c>
      <c r="D852">
        <v>2.3368296898400001</v>
      </c>
    </row>
    <row r="853" spans="1:4">
      <c r="A853" s="13">
        <v>852</v>
      </c>
      <c r="B853" s="14" t="s">
        <v>1000</v>
      </c>
      <c r="C853">
        <v>49.045169460300002</v>
      </c>
      <c r="D853">
        <v>2.3229178462300002</v>
      </c>
    </row>
    <row r="854" spans="1:4">
      <c r="A854" s="13">
        <v>853</v>
      </c>
      <c r="B854" s="14" t="s">
        <v>1001</v>
      </c>
      <c r="C854">
        <v>49.066288697700003</v>
      </c>
      <c r="D854">
        <v>2.32292045719</v>
      </c>
    </row>
    <row r="855" spans="1:4">
      <c r="A855" s="13">
        <v>854</v>
      </c>
      <c r="B855" s="14" t="s">
        <v>1002</v>
      </c>
      <c r="C855">
        <v>49.079470232200002</v>
      </c>
      <c r="D855">
        <v>2.3508308308400001</v>
      </c>
    </row>
    <row r="856" spans="1:4">
      <c r="A856" s="13">
        <v>855</v>
      </c>
      <c r="B856" s="14" t="s">
        <v>1003</v>
      </c>
      <c r="C856">
        <v>49.098400265199999</v>
      </c>
      <c r="D856">
        <v>2.3612705565800001</v>
      </c>
    </row>
    <row r="857" spans="1:4">
      <c r="A857" s="13">
        <v>856</v>
      </c>
      <c r="B857" s="14" t="s">
        <v>1004</v>
      </c>
      <c r="C857">
        <v>49.116627881600003</v>
      </c>
      <c r="D857">
        <v>2.3682535462500001</v>
      </c>
    </row>
    <row r="858" spans="1:4">
      <c r="A858" s="13">
        <v>857</v>
      </c>
      <c r="B858" s="14" t="s">
        <v>1005</v>
      </c>
      <c r="C858">
        <v>49.119022646300003</v>
      </c>
      <c r="D858">
        <v>2.39972485389</v>
      </c>
    </row>
    <row r="859" spans="1:4">
      <c r="A859" s="13">
        <v>858</v>
      </c>
      <c r="B859" s="14" t="s">
        <v>1006</v>
      </c>
      <c r="C859">
        <v>49.1171321315</v>
      </c>
      <c r="D859">
        <v>2.4201070341699999</v>
      </c>
    </row>
    <row r="860" spans="1:4">
      <c r="A860" s="13">
        <v>859</v>
      </c>
      <c r="B860" s="14" t="s">
        <v>1007</v>
      </c>
      <c r="C860">
        <v>49.114061950599996</v>
      </c>
      <c r="D860">
        <v>2.2879153435399999</v>
      </c>
    </row>
    <row r="861" spans="1:4">
      <c r="A861" s="13">
        <v>860</v>
      </c>
      <c r="B861" s="14" t="s">
        <v>1008</v>
      </c>
      <c r="C861">
        <v>49.132577702399999</v>
      </c>
      <c r="D861">
        <v>2.2805153698199998</v>
      </c>
    </row>
    <row r="862" spans="1:4">
      <c r="A862" s="13">
        <v>861</v>
      </c>
      <c r="B862" s="14" t="s">
        <v>1009</v>
      </c>
      <c r="C862">
        <v>48.966326544799998</v>
      </c>
      <c r="D862">
        <v>2.31658207116</v>
      </c>
    </row>
    <row r="863" spans="1:4">
      <c r="A863" s="13">
        <v>862</v>
      </c>
      <c r="B863" s="14" t="s">
        <v>1010</v>
      </c>
      <c r="C863">
        <v>48.972749118899998</v>
      </c>
      <c r="D863">
        <v>2.3071370334500001</v>
      </c>
    </row>
    <row r="864" spans="1:4">
      <c r="A864" s="13">
        <v>863</v>
      </c>
      <c r="B864" s="14" t="s">
        <v>1022</v>
      </c>
      <c r="C864">
        <v>48.979447983</v>
      </c>
      <c r="D864">
        <v>2.2924771315500001</v>
      </c>
    </row>
    <row r="865" spans="1:4">
      <c r="A865" s="13">
        <v>864</v>
      </c>
      <c r="B865" s="14" t="s">
        <v>579</v>
      </c>
      <c r="C865">
        <v>48.980646100400001</v>
      </c>
      <c r="D865">
        <v>2.27208477275</v>
      </c>
    </row>
    <row r="866" spans="1:4">
      <c r="A866" s="13">
        <v>865</v>
      </c>
      <c r="B866" s="14" t="s">
        <v>1011</v>
      </c>
      <c r="C866">
        <v>48.990651253300001</v>
      </c>
      <c r="D866">
        <v>2.2631826214499999</v>
      </c>
    </row>
    <row r="867" spans="1:4">
      <c r="A867" s="13">
        <v>866</v>
      </c>
      <c r="B867" s="14" t="s">
        <v>1012</v>
      </c>
      <c r="C867">
        <v>48.996098842599999</v>
      </c>
      <c r="D867">
        <v>2.2596556190600001</v>
      </c>
    </row>
    <row r="868" spans="1:4">
      <c r="A868" s="13">
        <v>867</v>
      </c>
      <c r="B868" s="14" t="s">
        <v>1013</v>
      </c>
      <c r="C868">
        <v>49.015584972799999</v>
      </c>
      <c r="D868">
        <v>2.2424791112700002</v>
      </c>
    </row>
    <row r="869" spans="1:4">
      <c r="A869" s="13">
        <v>868</v>
      </c>
      <c r="B869" s="14" t="s">
        <v>1014</v>
      </c>
      <c r="C869">
        <v>49.021773956200001</v>
      </c>
      <c r="D869">
        <v>2.2293764883899998</v>
      </c>
    </row>
    <row r="870" spans="1:4">
      <c r="A870" s="13">
        <v>869</v>
      </c>
      <c r="B870" s="14" t="s">
        <v>1015</v>
      </c>
      <c r="C870">
        <v>49.024778546999997</v>
      </c>
      <c r="D870">
        <v>2.2227273221899999</v>
      </c>
    </row>
    <row r="871" spans="1:4">
      <c r="A871" s="13">
        <v>870</v>
      </c>
      <c r="B871" s="14" t="s">
        <v>1016</v>
      </c>
      <c r="C871">
        <v>49.035311309400001</v>
      </c>
      <c r="D871">
        <v>2.2102465210400002</v>
      </c>
    </row>
    <row r="872" spans="1:4">
      <c r="A872" s="13">
        <v>871</v>
      </c>
      <c r="B872" s="14" t="s">
        <v>1017</v>
      </c>
      <c r="C872">
        <v>49.045430254199999</v>
      </c>
      <c r="D872">
        <v>2.19708767832</v>
      </c>
    </row>
    <row r="873" spans="1:4">
      <c r="A873" s="13">
        <v>872</v>
      </c>
      <c r="B873" s="14" t="s">
        <v>1018</v>
      </c>
      <c r="C873">
        <v>49.058047816299997</v>
      </c>
      <c r="D873">
        <v>2.1912447618600002</v>
      </c>
    </row>
    <row r="874" spans="1:4">
      <c r="A874" s="13">
        <v>873</v>
      </c>
      <c r="B874" s="14" t="s">
        <v>1019</v>
      </c>
      <c r="C874">
        <v>49.077699046399999</v>
      </c>
      <c r="D874">
        <v>2.2054467282100001</v>
      </c>
    </row>
    <row r="875" spans="1:4">
      <c r="A875" s="13">
        <v>874</v>
      </c>
      <c r="B875" s="14" t="s">
        <v>1020</v>
      </c>
      <c r="C875">
        <v>49.091073451299998</v>
      </c>
      <c r="D875">
        <v>2.2018234842500002</v>
      </c>
    </row>
    <row r="876" spans="1:4">
      <c r="A876" s="13">
        <v>875</v>
      </c>
      <c r="B876" s="14" t="s">
        <v>578</v>
      </c>
      <c r="C876">
        <v>48.985004701299999</v>
      </c>
      <c r="D876">
        <v>2.2574741558800002</v>
      </c>
    </row>
    <row r="877" spans="1:4">
      <c r="A877" s="13">
        <v>876</v>
      </c>
      <c r="B877" s="14" t="s">
        <v>577</v>
      </c>
      <c r="C877">
        <v>48.993713480399997</v>
      </c>
      <c r="D877">
        <v>2.2342763953599998</v>
      </c>
    </row>
    <row r="878" spans="1:4">
      <c r="A878" s="13">
        <v>877</v>
      </c>
      <c r="B878" s="14" t="s">
        <v>576</v>
      </c>
      <c r="C878">
        <v>49.007423298900001</v>
      </c>
      <c r="D878">
        <v>2.1976198071100002</v>
      </c>
    </row>
    <row r="879" spans="1:4">
      <c r="A879" s="13">
        <v>878</v>
      </c>
      <c r="B879" s="14" t="s">
        <v>575</v>
      </c>
      <c r="C879">
        <v>49.019136741600001</v>
      </c>
      <c r="D879">
        <v>2.1546634774100002</v>
      </c>
    </row>
    <row r="880" spans="1:4">
      <c r="A880" s="13">
        <v>879</v>
      </c>
      <c r="B880" s="14" t="s">
        <v>574</v>
      </c>
      <c r="C880">
        <v>49.033987636299997</v>
      </c>
      <c r="D880">
        <v>2.1282638725599998</v>
      </c>
    </row>
    <row r="881" spans="1:4">
      <c r="A881" s="13">
        <v>880</v>
      </c>
      <c r="B881" s="14" t="s">
        <v>573</v>
      </c>
      <c r="C881">
        <v>49.045311648400002</v>
      </c>
      <c r="D881">
        <v>2.10511071028</v>
      </c>
    </row>
    <row r="882" spans="1:4">
      <c r="A882" s="13">
        <v>881</v>
      </c>
      <c r="B882" s="14" t="s">
        <v>572</v>
      </c>
      <c r="C882">
        <v>49.046645762600001</v>
      </c>
      <c r="D882">
        <v>2.0951950672300002</v>
      </c>
    </row>
    <row r="883" spans="1:4">
      <c r="A883" s="13">
        <v>882</v>
      </c>
      <c r="B883" s="14" t="s">
        <v>1024</v>
      </c>
      <c r="C883">
        <v>49.055101759599999</v>
      </c>
      <c r="D883">
        <v>2.12273590692</v>
      </c>
    </row>
    <row r="884" spans="1:4">
      <c r="A884" s="13">
        <v>883</v>
      </c>
      <c r="B884" s="14" t="s">
        <v>1025</v>
      </c>
      <c r="C884">
        <v>49.060591681200002</v>
      </c>
      <c r="D884">
        <v>2.1308741342799999</v>
      </c>
    </row>
    <row r="885" spans="1:4">
      <c r="A885" s="13">
        <v>884</v>
      </c>
      <c r="B885" s="14" t="s">
        <v>1026</v>
      </c>
      <c r="C885">
        <v>49.069314135500001</v>
      </c>
      <c r="D885">
        <v>2.1416969341500001</v>
      </c>
    </row>
    <row r="886" spans="1:4">
      <c r="A886" s="13">
        <v>885</v>
      </c>
      <c r="B886" s="14" t="s">
        <v>1027</v>
      </c>
      <c r="C886">
        <v>49.070462362500002</v>
      </c>
      <c r="D886">
        <v>2.1753042058599998</v>
      </c>
    </row>
    <row r="887" spans="1:4">
      <c r="A887" s="13">
        <v>886</v>
      </c>
      <c r="B887" s="14" t="s">
        <v>1021</v>
      </c>
      <c r="C887">
        <v>49.114783971000001</v>
      </c>
      <c r="D887">
        <v>2.2100198692799999</v>
      </c>
    </row>
    <row r="888" spans="1:4">
      <c r="A888" s="13">
        <v>887</v>
      </c>
      <c r="B888" s="14" t="s">
        <v>1028</v>
      </c>
      <c r="C888">
        <v>49.136000564600003</v>
      </c>
      <c r="D888">
        <v>2.2426777767799999</v>
      </c>
    </row>
    <row r="889" spans="1:4">
      <c r="A889" s="13">
        <v>888</v>
      </c>
      <c r="B889" s="14" t="s">
        <v>1029</v>
      </c>
      <c r="C889">
        <v>49.147719507399998</v>
      </c>
      <c r="D889">
        <v>2.2778231947199998</v>
      </c>
    </row>
    <row r="890" spans="1:4">
      <c r="A890" s="13">
        <v>889</v>
      </c>
      <c r="B890" s="14" t="s">
        <v>1030</v>
      </c>
      <c r="C890">
        <v>49.155189858999996</v>
      </c>
      <c r="D890">
        <v>2.3257539948799999</v>
      </c>
    </row>
    <row r="891" spans="1:4">
      <c r="A891" s="13">
        <v>890</v>
      </c>
      <c r="B891" s="14" t="s">
        <v>1031</v>
      </c>
      <c r="C891">
        <v>49.166775039800001</v>
      </c>
      <c r="D891">
        <v>2.36230352857</v>
      </c>
    </row>
    <row r="892" spans="1:4">
      <c r="A892" s="13">
        <v>891</v>
      </c>
      <c r="B892" s="14" t="s">
        <v>1032</v>
      </c>
      <c r="C892">
        <v>49.203265733499997</v>
      </c>
      <c r="D892">
        <v>2.37660117732</v>
      </c>
    </row>
    <row r="893" spans="1:4">
      <c r="A893" s="13">
        <v>892</v>
      </c>
      <c r="B893" s="14" t="s">
        <v>1033</v>
      </c>
      <c r="C893">
        <v>49.213856324799998</v>
      </c>
      <c r="D893">
        <v>2.4173693910499998</v>
      </c>
    </row>
    <row r="894" spans="1:4">
      <c r="A894" s="13">
        <v>893</v>
      </c>
      <c r="B894" s="14" t="s">
        <v>667</v>
      </c>
      <c r="C894">
        <v>49.263944144500002</v>
      </c>
      <c r="D894">
        <v>2.46891411535</v>
      </c>
    </row>
    <row r="895" spans="1:4">
      <c r="A895" s="13">
        <v>894</v>
      </c>
      <c r="B895" s="14" t="s">
        <v>1035</v>
      </c>
      <c r="C895">
        <v>48.989502507099999</v>
      </c>
      <c r="D895">
        <v>1.7030161341900001</v>
      </c>
    </row>
    <row r="896" spans="1:4">
      <c r="A896" s="13">
        <v>895</v>
      </c>
      <c r="B896" s="14" t="s">
        <v>1036</v>
      </c>
      <c r="C896">
        <v>48.983654507499999</v>
      </c>
      <c r="D896">
        <v>1.71521098645</v>
      </c>
    </row>
    <row r="897" spans="1:4">
      <c r="A897" s="13">
        <v>896</v>
      </c>
      <c r="B897" s="14" t="s">
        <v>1037</v>
      </c>
      <c r="C897">
        <v>48.984172755300001</v>
      </c>
      <c r="D897">
        <v>1.7477861829100001</v>
      </c>
    </row>
    <row r="898" spans="1:4">
      <c r="A898" s="13">
        <v>897</v>
      </c>
      <c r="B898" s="14" t="s">
        <v>1038</v>
      </c>
      <c r="C898">
        <v>48.9792922476</v>
      </c>
      <c r="D898">
        <v>1.78397340775</v>
      </c>
    </row>
    <row r="899" spans="1:4">
      <c r="A899" s="13">
        <v>898</v>
      </c>
      <c r="B899" s="14" t="s">
        <v>1039</v>
      </c>
      <c r="C899">
        <v>48.982979763199999</v>
      </c>
      <c r="D899">
        <v>1.80890782598</v>
      </c>
    </row>
    <row r="900" spans="1:4">
      <c r="A900" s="13">
        <v>899</v>
      </c>
      <c r="B900" s="14" t="s">
        <v>1040</v>
      </c>
      <c r="C900">
        <v>48.992241281299997</v>
      </c>
      <c r="D900">
        <v>1.84513444487</v>
      </c>
    </row>
    <row r="901" spans="1:4">
      <c r="A901" s="13">
        <v>900</v>
      </c>
      <c r="B901" s="14" t="s">
        <v>1041</v>
      </c>
      <c r="C901">
        <v>49.005762536799999</v>
      </c>
      <c r="D901">
        <v>1.9017819785800001</v>
      </c>
    </row>
    <row r="902" spans="1:4">
      <c r="A902" s="13">
        <v>901</v>
      </c>
      <c r="B902" s="14" t="s">
        <v>1042</v>
      </c>
      <c r="C902">
        <v>49.006700276799997</v>
      </c>
      <c r="D902">
        <v>1.91923711175</v>
      </c>
    </row>
    <row r="903" spans="1:4">
      <c r="A903" s="13">
        <v>902</v>
      </c>
      <c r="B903" s="14" t="s">
        <v>1043</v>
      </c>
      <c r="C903">
        <v>49.007127246300001</v>
      </c>
      <c r="D903">
        <v>1.9635517716599999</v>
      </c>
    </row>
    <row r="904" spans="1:4">
      <c r="A904" s="13">
        <v>903</v>
      </c>
      <c r="B904" s="14" t="s">
        <v>1044</v>
      </c>
      <c r="C904">
        <v>48.981071911000001</v>
      </c>
      <c r="D904">
        <v>2.0059308916899998</v>
      </c>
    </row>
    <row r="905" spans="1:4">
      <c r="A905" s="13">
        <v>904</v>
      </c>
      <c r="B905" s="14" t="s">
        <v>1045</v>
      </c>
      <c r="C905">
        <v>48.970366933100003</v>
      </c>
      <c r="D905">
        <v>2.0275187756899999</v>
      </c>
    </row>
    <row r="906" spans="1:4">
      <c r="A906" s="13">
        <v>905</v>
      </c>
      <c r="B906" s="14" t="s">
        <v>1046</v>
      </c>
      <c r="C906">
        <v>48.974820864599998</v>
      </c>
      <c r="D906">
        <v>2.0490831214899998</v>
      </c>
    </row>
    <row r="907" spans="1:4">
      <c r="A907" s="13">
        <v>906</v>
      </c>
      <c r="B907" s="14" t="s">
        <v>1047</v>
      </c>
      <c r="C907">
        <v>48.9870565461</v>
      </c>
      <c r="D907">
        <v>2.05978782668</v>
      </c>
    </row>
    <row r="908" spans="1:4">
      <c r="A908" s="13">
        <v>907</v>
      </c>
      <c r="B908" s="14" t="s">
        <v>1048</v>
      </c>
      <c r="C908">
        <v>48.991898372400001</v>
      </c>
      <c r="D908">
        <v>2.0736206204699998</v>
      </c>
    </row>
    <row r="909" spans="1:4">
      <c r="A909" s="13">
        <v>908</v>
      </c>
      <c r="B909" s="14" t="s">
        <v>1050</v>
      </c>
      <c r="C909">
        <v>49.285263524100003</v>
      </c>
      <c r="D909">
        <v>1.7850662234800001</v>
      </c>
    </row>
    <row r="910" spans="1:4">
      <c r="A910" s="13">
        <v>909</v>
      </c>
      <c r="B910" s="14" t="s">
        <v>1051</v>
      </c>
      <c r="C910">
        <v>49.2825897349</v>
      </c>
      <c r="D910">
        <v>1.8180823825100001</v>
      </c>
    </row>
    <row r="911" spans="1:4">
      <c r="A911" s="13">
        <v>910</v>
      </c>
      <c r="B911" s="14" t="s">
        <v>1052</v>
      </c>
      <c r="C911">
        <v>49.261322298099998</v>
      </c>
      <c r="D911">
        <v>1.8725894678499999</v>
      </c>
    </row>
    <row r="912" spans="1:4">
      <c r="A912" s="13">
        <v>911</v>
      </c>
      <c r="B912" s="14" t="s">
        <v>1053</v>
      </c>
      <c r="C912">
        <v>49.220807050600001</v>
      </c>
      <c r="D912">
        <v>1.9052990618900001</v>
      </c>
    </row>
    <row r="913" spans="1:4">
      <c r="A913" s="13">
        <v>912</v>
      </c>
      <c r="B913" s="14" t="s">
        <v>1054</v>
      </c>
      <c r="C913">
        <v>49.202693603</v>
      </c>
      <c r="D913">
        <v>1.92054770607</v>
      </c>
    </row>
    <row r="914" spans="1:4">
      <c r="A914" s="13">
        <v>913</v>
      </c>
      <c r="B914" s="14" t="s">
        <v>1055</v>
      </c>
      <c r="C914">
        <v>49.162670580799997</v>
      </c>
      <c r="D914">
        <v>1.9369286344200001</v>
      </c>
    </row>
    <row r="915" spans="1:4">
      <c r="A915" s="13">
        <v>914</v>
      </c>
      <c r="B915" s="14" t="s">
        <v>1056</v>
      </c>
      <c r="C915">
        <v>49.123451854099997</v>
      </c>
      <c r="D915">
        <v>1.9493326816500001</v>
      </c>
    </row>
    <row r="916" spans="1:4">
      <c r="A916" s="13">
        <v>915</v>
      </c>
      <c r="B916" s="14" t="s">
        <v>1057</v>
      </c>
      <c r="C916">
        <v>49.099650121700002</v>
      </c>
      <c r="D916">
        <v>1.9705357236900001</v>
      </c>
    </row>
    <row r="917" spans="1:4">
      <c r="A917" s="13">
        <v>916</v>
      </c>
      <c r="B917" s="14" t="s">
        <v>1058</v>
      </c>
      <c r="C917">
        <v>49.080493707899997</v>
      </c>
      <c r="D917">
        <v>2.0037153716299998</v>
      </c>
    </row>
    <row r="918" spans="1:4">
      <c r="A918" s="13">
        <v>917</v>
      </c>
      <c r="B918" s="14" t="s">
        <v>1059</v>
      </c>
      <c r="C918">
        <v>49.075842884799997</v>
      </c>
      <c r="D918">
        <v>2.0249529313800001</v>
      </c>
    </row>
    <row r="919" spans="1:4">
      <c r="A919" s="13">
        <v>918</v>
      </c>
      <c r="B919" s="14" t="s">
        <v>1060</v>
      </c>
      <c r="C919">
        <v>49.0629696795</v>
      </c>
      <c r="D919">
        <v>2.0579029905100001</v>
      </c>
    </row>
    <row r="920" spans="1:4">
      <c r="A920" s="13">
        <v>919</v>
      </c>
      <c r="B920" s="14" t="s">
        <v>572</v>
      </c>
      <c r="C920">
        <v>49.046645762600001</v>
      </c>
      <c r="D920">
        <v>2.0951950672300002</v>
      </c>
    </row>
    <row r="921" spans="1:4">
      <c r="A921" s="13">
        <v>920</v>
      </c>
      <c r="B921" s="14" t="s">
        <v>1061</v>
      </c>
      <c r="C921">
        <v>49.039981309300003</v>
      </c>
      <c r="D921">
        <v>2.1038526964500002</v>
      </c>
    </row>
    <row r="922" spans="1:4">
      <c r="A922" s="13">
        <v>921</v>
      </c>
      <c r="B922" s="14" t="s">
        <v>1062</v>
      </c>
      <c r="C922">
        <v>49.0183491636</v>
      </c>
      <c r="D922">
        <v>2.0909060633499998</v>
      </c>
    </row>
    <row r="923" spans="1:4">
      <c r="A923" s="13">
        <v>922</v>
      </c>
      <c r="B923" s="14" t="s">
        <v>1049</v>
      </c>
      <c r="C923">
        <v>48.996630090700002</v>
      </c>
      <c r="D923">
        <v>2.0977739884600002</v>
      </c>
    </row>
    <row r="924" spans="1:4">
      <c r="A924" s="13">
        <v>923</v>
      </c>
      <c r="B924" s="14" t="s">
        <v>1063</v>
      </c>
      <c r="C924">
        <v>48.990289996400001</v>
      </c>
      <c r="D924">
        <v>2.16190660559</v>
      </c>
    </row>
    <row r="925" spans="1:4">
      <c r="A925" s="13">
        <v>924</v>
      </c>
      <c r="B925" s="14" t="s">
        <v>1064</v>
      </c>
      <c r="C925">
        <v>48.980263520699999</v>
      </c>
      <c r="D925">
        <v>2.18001238078</v>
      </c>
    </row>
    <row r="926" spans="1:4">
      <c r="A926" s="13">
        <v>925</v>
      </c>
      <c r="B926" s="14" t="s">
        <v>1065</v>
      </c>
      <c r="C926">
        <v>48.968496267500001</v>
      </c>
      <c r="D926">
        <v>2.19344286781</v>
      </c>
    </row>
    <row r="927" spans="1:4">
      <c r="A927" s="13">
        <v>926</v>
      </c>
      <c r="B927" s="14" t="s">
        <v>1066</v>
      </c>
      <c r="C927">
        <v>48.950304353500002</v>
      </c>
      <c r="D927">
        <v>2.2311100350099999</v>
      </c>
    </row>
    <row r="928" spans="1:4">
      <c r="A928" s="13">
        <v>927</v>
      </c>
      <c r="B928" s="14" t="s">
        <v>579</v>
      </c>
      <c r="C928">
        <v>48.980646100400001</v>
      </c>
      <c r="D928">
        <v>2.27208477275</v>
      </c>
    </row>
    <row r="929" spans="1:4">
      <c r="A929" s="13">
        <v>928</v>
      </c>
      <c r="B929" s="14" t="s">
        <v>1068</v>
      </c>
      <c r="C929">
        <v>48.970519922100003</v>
      </c>
      <c r="D929">
        <v>2.2639249597900002</v>
      </c>
    </row>
    <row r="930" spans="1:4">
      <c r="A930" s="13">
        <v>929</v>
      </c>
      <c r="B930" s="14" t="s">
        <v>1067</v>
      </c>
      <c r="C930">
        <v>48.946796942100001</v>
      </c>
      <c r="D930">
        <v>2.2578974826599998</v>
      </c>
    </row>
    <row r="931" spans="1:4">
      <c r="A931" s="13">
        <v>930</v>
      </c>
      <c r="B931" s="14" t="s">
        <v>1069</v>
      </c>
      <c r="C931">
        <v>48.931054227799997</v>
      </c>
      <c r="D931">
        <v>2.2606023156099999</v>
      </c>
    </row>
    <row r="932" spans="1:4">
      <c r="A932" s="13">
        <v>931</v>
      </c>
      <c r="B932" s="14" t="s">
        <v>811</v>
      </c>
      <c r="C932">
        <v>48.923918626599999</v>
      </c>
      <c r="D932">
        <v>2.2593457030500002</v>
      </c>
    </row>
    <row r="933" spans="1:4">
      <c r="A933" s="13">
        <v>932</v>
      </c>
      <c r="B933" s="14" t="s">
        <v>1070</v>
      </c>
      <c r="C933">
        <v>48.914246474300001</v>
      </c>
      <c r="D933">
        <v>2.2715987503899999</v>
      </c>
    </row>
    <row r="934" spans="1:4">
      <c r="A934" s="13">
        <v>933</v>
      </c>
      <c r="B934" s="14" t="s">
        <v>773</v>
      </c>
      <c r="C934">
        <v>48.905663949100003</v>
      </c>
      <c r="D934">
        <v>2.2835728099599999</v>
      </c>
    </row>
    <row r="935" spans="1:4">
      <c r="A935" s="13">
        <v>934</v>
      </c>
      <c r="B935" s="14" t="s">
        <v>1071</v>
      </c>
      <c r="C935">
        <v>48.875933152400002</v>
      </c>
      <c r="D935">
        <v>2.3257279613900002</v>
      </c>
    </row>
    <row r="936" spans="1:4">
      <c r="A936" s="40">
        <v>935</v>
      </c>
      <c r="B936" s="39" t="s">
        <v>1074</v>
      </c>
      <c r="C936">
        <v>49.091111111111111</v>
      </c>
      <c r="D936">
        <v>1.4783333333333335</v>
      </c>
    </row>
    <row r="937" spans="1:4">
      <c r="A937" s="40">
        <v>936</v>
      </c>
      <c r="B937" s="39" t="s">
        <v>1075</v>
      </c>
      <c r="C937">
        <v>49.038611111111109</v>
      </c>
      <c r="D937">
        <v>1.581388888888889</v>
      </c>
    </row>
    <row r="938" spans="1:4">
      <c r="A938" s="40">
        <v>937</v>
      </c>
      <c r="B938" s="39" t="s">
        <v>1076</v>
      </c>
      <c r="C938">
        <v>48.99722222222222</v>
      </c>
      <c r="D938">
        <v>1.6308333333333334</v>
      </c>
    </row>
    <row r="939" spans="1:4">
      <c r="A939" s="13">
        <v>938</v>
      </c>
      <c r="B939" s="14" t="s">
        <v>1077</v>
      </c>
      <c r="C939">
        <v>48.963344112800002</v>
      </c>
      <c r="D939">
        <v>1.8090945087700001</v>
      </c>
    </row>
    <row r="940" spans="1:4">
      <c r="A940" s="13">
        <v>939</v>
      </c>
      <c r="B940" s="14" t="s">
        <v>1078</v>
      </c>
      <c r="C940">
        <v>48.972141676900002</v>
      </c>
      <c r="D940">
        <v>1.8483488082799999</v>
      </c>
    </row>
    <row r="941" spans="1:4">
      <c r="A941" s="13">
        <v>940</v>
      </c>
      <c r="B941" s="14" t="s">
        <v>1079</v>
      </c>
      <c r="C941">
        <v>48.992591955599998</v>
      </c>
      <c r="D941">
        <v>1.9135305067099999</v>
      </c>
    </row>
    <row r="942" spans="1:4">
      <c r="A942" s="13">
        <v>941</v>
      </c>
      <c r="B942" s="14" t="s">
        <v>1080</v>
      </c>
      <c r="C942">
        <v>48.992613881600001</v>
      </c>
      <c r="D942">
        <v>1.95547924753</v>
      </c>
    </row>
    <row r="943" spans="1:4">
      <c r="A943" s="13">
        <v>942</v>
      </c>
      <c r="B943" s="14" t="s">
        <v>1081</v>
      </c>
      <c r="C943">
        <v>48.981445969399999</v>
      </c>
      <c r="D943">
        <v>1.9831433520899999</v>
      </c>
    </row>
    <row r="944" spans="1:4">
      <c r="A944" s="13">
        <v>943</v>
      </c>
      <c r="B944" s="14" t="s">
        <v>1082</v>
      </c>
      <c r="C944">
        <v>48.939486810799998</v>
      </c>
      <c r="D944">
        <v>1.9996036096600001</v>
      </c>
    </row>
    <row r="945" spans="1:4">
      <c r="A945" s="13">
        <v>944</v>
      </c>
      <c r="B945" s="14" t="s">
        <v>531</v>
      </c>
      <c r="C945">
        <v>48.933265406099999</v>
      </c>
      <c r="D945">
        <v>2.0410722896800002</v>
      </c>
    </row>
    <row r="946" spans="1:4">
      <c r="A946" s="13">
        <v>945</v>
      </c>
      <c r="B946" s="14" t="s">
        <v>533</v>
      </c>
      <c r="C946">
        <v>48.9203793748</v>
      </c>
      <c r="D946">
        <v>2.1853533762900001</v>
      </c>
    </row>
    <row r="947" spans="1:4">
      <c r="A947" s="13">
        <v>946</v>
      </c>
      <c r="B947" s="14" t="s">
        <v>679</v>
      </c>
      <c r="C947">
        <v>48.880922007599999</v>
      </c>
      <c r="D947">
        <v>2.3563285436600001</v>
      </c>
    </row>
    <row r="948" spans="1:4">
      <c r="A948" s="13">
        <v>947</v>
      </c>
      <c r="B948" s="14" t="s">
        <v>909</v>
      </c>
      <c r="C948">
        <v>48.932196005100003</v>
      </c>
      <c r="D948">
        <v>2.49551314123</v>
      </c>
    </row>
    <row r="949" spans="1:4">
      <c r="A949" s="13">
        <v>948</v>
      </c>
      <c r="B949" s="14" t="s">
        <v>1083</v>
      </c>
      <c r="C949">
        <v>48.975858754000001</v>
      </c>
      <c r="D949">
        <v>2.64240630231</v>
      </c>
    </row>
    <row r="950" spans="1:4">
      <c r="A950" s="13">
        <v>949</v>
      </c>
      <c r="B950" s="14" t="s">
        <v>1084</v>
      </c>
      <c r="C950">
        <v>48.9913914029</v>
      </c>
      <c r="D950">
        <v>2.6650598693099998</v>
      </c>
    </row>
    <row r="951" spans="1:4">
      <c r="A951" s="13">
        <v>950</v>
      </c>
      <c r="B951" s="14" t="s">
        <v>1085</v>
      </c>
      <c r="C951">
        <v>49.008114014999997</v>
      </c>
      <c r="D951">
        <v>2.6802524546200002</v>
      </c>
    </row>
    <row r="952" spans="1:4">
      <c r="A952" s="13">
        <v>951</v>
      </c>
      <c r="B952" s="14" t="s">
        <v>1086</v>
      </c>
      <c r="C952">
        <v>49.032574090499999</v>
      </c>
      <c r="D952">
        <v>2.6994530878199998</v>
      </c>
    </row>
    <row r="953" spans="1:4">
      <c r="A953" s="13">
        <v>952</v>
      </c>
      <c r="B953" s="14" t="s">
        <v>1087</v>
      </c>
      <c r="C953">
        <v>49.0961208107</v>
      </c>
      <c r="D953">
        <v>2.74468620744</v>
      </c>
    </row>
    <row r="954" spans="1:4">
      <c r="A954" s="13">
        <v>953</v>
      </c>
      <c r="B954" s="14" t="s">
        <v>1088</v>
      </c>
      <c r="C954">
        <v>49.142884198300003</v>
      </c>
      <c r="D954">
        <v>2.7944545501100002</v>
      </c>
    </row>
    <row r="955" spans="1:4">
      <c r="A955" s="13">
        <v>954</v>
      </c>
      <c r="B955" s="14" t="s">
        <v>1089</v>
      </c>
      <c r="C955">
        <v>49.200877079100003</v>
      </c>
      <c r="D955">
        <v>2.8381084780400001</v>
      </c>
    </row>
    <row r="956" spans="1:4">
      <c r="A956" s="13">
        <v>955</v>
      </c>
      <c r="B956" s="14" t="s">
        <v>1090</v>
      </c>
      <c r="C956">
        <v>49.2310180602</v>
      </c>
      <c r="D956">
        <v>2.8873667049799998</v>
      </c>
    </row>
    <row r="957" spans="1:4">
      <c r="A957" s="13">
        <v>956</v>
      </c>
      <c r="B957" s="14" t="s">
        <v>1092</v>
      </c>
      <c r="C957">
        <v>49.047876203400001</v>
      </c>
      <c r="D957">
        <v>2.0109997599999998</v>
      </c>
    </row>
    <row r="958" spans="1:4">
      <c r="A958" s="13">
        <v>957</v>
      </c>
      <c r="B958" s="14" t="s">
        <v>1093</v>
      </c>
      <c r="C958">
        <v>49.049647005300002</v>
      </c>
      <c r="D958">
        <v>2.0342944632200002</v>
      </c>
    </row>
    <row r="959" spans="1:4">
      <c r="A959" s="13">
        <v>958</v>
      </c>
      <c r="B959" s="14" t="s">
        <v>1094</v>
      </c>
      <c r="C959">
        <v>49.036463979799997</v>
      </c>
      <c r="D959">
        <v>2.0795349413799999</v>
      </c>
    </row>
    <row r="960" spans="1:4">
      <c r="A960" s="13">
        <v>959</v>
      </c>
      <c r="B960" s="14" t="s">
        <v>1095</v>
      </c>
      <c r="C960">
        <v>49.014133689499999</v>
      </c>
      <c r="D960">
        <v>2.0783065913300001</v>
      </c>
    </row>
    <row r="961" spans="1:4">
      <c r="A961" s="13">
        <v>960</v>
      </c>
      <c r="B961" s="14" t="s">
        <v>1048</v>
      </c>
      <c r="C961">
        <v>48.991898372400001</v>
      </c>
      <c r="D961">
        <v>2.0736206204699998</v>
      </c>
    </row>
    <row r="962" spans="1:4">
      <c r="A962" s="13">
        <v>961</v>
      </c>
      <c r="B962" s="14" t="s">
        <v>1096</v>
      </c>
      <c r="C962">
        <v>48.970665046500002</v>
      </c>
      <c r="D962">
        <v>2.0777317659599999</v>
      </c>
    </row>
    <row r="963" spans="1:4">
      <c r="A963" s="13">
        <v>962</v>
      </c>
      <c r="B963" s="14" t="s">
        <v>1097</v>
      </c>
      <c r="C963">
        <v>48.945795934499998</v>
      </c>
      <c r="D963">
        <v>2.1445587568</v>
      </c>
    </row>
    <row r="964" spans="1:4">
      <c r="A964" s="13">
        <v>963</v>
      </c>
      <c r="B964" s="14" t="s">
        <v>1098</v>
      </c>
      <c r="C964">
        <v>48.937736063400003</v>
      </c>
      <c r="D964">
        <v>2.1570864951000002</v>
      </c>
    </row>
    <row r="965" spans="1:4">
      <c r="A965" s="13">
        <v>964</v>
      </c>
      <c r="B965" s="14" t="s">
        <v>533</v>
      </c>
      <c r="C965">
        <v>48.9203793748</v>
      </c>
      <c r="D965">
        <v>2.1853533762900001</v>
      </c>
    </row>
    <row r="966" spans="1:4">
      <c r="A966" s="13">
        <v>965</v>
      </c>
      <c r="B966" s="14" t="s">
        <v>1099</v>
      </c>
      <c r="C966">
        <v>48.901655065500002</v>
      </c>
      <c r="D966">
        <v>2.2151558730300001</v>
      </c>
    </row>
    <row r="967" spans="1:4">
      <c r="A967" s="13">
        <v>966</v>
      </c>
      <c r="B967" s="14" t="s">
        <v>815</v>
      </c>
      <c r="C967">
        <v>48.909632934000001</v>
      </c>
      <c r="D967">
        <v>2.2396841171099999</v>
      </c>
    </row>
    <row r="968" spans="1:4">
      <c r="A968" s="13">
        <v>967</v>
      </c>
      <c r="B968" s="14" t="s">
        <v>1100</v>
      </c>
      <c r="C968">
        <v>48.913636863900003</v>
      </c>
      <c r="D968">
        <v>2.2573260142199998</v>
      </c>
    </row>
    <row r="969" spans="1:4">
      <c r="A969" s="13">
        <v>968</v>
      </c>
      <c r="B969" s="14" t="s">
        <v>1101</v>
      </c>
      <c r="C969">
        <v>48.809482263</v>
      </c>
      <c r="D969">
        <v>2.13508745661</v>
      </c>
    </row>
    <row r="970" spans="1:4">
      <c r="A970" s="13">
        <v>969</v>
      </c>
      <c r="B970" s="14" t="s">
        <v>1102</v>
      </c>
      <c r="C970">
        <v>48.806377449000003</v>
      </c>
      <c r="D970">
        <v>2.1515001146500001</v>
      </c>
    </row>
    <row r="971" spans="1:4">
      <c r="A971" s="13">
        <v>970</v>
      </c>
      <c r="B971" s="14" t="s">
        <v>1103</v>
      </c>
      <c r="C971">
        <v>48.805493033799998</v>
      </c>
      <c r="D971">
        <v>2.16852039696</v>
      </c>
    </row>
    <row r="972" spans="1:4">
      <c r="A972" s="13">
        <v>971</v>
      </c>
      <c r="B972" s="14" t="s">
        <v>1104</v>
      </c>
      <c r="C972">
        <v>48.812571716299999</v>
      </c>
      <c r="D972">
        <v>2.1882598586499999</v>
      </c>
    </row>
    <row r="973" spans="1:4">
      <c r="A973" s="13">
        <v>972</v>
      </c>
      <c r="B973" s="14" t="s">
        <v>1105</v>
      </c>
      <c r="C973">
        <v>48.827238772699999</v>
      </c>
      <c r="D973">
        <v>2.2007212566300001</v>
      </c>
    </row>
    <row r="974" spans="1:4">
      <c r="A974" s="13">
        <v>973</v>
      </c>
      <c r="B974" s="14" t="s">
        <v>1106</v>
      </c>
      <c r="C974">
        <v>48.867792098599999</v>
      </c>
      <c r="D974">
        <v>2.0507678453199998</v>
      </c>
    </row>
    <row r="975" spans="1:4">
      <c r="A975" s="13">
        <v>974</v>
      </c>
      <c r="B975" s="14" t="s">
        <v>1107</v>
      </c>
      <c r="C975">
        <v>48.868064423200003</v>
      </c>
      <c r="D975">
        <v>2.0767191026799998</v>
      </c>
    </row>
    <row r="976" spans="1:4">
      <c r="A976" s="13">
        <v>975</v>
      </c>
      <c r="B976" s="14" t="s">
        <v>1108</v>
      </c>
      <c r="C976">
        <v>48.8715031037</v>
      </c>
      <c r="D976">
        <v>2.0965482527599999</v>
      </c>
    </row>
    <row r="977" spans="1:4">
      <c r="A977" s="13">
        <v>976</v>
      </c>
      <c r="B977" s="14" t="s">
        <v>1109</v>
      </c>
      <c r="C977">
        <v>48.861214528600001</v>
      </c>
      <c r="D977">
        <v>2.1231910959600002</v>
      </c>
    </row>
    <row r="978" spans="1:4">
      <c r="A978" s="13">
        <v>977</v>
      </c>
      <c r="B978" s="14" t="s">
        <v>1110</v>
      </c>
      <c r="C978">
        <v>48.854251702600003</v>
      </c>
      <c r="D978">
        <v>2.1321324452699999</v>
      </c>
    </row>
    <row r="979" spans="1:4">
      <c r="A979" s="13">
        <v>978</v>
      </c>
      <c r="B979" s="14" t="s">
        <v>1111</v>
      </c>
      <c r="C979">
        <v>48.842719956099998</v>
      </c>
      <c r="D979">
        <v>2.1381250573899999</v>
      </c>
    </row>
    <row r="980" spans="1:4">
      <c r="A980" s="13">
        <v>979</v>
      </c>
      <c r="B980" s="14" t="s">
        <v>1112</v>
      </c>
      <c r="C980">
        <v>48.836643316299998</v>
      </c>
      <c r="D980">
        <v>2.1526974030299999</v>
      </c>
    </row>
    <row r="981" spans="1:4">
      <c r="A981" s="13">
        <v>980</v>
      </c>
      <c r="B981" s="14" t="s">
        <v>1113</v>
      </c>
      <c r="C981">
        <v>48.838282547799999</v>
      </c>
      <c r="D981">
        <v>2.1871107137900001</v>
      </c>
    </row>
    <row r="982" spans="1:4">
      <c r="A982" s="13">
        <v>981</v>
      </c>
      <c r="B982" s="14" t="s">
        <v>825</v>
      </c>
      <c r="C982">
        <v>48.846102948599999</v>
      </c>
      <c r="D982">
        <v>2.2176210808899999</v>
      </c>
    </row>
    <row r="983" spans="1:4">
      <c r="A983" s="13">
        <v>982</v>
      </c>
      <c r="B983" s="14" t="s">
        <v>1114</v>
      </c>
      <c r="C983">
        <v>48.856419991400003</v>
      </c>
      <c r="D983">
        <v>2.2165722377899999</v>
      </c>
    </row>
    <row r="984" spans="1:4">
      <c r="A984" s="13">
        <v>983</v>
      </c>
      <c r="B984" s="14" t="s">
        <v>1115</v>
      </c>
      <c r="C984">
        <v>48.871714186600002</v>
      </c>
      <c r="D984">
        <v>2.2210295477700002</v>
      </c>
    </row>
    <row r="985" spans="1:4">
      <c r="A985" s="13">
        <v>984</v>
      </c>
      <c r="B985" s="14" t="s">
        <v>820</v>
      </c>
      <c r="C985">
        <v>48.883362341900003</v>
      </c>
      <c r="D985">
        <v>2.2337816806499999</v>
      </c>
    </row>
    <row r="986" spans="1:4">
      <c r="A986" s="13">
        <v>985</v>
      </c>
      <c r="B986" s="14" t="s">
        <v>68</v>
      </c>
      <c r="C986">
        <v>48.892187076399999</v>
      </c>
      <c r="D986">
        <v>2.2370180564000002</v>
      </c>
    </row>
    <row r="987" spans="1:4">
      <c r="A987" s="13">
        <v>986</v>
      </c>
      <c r="B987" s="14" t="s">
        <v>818</v>
      </c>
      <c r="C987">
        <v>48.898118874799998</v>
      </c>
      <c r="D987">
        <v>2.2479428442399998</v>
      </c>
    </row>
    <row r="988" spans="1:4">
      <c r="A988" s="13">
        <v>987</v>
      </c>
      <c r="B988" s="14" t="s">
        <v>1116</v>
      </c>
      <c r="C988">
        <v>48.905762657099999</v>
      </c>
      <c r="D988">
        <v>2.2699647791899999</v>
      </c>
    </row>
    <row r="989" spans="1:4">
      <c r="A989" s="13">
        <v>988</v>
      </c>
      <c r="B989" s="14" t="s">
        <v>773</v>
      </c>
      <c r="C989">
        <v>48.905663949100003</v>
      </c>
      <c r="D989">
        <v>2.2835728099599999</v>
      </c>
    </row>
    <row r="990" spans="1:4">
      <c r="A990" s="13">
        <v>989</v>
      </c>
      <c r="B990" s="14" t="s">
        <v>1117</v>
      </c>
      <c r="C990">
        <v>48.897637447900003</v>
      </c>
      <c r="D990">
        <v>2.2974199481499999</v>
      </c>
    </row>
    <row r="991" spans="1:4">
      <c r="A991" s="13">
        <v>990</v>
      </c>
      <c r="B991" s="14" t="s">
        <v>1118</v>
      </c>
      <c r="C991">
        <v>48.888220162800003</v>
      </c>
      <c r="D991">
        <v>2.31373245152</v>
      </c>
    </row>
    <row r="992" spans="1:4">
      <c r="A992" s="13">
        <v>991</v>
      </c>
      <c r="B992" s="14" t="s">
        <v>1071</v>
      </c>
      <c r="C992">
        <v>48.875933152400002</v>
      </c>
      <c r="D992">
        <v>2.3257279613900002</v>
      </c>
    </row>
    <row r="993" spans="1:4">
      <c r="A993" s="13">
        <v>992</v>
      </c>
      <c r="B993" s="14" t="s">
        <v>1127</v>
      </c>
      <c r="C993">
        <v>48.841359638199997</v>
      </c>
      <c r="D993">
        <v>2.06132681294</v>
      </c>
    </row>
    <row r="994" spans="1:4">
      <c r="A994" s="13">
        <v>993</v>
      </c>
      <c r="B994" s="14" t="s">
        <v>1128</v>
      </c>
      <c r="C994">
        <v>48.880992079899997</v>
      </c>
      <c r="D994">
        <v>2.0791775906600001</v>
      </c>
    </row>
    <row r="995" spans="1:4">
      <c r="A995" s="13">
        <v>994</v>
      </c>
      <c r="B995" s="14" t="s">
        <v>1129</v>
      </c>
      <c r="C995">
        <v>48.894607626599999</v>
      </c>
      <c r="D995">
        <v>2.0699379654899999</v>
      </c>
    </row>
    <row r="996" spans="1:4">
      <c r="A996" s="13">
        <v>995</v>
      </c>
      <c r="B996" s="14" t="s">
        <v>1131</v>
      </c>
      <c r="C996">
        <v>48.903204615500002</v>
      </c>
      <c r="D996">
        <v>2.0729714565699999</v>
      </c>
    </row>
    <row r="997" spans="1:4">
      <c r="A997" s="13">
        <v>996</v>
      </c>
      <c r="B997" s="14" t="s">
        <v>1132</v>
      </c>
      <c r="C997">
        <v>48.841186921099997</v>
      </c>
      <c r="D997">
        <v>2.3205092275300001</v>
      </c>
    </row>
    <row r="998" spans="1:4">
      <c r="A998" s="13">
        <v>997</v>
      </c>
      <c r="B998" s="14" t="s">
        <v>1133</v>
      </c>
      <c r="C998">
        <v>48.818387640499999</v>
      </c>
      <c r="D998">
        <v>2.29206181727</v>
      </c>
    </row>
    <row r="999" spans="1:4">
      <c r="A999" s="13">
        <v>998</v>
      </c>
      <c r="B999" s="14" t="s">
        <v>934</v>
      </c>
      <c r="C999">
        <v>48.8142394455</v>
      </c>
      <c r="D999">
        <v>2.2744896735400002</v>
      </c>
    </row>
    <row r="1000" spans="1:4">
      <c r="A1000" s="13">
        <v>999</v>
      </c>
      <c r="B1000" s="14" t="s">
        <v>831</v>
      </c>
      <c r="C1000">
        <v>48.8148843142</v>
      </c>
      <c r="D1000">
        <v>2.2409192948699999</v>
      </c>
    </row>
    <row r="1001" spans="1:4">
      <c r="A1001" s="13">
        <v>1000</v>
      </c>
      <c r="B1001" s="14" t="s">
        <v>1134</v>
      </c>
      <c r="C1001">
        <v>48.818947800099998</v>
      </c>
      <c r="D1001">
        <v>2.2298080064699999</v>
      </c>
    </row>
    <row r="1002" spans="1:4">
      <c r="A1002" s="13">
        <v>1001</v>
      </c>
      <c r="B1002" s="14" t="s">
        <v>1135</v>
      </c>
      <c r="C1002">
        <v>48.821217037899999</v>
      </c>
      <c r="D1002">
        <v>2.2148597913499999</v>
      </c>
    </row>
    <row r="1003" spans="1:4">
      <c r="A1003" s="13">
        <v>1002</v>
      </c>
      <c r="B1003" s="14" t="s">
        <v>1136</v>
      </c>
      <c r="C1003">
        <v>48.8046833553</v>
      </c>
      <c r="D1003">
        <v>2.1886302764900001</v>
      </c>
    </row>
    <row r="1004" spans="1:4">
      <c r="A1004" s="13">
        <v>1003</v>
      </c>
      <c r="B1004" s="14" t="s">
        <v>595</v>
      </c>
      <c r="C1004">
        <v>48.800718463899997</v>
      </c>
      <c r="D1004">
        <v>2.1713898141199999</v>
      </c>
    </row>
    <row r="1005" spans="1:4">
      <c r="A1005" s="13">
        <v>1004</v>
      </c>
      <c r="B1005" s="14" t="s">
        <v>592</v>
      </c>
      <c r="C1005">
        <v>48.795280246300003</v>
      </c>
      <c r="D1005">
        <v>2.1360504896600001</v>
      </c>
    </row>
    <row r="1006" spans="1:4">
      <c r="A1006" s="13">
        <v>1005</v>
      </c>
      <c r="B1006" s="14" t="s">
        <v>591</v>
      </c>
      <c r="C1006">
        <v>48.798707635200003</v>
      </c>
      <c r="D1006">
        <v>2.07184700048</v>
      </c>
    </row>
    <row r="1007" spans="1:4">
      <c r="A1007" s="13">
        <v>1006</v>
      </c>
      <c r="B1007" s="14" t="s">
        <v>1137</v>
      </c>
      <c r="C1007">
        <v>48.807246612100002</v>
      </c>
      <c r="D1007">
        <v>2.0405192033400001</v>
      </c>
    </row>
    <row r="1008" spans="1:4">
      <c r="A1008" s="13">
        <v>1007</v>
      </c>
      <c r="B1008" s="14" t="s">
        <v>1138</v>
      </c>
      <c r="C1008">
        <v>48.823653271399998</v>
      </c>
      <c r="D1008">
        <v>1.9928645323800001</v>
      </c>
    </row>
    <row r="1009" spans="1:4">
      <c r="A1009" s="13">
        <v>1008</v>
      </c>
      <c r="B1009" s="14" t="s">
        <v>1139</v>
      </c>
      <c r="C1009">
        <v>48.830959528699999</v>
      </c>
      <c r="D1009">
        <v>1.96002656297</v>
      </c>
    </row>
    <row r="1010" spans="1:4">
      <c r="A1010" s="13">
        <v>1009</v>
      </c>
      <c r="B1010" s="14" t="s">
        <v>1140</v>
      </c>
      <c r="C1010">
        <v>48.831916184299999</v>
      </c>
      <c r="D1010">
        <v>1.9444017526199999</v>
      </c>
    </row>
    <row r="1011" spans="1:4">
      <c r="A1011" s="13">
        <v>1010</v>
      </c>
      <c r="B1011" s="14" t="s">
        <v>1141</v>
      </c>
      <c r="C1011">
        <v>48.815328619600002</v>
      </c>
      <c r="D1011">
        <v>1.8775042043300001</v>
      </c>
    </row>
    <row r="1012" spans="1:4">
      <c r="A1012" s="13">
        <v>1011</v>
      </c>
      <c r="B1012" s="14" t="s">
        <v>1142</v>
      </c>
      <c r="C1012">
        <v>48.802601979999999</v>
      </c>
      <c r="D1012">
        <v>1.8164667942199999</v>
      </c>
    </row>
    <row r="1013" spans="1:4">
      <c r="A1013" s="13">
        <v>1012</v>
      </c>
      <c r="B1013" s="14" t="s">
        <v>1143</v>
      </c>
      <c r="C1013">
        <v>48.810402463499997</v>
      </c>
      <c r="D1013">
        <v>1.7650567579400001</v>
      </c>
    </row>
    <row r="1014" spans="1:4">
      <c r="A1014" s="13">
        <v>1013</v>
      </c>
      <c r="B1014" s="14" t="s">
        <v>1144</v>
      </c>
      <c r="C1014">
        <v>48.826578428099999</v>
      </c>
      <c r="D1014">
        <v>1.70321842548</v>
      </c>
    </row>
    <row r="1015" spans="1:4">
      <c r="A1015" s="13">
        <v>1014</v>
      </c>
      <c r="B1015" s="14" t="s">
        <v>1145</v>
      </c>
      <c r="C1015">
        <v>48.829429016200002</v>
      </c>
      <c r="D1015">
        <v>1.6690101627</v>
      </c>
    </row>
    <row r="1016" spans="1:4">
      <c r="A1016" s="13">
        <v>1015</v>
      </c>
      <c r="B1016" s="14" t="s">
        <v>1146</v>
      </c>
      <c r="C1016">
        <v>48.796025367799999</v>
      </c>
      <c r="D1016">
        <v>1.60270169299</v>
      </c>
    </row>
    <row r="1017" spans="1:4">
      <c r="A1017" s="13">
        <v>1016</v>
      </c>
      <c r="B1017" s="14" t="s">
        <v>1147</v>
      </c>
      <c r="C1017">
        <v>48.7684217766</v>
      </c>
      <c r="D1017">
        <v>1.5133330523499999</v>
      </c>
    </row>
    <row r="1018" spans="1:4">
      <c r="A1018" s="13">
        <v>1017</v>
      </c>
      <c r="B1018" s="14" t="s">
        <v>1148</v>
      </c>
      <c r="C1018">
        <v>48.730954670000003</v>
      </c>
      <c r="D1018">
        <v>1.3699742341200001</v>
      </c>
    </row>
    <row r="1019" spans="1:4">
      <c r="A1019" s="13">
        <v>1018</v>
      </c>
      <c r="B1019" s="14" t="s">
        <v>1149</v>
      </c>
      <c r="C1019">
        <v>48.859998731300003</v>
      </c>
      <c r="D1019">
        <v>1.8755955902799999</v>
      </c>
    </row>
    <row r="1020" spans="1:4">
      <c r="A1020" s="13">
        <v>1019</v>
      </c>
      <c r="B1020" s="14" t="s">
        <v>1150</v>
      </c>
      <c r="C1020">
        <v>48.893238597500002</v>
      </c>
      <c r="D1020">
        <v>1.8717384743100001</v>
      </c>
    </row>
    <row r="1021" spans="1:4">
      <c r="A1021" s="13">
        <v>1020</v>
      </c>
      <c r="B1021" s="14" t="s">
        <v>1151</v>
      </c>
      <c r="C1021">
        <v>48.909305374200002</v>
      </c>
      <c r="D1021">
        <v>1.8572275412599999</v>
      </c>
    </row>
    <row r="1022" spans="1:4">
      <c r="A1022" s="13">
        <v>1021</v>
      </c>
      <c r="B1022" s="14" t="s">
        <v>1152</v>
      </c>
      <c r="C1022">
        <v>48.938719235500002</v>
      </c>
      <c r="D1022">
        <v>1.84051703249</v>
      </c>
    </row>
    <row r="1023" spans="1:4">
      <c r="A1023" s="13">
        <v>1022</v>
      </c>
      <c r="B1023" s="14" t="s">
        <v>1077</v>
      </c>
      <c r="C1023">
        <v>48.963344112800002</v>
      </c>
      <c r="D1023">
        <v>1.8090945087700001</v>
      </c>
    </row>
    <row r="1024" spans="1:4">
      <c r="A1024" s="13">
        <v>1023</v>
      </c>
      <c r="B1024" s="14" t="s">
        <v>1035</v>
      </c>
      <c r="C1024">
        <v>48.989502507099999</v>
      </c>
      <c r="D1024">
        <v>1.7030161341900001</v>
      </c>
    </row>
    <row r="1025" spans="1:4">
      <c r="A1025" s="13">
        <v>1024</v>
      </c>
      <c r="B1025" s="14" t="s">
        <v>659</v>
      </c>
      <c r="C1025">
        <v>48.787390239200001</v>
      </c>
      <c r="D1025">
        <v>2.04462198988</v>
      </c>
    </row>
    <row r="1026" spans="1:4">
      <c r="A1026" s="13">
        <v>1025</v>
      </c>
      <c r="B1026" s="14" t="s">
        <v>1153</v>
      </c>
      <c r="C1026">
        <v>48.774802810700002</v>
      </c>
      <c r="D1026">
        <v>2.00656687176</v>
      </c>
    </row>
    <row r="1027" spans="1:4">
      <c r="A1027" s="13">
        <v>1026</v>
      </c>
      <c r="B1027" s="14" t="s">
        <v>1154</v>
      </c>
      <c r="C1027">
        <v>48.7553892687</v>
      </c>
      <c r="D1027">
        <v>1.9438351997000001</v>
      </c>
    </row>
    <row r="1028" spans="1:4">
      <c r="A1028" s="13">
        <v>1027</v>
      </c>
      <c r="B1028" s="14" t="s">
        <v>1155</v>
      </c>
      <c r="C1028">
        <v>48.743483985899999</v>
      </c>
      <c r="D1028">
        <v>1.9210366000400001</v>
      </c>
    </row>
    <row r="1029" spans="1:4">
      <c r="A1029" s="13">
        <v>1028</v>
      </c>
      <c r="B1029" s="14" t="s">
        <v>1156</v>
      </c>
      <c r="C1029">
        <v>48.721915961100002</v>
      </c>
      <c r="D1029">
        <v>1.8900045650599999</v>
      </c>
    </row>
    <row r="1030" spans="1:4">
      <c r="A1030" s="13">
        <v>1029</v>
      </c>
      <c r="B1030" s="14" t="s">
        <v>1157</v>
      </c>
      <c r="C1030">
        <v>48.693096590300001</v>
      </c>
      <c r="D1030">
        <v>1.8565920653100001</v>
      </c>
    </row>
    <row r="1031" spans="1:4">
      <c r="A1031" s="13">
        <v>1030</v>
      </c>
      <c r="B1031" s="14" t="s">
        <v>1158</v>
      </c>
      <c r="C1031">
        <v>48.644221952599999</v>
      </c>
      <c r="D1031">
        <v>1.83293547037</v>
      </c>
    </row>
    <row r="1032" spans="1:4">
      <c r="A1032" s="13">
        <v>1031</v>
      </c>
      <c r="B1032" s="14" t="s">
        <v>1161</v>
      </c>
      <c r="C1032">
        <v>48.8773756199</v>
      </c>
      <c r="D1032">
        <v>2.3594566169400002</v>
      </c>
    </row>
    <row r="1033" spans="1:4">
      <c r="A1033" s="13">
        <v>1032</v>
      </c>
      <c r="B1033" s="14" t="s">
        <v>733</v>
      </c>
      <c r="C1033">
        <v>48.874144083899999</v>
      </c>
      <c r="D1033">
        <v>2.5833311553199998</v>
      </c>
    </row>
    <row r="1034" spans="1:4">
      <c r="A1034" s="13">
        <v>1033</v>
      </c>
      <c r="B1034" s="14" t="s">
        <v>1162</v>
      </c>
      <c r="C1034">
        <v>48.8752082655</v>
      </c>
      <c r="D1034">
        <v>2.63759072126</v>
      </c>
    </row>
    <row r="1035" spans="1:4">
      <c r="A1035" s="13">
        <v>1034</v>
      </c>
      <c r="B1035" s="14" t="s">
        <v>1163</v>
      </c>
      <c r="C1035">
        <v>48.882189137600001</v>
      </c>
      <c r="D1035">
        <v>2.70601418112</v>
      </c>
    </row>
    <row r="1036" spans="1:4">
      <c r="A1036" s="13">
        <v>1035</v>
      </c>
      <c r="B1036" s="14" t="s">
        <v>1164</v>
      </c>
      <c r="C1036">
        <v>48.903072915999999</v>
      </c>
      <c r="D1036">
        <v>2.81024821936</v>
      </c>
    </row>
    <row r="1037" spans="1:4">
      <c r="A1037" s="13">
        <v>1036</v>
      </c>
      <c r="B1037" s="14" t="s">
        <v>1165</v>
      </c>
      <c r="C1037">
        <v>48.890856795399998</v>
      </c>
      <c r="D1037">
        <v>2.8264054986699998</v>
      </c>
    </row>
    <row r="1038" spans="1:4">
      <c r="A1038" s="13">
        <v>1037</v>
      </c>
      <c r="B1038" s="14" t="s">
        <v>1166</v>
      </c>
      <c r="C1038">
        <v>48.882681044900004</v>
      </c>
      <c r="D1038">
        <v>2.8543159278300001</v>
      </c>
    </row>
    <row r="1039" spans="1:4">
      <c r="A1039" s="13">
        <v>1038</v>
      </c>
      <c r="B1039" s="14" t="s">
        <v>1167</v>
      </c>
      <c r="C1039">
        <v>48.863290239999998</v>
      </c>
      <c r="D1039">
        <v>2.8832017258099998</v>
      </c>
    </row>
    <row r="1040" spans="1:4">
      <c r="A1040" s="13">
        <v>1039</v>
      </c>
      <c r="B1040" s="14" t="s">
        <v>1168</v>
      </c>
      <c r="C1040">
        <v>48.859557316900002</v>
      </c>
      <c r="D1040">
        <v>2.9057369631899999</v>
      </c>
    </row>
    <row r="1041" spans="1:4">
      <c r="A1041" s="13">
        <v>1040</v>
      </c>
      <c r="B1041" s="14" t="s">
        <v>1169</v>
      </c>
      <c r="C1041">
        <v>48.957268864200003</v>
      </c>
      <c r="D1041">
        <v>2.8734481887499999</v>
      </c>
    </row>
    <row r="1042" spans="1:4">
      <c r="A1042" s="13">
        <v>1041</v>
      </c>
      <c r="B1042" s="14" t="s">
        <v>1170</v>
      </c>
      <c r="C1042">
        <v>48.960226490700002</v>
      </c>
      <c r="D1042">
        <v>2.9500603827499998</v>
      </c>
    </row>
    <row r="1043" spans="1:4">
      <c r="A1043" s="13">
        <v>1042</v>
      </c>
      <c r="B1043" s="14" t="s">
        <v>1171</v>
      </c>
      <c r="C1043">
        <v>48.959164063099998</v>
      </c>
      <c r="D1043">
        <v>3.0261112956499998</v>
      </c>
    </row>
    <row r="1044" spans="1:4">
      <c r="A1044" s="13">
        <v>1043</v>
      </c>
      <c r="B1044" s="14" t="s">
        <v>1172</v>
      </c>
      <c r="C1044">
        <v>48.950819987599999</v>
      </c>
      <c r="D1044">
        <v>3.1249090221100002</v>
      </c>
    </row>
    <row r="1045" spans="1:4">
      <c r="A1045" s="13">
        <v>1044</v>
      </c>
      <c r="B1045" s="14" t="s">
        <v>1173</v>
      </c>
      <c r="C1045">
        <v>48.974026580500002</v>
      </c>
      <c r="D1045">
        <v>3.2193028128300001</v>
      </c>
    </row>
    <row r="1046" spans="1:4">
      <c r="A1046" s="13">
        <v>1045</v>
      </c>
      <c r="B1046" s="14" t="s">
        <v>1174</v>
      </c>
      <c r="C1046">
        <v>48.969278782099998</v>
      </c>
      <c r="D1046">
        <v>3.3218868172499998</v>
      </c>
    </row>
    <row r="1047" spans="1:4">
      <c r="A1047" s="13">
        <v>1046</v>
      </c>
      <c r="B1047" s="14" t="s">
        <v>1175</v>
      </c>
      <c r="C1047">
        <v>48.9919382203</v>
      </c>
      <c r="D1047">
        <v>3.3649271288699998</v>
      </c>
    </row>
    <row r="1048" spans="1:4">
      <c r="A1048" s="13">
        <v>1047</v>
      </c>
      <c r="B1048" s="14" t="s">
        <v>1176</v>
      </c>
      <c r="C1048">
        <v>49.037948941700002</v>
      </c>
      <c r="D1048">
        <v>3.4095973612499999</v>
      </c>
    </row>
    <row r="1049" spans="1:4">
      <c r="A1049" s="13">
        <v>1048</v>
      </c>
      <c r="B1049" s="14" t="s">
        <v>1177</v>
      </c>
      <c r="C1049">
        <v>48.998415393199998</v>
      </c>
      <c r="D1049">
        <v>3.0079530557499998</v>
      </c>
    </row>
    <row r="1050" spans="1:4">
      <c r="A1050" s="13">
        <v>1049</v>
      </c>
      <c r="B1050" s="14" t="s">
        <v>1178</v>
      </c>
      <c r="C1050">
        <v>49.0217572695</v>
      </c>
      <c r="D1050">
        <v>3.03175844584</v>
      </c>
    </row>
    <row r="1051" spans="1:4">
      <c r="A1051" s="13">
        <v>1050</v>
      </c>
      <c r="B1051" s="14" t="s">
        <v>1179</v>
      </c>
      <c r="C1051">
        <v>49.091882998099997</v>
      </c>
      <c r="D1051">
        <v>3.0626904056200002</v>
      </c>
    </row>
    <row r="1052" spans="1:4">
      <c r="A1052" s="13">
        <v>1051</v>
      </c>
      <c r="B1052" s="14" t="s">
        <v>1180</v>
      </c>
      <c r="C1052">
        <v>49.135474144600003</v>
      </c>
      <c r="D1052">
        <v>3.0756265643199998</v>
      </c>
    </row>
    <row r="1053" spans="1:4">
      <c r="A1053" s="13">
        <v>1052</v>
      </c>
      <c r="B1053" s="14" t="s">
        <v>1181</v>
      </c>
      <c r="C1053">
        <v>49.179504950800002</v>
      </c>
      <c r="D1053">
        <v>3.1206129166699998</v>
      </c>
    </row>
    <row r="1054" spans="1:4">
      <c r="A1054" s="13">
        <v>1053</v>
      </c>
      <c r="B1054" s="14" t="s">
        <v>744</v>
      </c>
      <c r="C1054">
        <v>48.739487207300002</v>
      </c>
      <c r="D1054">
        <v>2.7588245486699998</v>
      </c>
    </row>
    <row r="1055" spans="1:4">
      <c r="A1055" s="13">
        <v>1054</v>
      </c>
      <c r="B1055" s="14" t="s">
        <v>1182</v>
      </c>
      <c r="C1055">
        <v>48.734939296500002</v>
      </c>
      <c r="D1055">
        <v>2.86895583008</v>
      </c>
    </row>
    <row r="1056" spans="1:4">
      <c r="A1056" s="13">
        <v>1055</v>
      </c>
      <c r="B1056" s="14" t="s">
        <v>1183</v>
      </c>
      <c r="C1056">
        <v>48.789496676900001</v>
      </c>
      <c r="D1056">
        <v>2.9073872717299998</v>
      </c>
    </row>
    <row r="1057" spans="1:4">
      <c r="A1057" s="13">
        <v>1056</v>
      </c>
      <c r="B1057" s="14" t="s">
        <v>1184</v>
      </c>
      <c r="C1057">
        <v>48.810775320899999</v>
      </c>
      <c r="D1057">
        <v>2.95373038446</v>
      </c>
    </row>
    <row r="1058" spans="1:4">
      <c r="A1058" s="13">
        <v>1057</v>
      </c>
      <c r="B1058" s="14" t="s">
        <v>1185</v>
      </c>
      <c r="C1058">
        <v>48.808653964900003</v>
      </c>
      <c r="D1058">
        <v>2.9931098934199998</v>
      </c>
    </row>
    <row r="1059" spans="1:4">
      <c r="A1059" s="13">
        <v>1058</v>
      </c>
      <c r="B1059" s="14" t="s">
        <v>1186</v>
      </c>
      <c r="C1059">
        <v>48.813798481200003</v>
      </c>
      <c r="D1059">
        <v>3.0429382674099998</v>
      </c>
    </row>
    <row r="1060" spans="1:4">
      <c r="A1060" s="40">
        <v>1059</v>
      </c>
      <c r="B1060" s="39" t="s">
        <v>1187</v>
      </c>
      <c r="C1060">
        <v>48.81444444444444</v>
      </c>
      <c r="D1060">
        <v>3.1519444444444442</v>
      </c>
    </row>
    <row r="1061" spans="1:4">
      <c r="A1061" s="40">
        <v>1060</v>
      </c>
      <c r="B1061" s="39" t="s">
        <v>1188</v>
      </c>
      <c r="C1061">
        <v>48.815277777777773</v>
      </c>
      <c r="D1061">
        <v>3.1711111111111108</v>
      </c>
    </row>
    <row r="1062" spans="1:4">
      <c r="A1062" s="40">
        <v>1061</v>
      </c>
      <c r="B1062" s="39" t="s">
        <v>1189</v>
      </c>
      <c r="C1062">
        <v>48.799166666666665</v>
      </c>
      <c r="D1062">
        <v>3.2086111111111113</v>
      </c>
    </row>
    <row r="1063" spans="1:4">
      <c r="A1063" s="13">
        <v>1062</v>
      </c>
      <c r="B1063" s="14" t="s">
        <v>1190</v>
      </c>
      <c r="C1063">
        <v>48.529148967700003</v>
      </c>
      <c r="D1063">
        <v>3.2553681513799999</v>
      </c>
    </row>
    <row r="1064" spans="1:4">
      <c r="A1064" s="13">
        <v>1063</v>
      </c>
      <c r="B1064" s="14" t="s">
        <v>1191</v>
      </c>
      <c r="C1064">
        <v>48.950819987599999</v>
      </c>
      <c r="D1064">
        <v>3.1249090221100002</v>
      </c>
    </row>
    <row r="1065" spans="1:4">
      <c r="A1065" s="40">
        <v>1064</v>
      </c>
      <c r="B1065" s="39" t="s">
        <v>1192</v>
      </c>
      <c r="C1065">
        <v>48.790833333333332</v>
      </c>
      <c r="D1065">
        <v>3.2738888888888886</v>
      </c>
    </row>
    <row r="1066" spans="1:4">
      <c r="A1066" s="40">
        <v>1065</v>
      </c>
      <c r="B1066" s="39" t="s">
        <v>1193</v>
      </c>
      <c r="C1066">
        <v>48.790833333333332</v>
      </c>
      <c r="D1066">
        <v>3.2738888888888886</v>
      </c>
    </row>
    <row r="1067" spans="1:4">
      <c r="A1067" s="40">
        <v>1066</v>
      </c>
      <c r="B1067" s="39" t="s">
        <v>1194</v>
      </c>
      <c r="C1067">
        <v>48.782222222222224</v>
      </c>
      <c r="D1067">
        <v>3.2977777777777777</v>
      </c>
    </row>
    <row r="1068" spans="1:4">
      <c r="A1068" s="40">
        <v>1067</v>
      </c>
      <c r="B1068" s="39" t="s">
        <v>1195</v>
      </c>
      <c r="C1068">
        <v>48.782222222222224</v>
      </c>
      <c r="D1068">
        <v>3.2977777777777777</v>
      </c>
    </row>
    <row r="1069" spans="1:4">
      <c r="A1069" s="13">
        <v>1068</v>
      </c>
      <c r="B1069" s="14" t="s">
        <v>1196</v>
      </c>
      <c r="C1069">
        <v>48.644373624000004</v>
      </c>
      <c r="D1069">
        <v>2.8251699343299999</v>
      </c>
    </row>
    <row r="1070" spans="1:4">
      <c r="A1070" s="13">
        <v>1069</v>
      </c>
      <c r="B1070" s="14" t="s">
        <v>1197</v>
      </c>
      <c r="C1070">
        <v>48.614015242699999</v>
      </c>
      <c r="D1070">
        <v>2.8882528927100002</v>
      </c>
    </row>
    <row r="1071" spans="1:4">
      <c r="A1071" s="13">
        <v>1070</v>
      </c>
      <c r="B1071" s="14" t="s">
        <v>1198</v>
      </c>
      <c r="C1071">
        <v>48.562124836800002</v>
      </c>
      <c r="D1071">
        <v>3.0117693236299998</v>
      </c>
    </row>
    <row r="1072" spans="1:4">
      <c r="A1072" s="13">
        <v>1071</v>
      </c>
      <c r="B1072" s="14" t="s">
        <v>1199</v>
      </c>
      <c r="C1072">
        <v>48.513754591000001</v>
      </c>
      <c r="D1072">
        <v>3.2500349825799999</v>
      </c>
    </row>
    <row r="1073" spans="1:4">
      <c r="A1073" s="13">
        <v>1072</v>
      </c>
      <c r="B1073" s="14" t="s">
        <v>1200</v>
      </c>
      <c r="C1073">
        <v>48.529148967700003</v>
      </c>
      <c r="D1073">
        <v>3.2553681513799999</v>
      </c>
    </row>
    <row r="1074" spans="1:4">
      <c r="A1074" s="13">
        <v>1073</v>
      </c>
      <c r="B1074" s="14" t="s">
        <v>1201</v>
      </c>
      <c r="C1074">
        <v>48.545595346900001</v>
      </c>
      <c r="D1074">
        <v>3.28731284848</v>
      </c>
    </row>
    <row r="1075" spans="1:4">
      <c r="A1075" s="13">
        <v>1074</v>
      </c>
      <c r="B1075" s="14" t="s">
        <v>1202</v>
      </c>
      <c r="C1075">
        <v>48.555591556899998</v>
      </c>
      <c r="D1075">
        <v>3.3028712225999999</v>
      </c>
    </row>
    <row r="1076" spans="1:4">
      <c r="A1076" s="13">
        <v>1075</v>
      </c>
      <c r="B1076" s="14" t="s">
        <v>681</v>
      </c>
      <c r="C1076">
        <v>48.844139349899997</v>
      </c>
      <c r="D1076">
        <v>2.3732599780700001</v>
      </c>
    </row>
    <row r="1077" spans="1:4">
      <c r="A1077" s="13">
        <v>1076</v>
      </c>
      <c r="B1077" s="14" t="s">
        <v>712</v>
      </c>
      <c r="C1077">
        <v>48.527243321500002</v>
      </c>
      <c r="D1077">
        <v>2.65499028214</v>
      </c>
    </row>
    <row r="1078" spans="1:4">
      <c r="A1078" s="13">
        <v>1077</v>
      </c>
      <c r="B1078" s="14" t="s">
        <v>1203</v>
      </c>
      <c r="C1078">
        <v>48.475523069700003</v>
      </c>
      <c r="D1078">
        <v>2.69203326394</v>
      </c>
    </row>
    <row r="1079" spans="1:4">
      <c r="A1079" s="13">
        <v>1078</v>
      </c>
      <c r="B1079" s="14" t="s">
        <v>1204</v>
      </c>
      <c r="C1079">
        <v>48.447777777777773</v>
      </c>
      <c r="D1079">
        <v>2.7294444444444448</v>
      </c>
    </row>
    <row r="1080" spans="1:4">
      <c r="A1080" s="13">
        <v>1079</v>
      </c>
      <c r="B1080" s="14" t="s">
        <v>1205</v>
      </c>
      <c r="C1080">
        <v>48.416377033899998</v>
      </c>
      <c r="D1080">
        <v>2.7266615330800001</v>
      </c>
    </row>
    <row r="1081" spans="1:4">
      <c r="A1081" s="13">
        <v>1080</v>
      </c>
      <c r="B1081" s="14" t="s">
        <v>1206</v>
      </c>
      <c r="C1081">
        <v>48.394308438800003</v>
      </c>
      <c r="D1081">
        <v>2.7640281874400001</v>
      </c>
    </row>
    <row r="1082" spans="1:4">
      <c r="A1082" s="13">
        <v>1081</v>
      </c>
      <c r="B1082" s="14" t="s">
        <v>1207</v>
      </c>
      <c r="C1082">
        <v>48.378534915099998</v>
      </c>
      <c r="D1082">
        <v>2.7988830795699999</v>
      </c>
    </row>
    <row r="1083" spans="1:4">
      <c r="A1083" s="13">
        <v>1082</v>
      </c>
      <c r="B1083" s="14" t="s">
        <v>1208</v>
      </c>
      <c r="C1083">
        <v>48.3823580058</v>
      </c>
      <c r="D1083">
        <v>2.8159567670799999</v>
      </c>
    </row>
    <row r="1084" spans="1:4">
      <c r="A1084" s="13">
        <v>1083</v>
      </c>
      <c r="B1084" s="14" t="s">
        <v>1209</v>
      </c>
      <c r="C1084">
        <v>48.379526103300002</v>
      </c>
      <c r="D1084">
        <v>2.9425234127</v>
      </c>
    </row>
    <row r="1085" spans="1:4">
      <c r="A1085" s="13">
        <v>1084</v>
      </c>
      <c r="B1085" s="14" t="s">
        <v>1210</v>
      </c>
      <c r="C1085">
        <v>48.336481780600003</v>
      </c>
      <c r="D1085">
        <v>2.7380016239299998</v>
      </c>
    </row>
    <row r="1086" spans="1:4">
      <c r="A1086" s="13">
        <v>1085</v>
      </c>
      <c r="B1086" s="14" t="s">
        <v>1211</v>
      </c>
      <c r="C1086">
        <v>48.332683643800003</v>
      </c>
      <c r="D1086">
        <v>2.69248019059</v>
      </c>
    </row>
    <row r="1087" spans="1:4">
      <c r="A1087" s="13">
        <v>1086</v>
      </c>
      <c r="B1087" s="14" t="s">
        <v>1212</v>
      </c>
      <c r="C1087">
        <v>48.267758106300001</v>
      </c>
      <c r="D1087">
        <v>2.68564709266</v>
      </c>
    </row>
    <row r="1088" spans="1:4">
      <c r="A1088" s="13">
        <v>1087</v>
      </c>
      <c r="B1088" s="14" t="s">
        <v>1213</v>
      </c>
      <c r="C1088">
        <v>48.229549940200002</v>
      </c>
      <c r="D1088">
        <v>2.7039360515999999</v>
      </c>
    </row>
    <row r="1089" spans="1:4">
      <c r="A1089" s="13">
        <v>1088</v>
      </c>
      <c r="B1089" s="14" t="s">
        <v>1214</v>
      </c>
      <c r="C1089">
        <v>48.180936855799999</v>
      </c>
      <c r="D1089">
        <v>2.73624984291</v>
      </c>
    </row>
    <row r="1090" spans="1:4">
      <c r="A1090" s="13">
        <v>1089</v>
      </c>
      <c r="B1090" s="14" t="s">
        <v>1215</v>
      </c>
      <c r="C1090">
        <v>48.147218039899997</v>
      </c>
      <c r="D1090">
        <v>2.7627283872000001</v>
      </c>
    </row>
    <row r="1091" spans="1:4">
      <c r="A1091" s="13">
        <v>1090</v>
      </c>
      <c r="B1091" s="14" t="s">
        <v>1216</v>
      </c>
      <c r="C1091">
        <v>48.096502778800001</v>
      </c>
      <c r="D1091">
        <v>2.7723026176599999</v>
      </c>
    </row>
    <row r="1092" spans="1:4">
      <c r="A1092" s="13">
        <v>1091</v>
      </c>
      <c r="B1092" s="14" t="s">
        <v>1217</v>
      </c>
      <c r="C1092">
        <v>48.007031701499997</v>
      </c>
      <c r="D1092">
        <v>2.74303831268</v>
      </c>
    </row>
    <row r="1093" spans="1:4">
      <c r="A1093" s="13">
        <v>1092</v>
      </c>
      <c r="B1093" s="14" t="s">
        <v>1218</v>
      </c>
      <c r="C1093">
        <v>48.510265175299999</v>
      </c>
      <c r="D1093">
        <v>2.6789739826900001</v>
      </c>
    </row>
    <row r="1094" spans="1:4">
      <c r="A1094" s="13">
        <v>1093</v>
      </c>
      <c r="B1094" s="14" t="s">
        <v>1219</v>
      </c>
      <c r="C1094">
        <v>48.487076395199999</v>
      </c>
      <c r="D1094">
        <v>2.6950373138099999</v>
      </c>
    </row>
    <row r="1095" spans="1:4">
      <c r="A1095" s="13">
        <v>1094</v>
      </c>
      <c r="B1095" s="14" t="s">
        <v>1220</v>
      </c>
      <c r="C1095">
        <v>48.487222875500002</v>
      </c>
      <c r="D1095">
        <v>2.7511536583799998</v>
      </c>
    </row>
    <row r="1096" spans="1:4">
      <c r="A1096" s="13">
        <v>1095</v>
      </c>
      <c r="B1096" s="14" t="s">
        <v>1221</v>
      </c>
      <c r="C1096">
        <v>48.442882064199999</v>
      </c>
      <c r="D1096">
        <v>2.7609267337399999</v>
      </c>
    </row>
    <row r="1097" spans="1:4">
      <c r="A1097" s="13">
        <v>1096</v>
      </c>
      <c r="B1097" s="14" t="s">
        <v>1222</v>
      </c>
      <c r="C1097">
        <v>48.430970721400001</v>
      </c>
      <c r="D1097">
        <v>2.7531775674999999</v>
      </c>
    </row>
    <row r="1098" spans="1:4">
      <c r="A1098" s="13">
        <v>1097</v>
      </c>
      <c r="B1098" s="14" t="s">
        <v>1223</v>
      </c>
      <c r="C1098">
        <v>48.406805629399997</v>
      </c>
      <c r="D1098">
        <v>2.79923355753</v>
      </c>
    </row>
    <row r="1099" spans="1:4">
      <c r="A1099" s="13">
        <v>1098</v>
      </c>
      <c r="B1099" s="14" t="s">
        <v>1224</v>
      </c>
      <c r="C1099">
        <v>48.386770986499997</v>
      </c>
      <c r="D1099">
        <v>2.8420373901699998</v>
      </c>
    </row>
    <row r="1100" spans="1:4">
      <c r="A1100" s="13">
        <v>1099</v>
      </c>
      <c r="B1100" s="14" t="s">
        <v>1225</v>
      </c>
      <c r="C1100">
        <v>48.378795761699998</v>
      </c>
      <c r="D1100">
        <v>2.8972017818800002</v>
      </c>
    </row>
    <row r="1101" spans="1:4">
      <c r="A1101" s="13">
        <v>1100</v>
      </c>
      <c r="B1101" s="14" t="s">
        <v>1154</v>
      </c>
      <c r="C1101">
        <v>48.7553892687</v>
      </c>
      <c r="D1101">
        <v>1.9438351997000001</v>
      </c>
    </row>
    <row r="1102" spans="1:4">
      <c r="A1102" s="13">
        <v>1101</v>
      </c>
      <c r="B1102" s="14" t="s">
        <v>1153</v>
      </c>
      <c r="C1102">
        <v>48.774802810700002</v>
      </c>
      <c r="D1102">
        <v>2.00656687176</v>
      </c>
    </row>
    <row r="1103" spans="1:4">
      <c r="A1103" s="13">
        <v>1102</v>
      </c>
      <c r="B1103" s="14" t="s">
        <v>659</v>
      </c>
      <c r="C1103">
        <v>48.787390239200001</v>
      </c>
      <c r="D1103">
        <v>2.04462198988</v>
      </c>
    </row>
    <row r="1104" spans="1:4">
      <c r="A1104" s="13">
        <v>1103</v>
      </c>
      <c r="B1104" s="14" t="s">
        <v>591</v>
      </c>
      <c r="C1104">
        <v>48.798707635200003</v>
      </c>
      <c r="D1104">
        <v>2.07184700048</v>
      </c>
    </row>
    <row r="1105" spans="1:4">
      <c r="A1105" s="13">
        <v>1104</v>
      </c>
      <c r="B1105" s="14" t="s">
        <v>592</v>
      </c>
      <c r="C1105">
        <v>48.795280246300003</v>
      </c>
      <c r="D1105">
        <v>2.1360504896600001</v>
      </c>
    </row>
    <row r="1106" spans="1:4">
      <c r="A1106" s="13">
        <v>1105</v>
      </c>
      <c r="B1106" s="14" t="s">
        <v>1104</v>
      </c>
      <c r="C1106">
        <v>48.812571716299999</v>
      </c>
      <c r="D1106">
        <v>2.1882598586499999</v>
      </c>
    </row>
    <row r="1107" spans="1:4">
      <c r="A1107" s="13">
        <v>1106</v>
      </c>
      <c r="B1107" s="14" t="s">
        <v>1105</v>
      </c>
      <c r="C1107">
        <v>48.827238772699999</v>
      </c>
      <c r="D1107">
        <v>2.2007212566300001</v>
      </c>
    </row>
    <row r="1108" spans="1:4">
      <c r="A1108" s="13">
        <v>1107</v>
      </c>
      <c r="B1108" s="14" t="s">
        <v>825</v>
      </c>
      <c r="C1108">
        <v>48.846102948599999</v>
      </c>
      <c r="D1108">
        <v>2.2176210808899999</v>
      </c>
    </row>
    <row r="1109" spans="1:4">
      <c r="A1109" s="13">
        <v>1108</v>
      </c>
      <c r="B1109" s="14" t="s">
        <v>1115</v>
      </c>
      <c r="C1109">
        <v>48.871714186600002</v>
      </c>
      <c r="D1109">
        <v>2.2210295477700002</v>
      </c>
    </row>
    <row r="1110" spans="1:4">
      <c r="A1110" s="13">
        <v>1109</v>
      </c>
      <c r="B1110" s="14" t="s">
        <v>820</v>
      </c>
      <c r="C1110">
        <v>48.883362341900003</v>
      </c>
      <c r="D1110">
        <v>2.2337816806499999</v>
      </c>
    </row>
    <row r="1111" spans="1:4">
      <c r="A1111" s="13">
        <v>1110</v>
      </c>
      <c r="B1111" s="14" t="s">
        <v>68</v>
      </c>
      <c r="C1111">
        <v>48.892187076399999</v>
      </c>
      <c r="D1111">
        <v>2.2370180564000002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list</vt:lpstr>
      <vt:lpstr>coords</vt:lpstr>
      <vt:lpstr>weights</vt:lpstr>
      <vt:lpstr>AM</vt:lpstr>
      <vt:lpstr>calc weights</vt:lpstr>
      <vt:lpstr>extract_stops_csv</vt:lpstr>
    </vt:vector>
  </TitlesOfParts>
  <Company>MBDAF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PALO.Alexandre</dc:creator>
  <cp:lastModifiedBy>Alexandre P.</cp:lastModifiedBy>
  <dcterms:created xsi:type="dcterms:W3CDTF">2019-01-02T14:39:16Z</dcterms:created>
  <dcterms:modified xsi:type="dcterms:W3CDTF">2019-01-14T22:04:48Z</dcterms:modified>
</cp:coreProperties>
</file>